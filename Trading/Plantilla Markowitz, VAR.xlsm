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dres\Univerisdad\Ciclo 5\Big data\Trading\"/>
    </mc:Choice>
  </mc:AlternateContent>
  <xr:revisionPtr revIDLastSave="0" documentId="13_ncr:1_{F69E1903-537F-46F4-B1F8-9931B82450B0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Ejercicio1" sheetId="1" r:id="rId1"/>
    <sheet name="Ejercicio2" sheetId="2" r:id="rId2"/>
    <sheet name="Ejercicio3" sheetId="3" r:id="rId3"/>
    <sheet name="Ejercicio4" sheetId="4" r:id="rId4"/>
    <sheet name="Ejercicio5" sheetId="5" r:id="rId5"/>
    <sheet name="Hoja1" sheetId="6" r:id="rId6"/>
  </sheets>
  <definedNames>
    <definedName name="Escala" localSheetId="1">Ejercicio2!$R$10:$R$11</definedName>
    <definedName name="Escala" localSheetId="2">Ejercicio3!$S$10:$S$11</definedName>
    <definedName name="Escala" localSheetId="3">Ejercicio4!$U$10:$U$11</definedName>
    <definedName name="Escala" localSheetId="4">Ejercicio5!$S$10:$S$11</definedName>
    <definedName name="Escala">Ejercicio1!$T$10:$T$11</definedName>
    <definedName name="EscalaCorta" localSheetId="1">Ejercicio2!$R$37:$R$46</definedName>
    <definedName name="EscalaCorta" localSheetId="2">Ejercicio3!$S$37:$S$46</definedName>
    <definedName name="EscalaCorta" localSheetId="3">Ejercicio4!$U$37:$U$46</definedName>
    <definedName name="EscalaCorta" localSheetId="4">Ejercicio5!$S$37:$S$46</definedName>
    <definedName name="EscalaCorta">Ejercicio1!$T$37:$T$46</definedName>
    <definedName name="EscalaLarga" localSheetId="1">Ejercicio2!$R$14:$R$36</definedName>
    <definedName name="EscalaLarga" localSheetId="2">Ejercicio3!$S$14:$S$36</definedName>
    <definedName name="EscalaLarga" localSheetId="3">Ejercicio4!$U$14:$U$36</definedName>
    <definedName name="EscalaLarga" localSheetId="4">Ejercicio5!$S$14:$S$36</definedName>
    <definedName name="EscalaLarga">Ejercicio1!$T$14:$T$36</definedName>
    <definedName name="solver_adj" localSheetId="0" hidden="1">Ejercicio1!$I$9:$I$11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Ejercicio1!$K$14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Ejercicio1!$K$12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4" i="1" l="1"/>
  <c r="I12" i="1"/>
  <c r="M8" i="1"/>
  <c r="L19" i="2" l="1"/>
  <c r="L16" i="2"/>
  <c r="L17" i="2" s="1"/>
  <c r="L13" i="2"/>
  <c r="L14" i="2" s="1"/>
  <c r="L10" i="2"/>
  <c r="L11" i="2" s="1"/>
  <c r="L21" i="2" s="1"/>
  <c r="Q7" i="2"/>
  <c r="Q6" i="2"/>
  <c r="K8" i="3"/>
  <c r="M9" i="1"/>
  <c r="N9" i="1"/>
  <c r="O9" i="1"/>
  <c r="M10" i="1"/>
  <c r="N10" i="1"/>
  <c r="O10" i="1"/>
  <c r="M11" i="1"/>
  <c r="N11" i="1"/>
  <c r="O11" i="1"/>
  <c r="M12" i="1"/>
  <c r="N12" i="1"/>
  <c r="O12" i="1"/>
  <c r="M13" i="1"/>
  <c r="P13" i="1" s="1" a="1"/>
  <c r="P13" i="1" s="1"/>
  <c r="N13" i="1"/>
  <c r="O13" i="1"/>
  <c r="M14" i="1"/>
  <c r="N14" i="1"/>
  <c r="O14" i="1"/>
  <c r="M15" i="1"/>
  <c r="N15" i="1"/>
  <c r="O15" i="1"/>
  <c r="M16" i="1"/>
  <c r="N16" i="1"/>
  <c r="O16" i="1"/>
  <c r="M17" i="1"/>
  <c r="P17" i="1" s="1" a="1"/>
  <c r="P17" i="1" s="1"/>
  <c r="N17" i="1"/>
  <c r="O17" i="1"/>
  <c r="M18" i="1"/>
  <c r="N18" i="1"/>
  <c r="O18" i="1"/>
  <c r="M19" i="1"/>
  <c r="N19" i="1"/>
  <c r="O19" i="1"/>
  <c r="M20" i="1"/>
  <c r="N20" i="1"/>
  <c r="O20" i="1"/>
  <c r="M21" i="1"/>
  <c r="P21" i="1" s="1" a="1"/>
  <c r="P21" i="1" s="1"/>
  <c r="N21" i="1"/>
  <c r="O21" i="1"/>
  <c r="M22" i="1"/>
  <c r="N22" i="1"/>
  <c r="O22" i="1"/>
  <c r="M23" i="1"/>
  <c r="N23" i="1"/>
  <c r="O23" i="1"/>
  <c r="M24" i="1"/>
  <c r="N24" i="1"/>
  <c r="O24" i="1"/>
  <c r="M25" i="1"/>
  <c r="P25" i="1" s="1" a="1"/>
  <c r="P25" i="1" s="1"/>
  <c r="N25" i="1"/>
  <c r="O25" i="1"/>
  <c r="M26" i="1"/>
  <c r="N26" i="1"/>
  <c r="O26" i="1"/>
  <c r="M27" i="1"/>
  <c r="N27" i="1"/>
  <c r="O27" i="1"/>
  <c r="M28" i="1"/>
  <c r="N28" i="1"/>
  <c r="O28" i="1"/>
  <c r="M29" i="1"/>
  <c r="P29" i="1" s="1" a="1"/>
  <c r="P29" i="1" s="1"/>
  <c r="N29" i="1"/>
  <c r="O29" i="1"/>
  <c r="M30" i="1"/>
  <c r="N30" i="1"/>
  <c r="O30" i="1"/>
  <c r="M31" i="1"/>
  <c r="N31" i="1"/>
  <c r="O31" i="1"/>
  <c r="M32" i="1"/>
  <c r="N32" i="1"/>
  <c r="O32" i="1"/>
  <c r="M33" i="1"/>
  <c r="P33" i="1" s="1" a="1"/>
  <c r="P33" i="1" s="1"/>
  <c r="N33" i="1"/>
  <c r="O33" i="1"/>
  <c r="M34" i="1"/>
  <c r="N34" i="1"/>
  <c r="O34" i="1"/>
  <c r="M35" i="1"/>
  <c r="N35" i="1"/>
  <c r="O35" i="1"/>
  <c r="M36" i="1"/>
  <c r="N36" i="1"/>
  <c r="O36" i="1"/>
  <c r="M37" i="1"/>
  <c r="P37" i="1" s="1" a="1"/>
  <c r="P37" i="1" s="1"/>
  <c r="N37" i="1"/>
  <c r="O37" i="1"/>
  <c r="M38" i="1"/>
  <c r="N38" i="1"/>
  <c r="O38" i="1"/>
  <c r="M39" i="1"/>
  <c r="N39" i="1"/>
  <c r="O39" i="1"/>
  <c r="M40" i="1"/>
  <c r="N40" i="1"/>
  <c r="O40" i="1"/>
  <c r="M41" i="1"/>
  <c r="P41" i="1" s="1" a="1"/>
  <c r="P41" i="1" s="1"/>
  <c r="N41" i="1"/>
  <c r="O41" i="1"/>
  <c r="M42" i="1"/>
  <c r="N42" i="1"/>
  <c r="O42" i="1"/>
  <c r="M43" i="1"/>
  <c r="N43" i="1"/>
  <c r="O43" i="1"/>
  <c r="M44" i="1"/>
  <c r="N44" i="1"/>
  <c r="O44" i="1"/>
  <c r="M45" i="1"/>
  <c r="P45" i="1" s="1" a="1"/>
  <c r="P45" i="1" s="1"/>
  <c r="N45" i="1"/>
  <c r="O45" i="1"/>
  <c r="M46" i="1"/>
  <c r="N46" i="1"/>
  <c r="O46" i="1"/>
  <c r="M47" i="1"/>
  <c r="N47" i="1"/>
  <c r="O47" i="1"/>
  <c r="M48" i="1"/>
  <c r="N48" i="1"/>
  <c r="O48" i="1"/>
  <c r="M49" i="1"/>
  <c r="P49" i="1" s="1" a="1"/>
  <c r="P49" i="1" s="1"/>
  <c r="N49" i="1"/>
  <c r="O49" i="1"/>
  <c r="M50" i="1"/>
  <c r="N50" i="1"/>
  <c r="O50" i="1"/>
  <c r="M51" i="1"/>
  <c r="N51" i="1"/>
  <c r="O51" i="1"/>
  <c r="M52" i="1"/>
  <c r="N52" i="1"/>
  <c r="O52" i="1"/>
  <c r="M53" i="1"/>
  <c r="P53" i="1" s="1" a="1"/>
  <c r="P53" i="1" s="1"/>
  <c r="N53" i="1"/>
  <c r="O53" i="1"/>
  <c r="M54" i="1"/>
  <c r="N54" i="1"/>
  <c r="O54" i="1"/>
  <c r="M55" i="1"/>
  <c r="N55" i="1"/>
  <c r="O55" i="1"/>
  <c r="M56" i="1"/>
  <c r="N56" i="1"/>
  <c r="O56" i="1"/>
  <c r="M57" i="1"/>
  <c r="P57" i="1" s="1" a="1"/>
  <c r="P57" i="1" s="1"/>
  <c r="N57" i="1"/>
  <c r="O57" i="1"/>
  <c r="M58" i="1"/>
  <c r="N58" i="1"/>
  <c r="O58" i="1"/>
  <c r="M59" i="1"/>
  <c r="N59" i="1"/>
  <c r="O59" i="1"/>
  <c r="M60" i="1"/>
  <c r="N60" i="1"/>
  <c r="O60" i="1"/>
  <c r="M61" i="1"/>
  <c r="P61" i="1" s="1" a="1"/>
  <c r="P61" i="1" s="1"/>
  <c r="N61" i="1"/>
  <c r="O61" i="1"/>
  <c r="M62" i="1"/>
  <c r="N62" i="1"/>
  <c r="O62" i="1"/>
  <c r="M63" i="1"/>
  <c r="N63" i="1"/>
  <c r="O63" i="1"/>
  <c r="M64" i="1"/>
  <c r="N64" i="1"/>
  <c r="O64" i="1"/>
  <c r="M65" i="1"/>
  <c r="P65" i="1" s="1" a="1"/>
  <c r="P65" i="1" s="1"/>
  <c r="N65" i="1"/>
  <c r="O65" i="1"/>
  <c r="M66" i="1"/>
  <c r="N66" i="1"/>
  <c r="O66" i="1"/>
  <c r="M67" i="1"/>
  <c r="N67" i="1"/>
  <c r="O67" i="1"/>
  <c r="M68" i="1"/>
  <c r="N68" i="1"/>
  <c r="O68" i="1"/>
  <c r="M69" i="1"/>
  <c r="P69" i="1" s="1" a="1"/>
  <c r="P69" i="1" s="1"/>
  <c r="N69" i="1"/>
  <c r="O69" i="1"/>
  <c r="M70" i="1"/>
  <c r="N70" i="1"/>
  <c r="O70" i="1"/>
  <c r="M71" i="1"/>
  <c r="N71" i="1"/>
  <c r="O71" i="1"/>
  <c r="M72" i="1"/>
  <c r="N72" i="1"/>
  <c r="O72" i="1"/>
  <c r="M73" i="1"/>
  <c r="P73" i="1" s="1" a="1"/>
  <c r="P73" i="1" s="1"/>
  <c r="N73" i="1"/>
  <c r="O73" i="1"/>
  <c r="M74" i="1"/>
  <c r="N74" i="1"/>
  <c r="O74" i="1"/>
  <c r="M75" i="1"/>
  <c r="N75" i="1"/>
  <c r="O75" i="1"/>
  <c r="M76" i="1"/>
  <c r="N76" i="1"/>
  <c r="O76" i="1"/>
  <c r="M77" i="1"/>
  <c r="P77" i="1" s="1" a="1"/>
  <c r="P77" i="1" s="1"/>
  <c r="N77" i="1"/>
  <c r="O77" i="1"/>
  <c r="M78" i="1"/>
  <c r="N78" i="1"/>
  <c r="O78" i="1"/>
  <c r="M79" i="1"/>
  <c r="N79" i="1"/>
  <c r="O79" i="1"/>
  <c r="M80" i="1"/>
  <c r="N80" i="1"/>
  <c r="O80" i="1"/>
  <c r="M81" i="1"/>
  <c r="P81" i="1" s="1" a="1"/>
  <c r="P81" i="1" s="1"/>
  <c r="N81" i="1"/>
  <c r="O81" i="1"/>
  <c r="M82" i="1"/>
  <c r="N82" i="1"/>
  <c r="O82" i="1"/>
  <c r="M83" i="1"/>
  <c r="N83" i="1"/>
  <c r="O83" i="1"/>
  <c r="M84" i="1"/>
  <c r="N84" i="1"/>
  <c r="O84" i="1"/>
  <c r="M85" i="1"/>
  <c r="P85" i="1" s="1" a="1"/>
  <c r="P85" i="1" s="1"/>
  <c r="N85" i="1"/>
  <c r="O85" i="1"/>
  <c r="M86" i="1"/>
  <c r="N86" i="1"/>
  <c r="O86" i="1"/>
  <c r="M87" i="1"/>
  <c r="N87" i="1"/>
  <c r="O87" i="1"/>
  <c r="M88" i="1"/>
  <c r="N88" i="1"/>
  <c r="O88" i="1"/>
  <c r="M89" i="1"/>
  <c r="P89" i="1" s="1" a="1"/>
  <c r="P89" i="1" s="1"/>
  <c r="N89" i="1"/>
  <c r="O89" i="1"/>
  <c r="M90" i="1"/>
  <c r="N90" i="1"/>
  <c r="O90" i="1"/>
  <c r="M91" i="1"/>
  <c r="N91" i="1"/>
  <c r="O91" i="1"/>
  <c r="M92" i="1"/>
  <c r="N92" i="1"/>
  <c r="O92" i="1"/>
  <c r="M93" i="1"/>
  <c r="P93" i="1" s="1" a="1"/>
  <c r="P93" i="1" s="1"/>
  <c r="N93" i="1"/>
  <c r="O93" i="1"/>
  <c r="M94" i="1"/>
  <c r="N94" i="1"/>
  <c r="O94" i="1"/>
  <c r="M95" i="1"/>
  <c r="N95" i="1"/>
  <c r="O95" i="1"/>
  <c r="M96" i="1"/>
  <c r="N96" i="1"/>
  <c r="O96" i="1"/>
  <c r="M97" i="1"/>
  <c r="P97" i="1" s="1" a="1"/>
  <c r="P97" i="1" s="1"/>
  <c r="N97" i="1"/>
  <c r="O97" i="1"/>
  <c r="M98" i="1"/>
  <c r="N98" i="1"/>
  <c r="O98" i="1"/>
  <c r="M99" i="1"/>
  <c r="N99" i="1"/>
  <c r="O99" i="1"/>
  <c r="M100" i="1"/>
  <c r="N100" i="1"/>
  <c r="O100" i="1"/>
  <c r="M101" i="1"/>
  <c r="P101" i="1" s="1" a="1"/>
  <c r="P101" i="1" s="1"/>
  <c r="N101" i="1"/>
  <c r="O101" i="1"/>
  <c r="M102" i="1"/>
  <c r="N102" i="1"/>
  <c r="O102" i="1"/>
  <c r="M103" i="1"/>
  <c r="N103" i="1"/>
  <c r="O103" i="1"/>
  <c r="M104" i="1"/>
  <c r="N104" i="1"/>
  <c r="O104" i="1"/>
  <c r="M105" i="1"/>
  <c r="P105" i="1" s="1" a="1"/>
  <c r="P105" i="1" s="1"/>
  <c r="N105" i="1"/>
  <c r="O105" i="1"/>
  <c r="M106" i="1"/>
  <c r="N106" i="1"/>
  <c r="O106" i="1"/>
  <c r="M107" i="1"/>
  <c r="N107" i="1"/>
  <c r="O107" i="1"/>
  <c r="M108" i="1"/>
  <c r="N108" i="1"/>
  <c r="O108" i="1"/>
  <c r="M109" i="1"/>
  <c r="P109" i="1" s="1" a="1"/>
  <c r="P109" i="1" s="1"/>
  <c r="N109" i="1"/>
  <c r="O109" i="1"/>
  <c r="M110" i="1"/>
  <c r="N110" i="1"/>
  <c r="O110" i="1"/>
  <c r="M111" i="1"/>
  <c r="N111" i="1"/>
  <c r="O111" i="1"/>
  <c r="M112" i="1"/>
  <c r="N112" i="1"/>
  <c r="O112" i="1"/>
  <c r="M113" i="1"/>
  <c r="P113" i="1" s="1" a="1"/>
  <c r="P113" i="1" s="1"/>
  <c r="N113" i="1"/>
  <c r="O113" i="1"/>
  <c r="M114" i="1"/>
  <c r="N114" i="1"/>
  <c r="O114" i="1"/>
  <c r="M115" i="1"/>
  <c r="N115" i="1"/>
  <c r="O115" i="1"/>
  <c r="M116" i="1"/>
  <c r="N116" i="1"/>
  <c r="O116" i="1"/>
  <c r="M117" i="1"/>
  <c r="P117" i="1" s="1" a="1"/>
  <c r="P117" i="1" s="1"/>
  <c r="N117" i="1"/>
  <c r="O117" i="1"/>
  <c r="M118" i="1"/>
  <c r="N118" i="1"/>
  <c r="O118" i="1"/>
  <c r="M119" i="1"/>
  <c r="N119" i="1"/>
  <c r="O119" i="1"/>
  <c r="M120" i="1"/>
  <c r="N120" i="1"/>
  <c r="O120" i="1"/>
  <c r="M121" i="1"/>
  <c r="P121" i="1" s="1" a="1"/>
  <c r="P121" i="1" s="1"/>
  <c r="N121" i="1"/>
  <c r="O121" i="1"/>
  <c r="M122" i="1"/>
  <c r="N122" i="1"/>
  <c r="O122" i="1"/>
  <c r="M123" i="1"/>
  <c r="N123" i="1"/>
  <c r="O123" i="1"/>
  <c r="M124" i="1"/>
  <c r="N124" i="1"/>
  <c r="O124" i="1"/>
  <c r="M125" i="1"/>
  <c r="P125" i="1" s="1" a="1"/>
  <c r="P125" i="1" s="1"/>
  <c r="N125" i="1"/>
  <c r="O125" i="1"/>
  <c r="M126" i="1"/>
  <c r="N126" i="1"/>
  <c r="O126" i="1"/>
  <c r="M127" i="1"/>
  <c r="N127" i="1"/>
  <c r="O127" i="1"/>
  <c r="M128" i="1"/>
  <c r="N128" i="1"/>
  <c r="O128" i="1"/>
  <c r="M129" i="1"/>
  <c r="P129" i="1" s="1" a="1"/>
  <c r="P129" i="1" s="1"/>
  <c r="N129" i="1"/>
  <c r="O129" i="1"/>
  <c r="M130" i="1"/>
  <c r="N130" i="1"/>
  <c r="O130" i="1"/>
  <c r="M131" i="1"/>
  <c r="N131" i="1"/>
  <c r="O131" i="1"/>
  <c r="M132" i="1"/>
  <c r="N132" i="1"/>
  <c r="O132" i="1"/>
  <c r="M133" i="1"/>
  <c r="P133" i="1" s="1" a="1"/>
  <c r="P133" i="1" s="1"/>
  <c r="N133" i="1"/>
  <c r="O133" i="1"/>
  <c r="M134" i="1"/>
  <c r="N134" i="1"/>
  <c r="O134" i="1"/>
  <c r="M135" i="1"/>
  <c r="N135" i="1"/>
  <c r="O135" i="1"/>
  <c r="M136" i="1"/>
  <c r="N136" i="1"/>
  <c r="O136" i="1"/>
  <c r="M137" i="1"/>
  <c r="P137" i="1" s="1" a="1"/>
  <c r="P137" i="1" s="1"/>
  <c r="N137" i="1"/>
  <c r="O137" i="1"/>
  <c r="M138" i="1"/>
  <c r="N138" i="1"/>
  <c r="O138" i="1"/>
  <c r="M139" i="1"/>
  <c r="N139" i="1"/>
  <c r="O139" i="1"/>
  <c r="M140" i="1"/>
  <c r="N140" i="1"/>
  <c r="O140" i="1"/>
  <c r="M141" i="1"/>
  <c r="P141" i="1" s="1" a="1"/>
  <c r="P141" i="1" s="1"/>
  <c r="N141" i="1"/>
  <c r="O141" i="1"/>
  <c r="M142" i="1"/>
  <c r="N142" i="1"/>
  <c r="O142" i="1"/>
  <c r="M143" i="1"/>
  <c r="N143" i="1"/>
  <c r="O143" i="1"/>
  <c r="M144" i="1"/>
  <c r="N144" i="1"/>
  <c r="O144" i="1"/>
  <c r="M145" i="1"/>
  <c r="P145" i="1" s="1" a="1"/>
  <c r="P145" i="1" s="1"/>
  <c r="N145" i="1"/>
  <c r="O145" i="1"/>
  <c r="M146" i="1"/>
  <c r="N146" i="1"/>
  <c r="O146" i="1"/>
  <c r="M147" i="1"/>
  <c r="N147" i="1"/>
  <c r="O147" i="1"/>
  <c r="M148" i="1"/>
  <c r="N148" i="1"/>
  <c r="O148" i="1"/>
  <c r="M149" i="1"/>
  <c r="P149" i="1" s="1" a="1"/>
  <c r="P149" i="1" s="1"/>
  <c r="N149" i="1"/>
  <c r="O149" i="1"/>
  <c r="M150" i="1"/>
  <c r="N150" i="1"/>
  <c r="O150" i="1"/>
  <c r="M151" i="1"/>
  <c r="N151" i="1"/>
  <c r="O151" i="1"/>
  <c r="M152" i="1"/>
  <c r="N152" i="1"/>
  <c r="O152" i="1"/>
  <c r="M153" i="1"/>
  <c r="P153" i="1" s="1" a="1"/>
  <c r="P153" i="1" s="1"/>
  <c r="N153" i="1"/>
  <c r="O153" i="1"/>
  <c r="M154" i="1"/>
  <c r="N154" i="1"/>
  <c r="O154" i="1"/>
  <c r="M155" i="1"/>
  <c r="N155" i="1"/>
  <c r="O155" i="1"/>
  <c r="M156" i="1"/>
  <c r="N156" i="1"/>
  <c r="O156" i="1"/>
  <c r="M157" i="1"/>
  <c r="P157" i="1" s="1" a="1"/>
  <c r="P157" i="1" s="1"/>
  <c r="N157" i="1"/>
  <c r="O157" i="1"/>
  <c r="M158" i="1"/>
  <c r="N158" i="1"/>
  <c r="O158" i="1"/>
  <c r="M159" i="1"/>
  <c r="N159" i="1"/>
  <c r="O159" i="1"/>
  <c r="M160" i="1"/>
  <c r="N160" i="1"/>
  <c r="O160" i="1"/>
  <c r="M161" i="1"/>
  <c r="P161" i="1" s="1" a="1"/>
  <c r="P161" i="1" s="1"/>
  <c r="N161" i="1"/>
  <c r="O161" i="1"/>
  <c r="M162" i="1"/>
  <c r="N162" i="1"/>
  <c r="O162" i="1"/>
  <c r="M163" i="1"/>
  <c r="N163" i="1"/>
  <c r="O163" i="1"/>
  <c r="M164" i="1"/>
  <c r="N164" i="1"/>
  <c r="O164" i="1"/>
  <c r="M165" i="1"/>
  <c r="P165" i="1" s="1" a="1"/>
  <c r="P165" i="1" s="1"/>
  <c r="N165" i="1"/>
  <c r="O165" i="1"/>
  <c r="M166" i="1"/>
  <c r="N166" i="1"/>
  <c r="O166" i="1"/>
  <c r="M167" i="1"/>
  <c r="N167" i="1"/>
  <c r="O167" i="1"/>
  <c r="M168" i="1"/>
  <c r="N168" i="1"/>
  <c r="O168" i="1"/>
  <c r="M169" i="1"/>
  <c r="P169" i="1" s="1" a="1"/>
  <c r="P169" i="1" s="1"/>
  <c r="N169" i="1"/>
  <c r="O169" i="1"/>
  <c r="M170" i="1"/>
  <c r="N170" i="1"/>
  <c r="O170" i="1"/>
  <c r="M171" i="1"/>
  <c r="N171" i="1"/>
  <c r="O171" i="1"/>
  <c r="M172" i="1"/>
  <c r="N172" i="1"/>
  <c r="O172" i="1"/>
  <c r="M173" i="1"/>
  <c r="P173" i="1" s="1" a="1"/>
  <c r="P173" i="1" s="1"/>
  <c r="N173" i="1"/>
  <c r="O173" i="1"/>
  <c r="M174" i="1"/>
  <c r="N174" i="1"/>
  <c r="O174" i="1"/>
  <c r="M175" i="1"/>
  <c r="N175" i="1"/>
  <c r="O175" i="1"/>
  <c r="M176" i="1"/>
  <c r="N176" i="1"/>
  <c r="O176" i="1"/>
  <c r="M177" i="1"/>
  <c r="P177" i="1" s="1" a="1"/>
  <c r="P177" i="1" s="1"/>
  <c r="N177" i="1"/>
  <c r="O177" i="1"/>
  <c r="M178" i="1"/>
  <c r="N178" i="1"/>
  <c r="O178" i="1"/>
  <c r="M179" i="1"/>
  <c r="N179" i="1"/>
  <c r="O179" i="1"/>
  <c r="M180" i="1"/>
  <c r="N180" i="1"/>
  <c r="O180" i="1"/>
  <c r="M181" i="1"/>
  <c r="P181" i="1" s="1" a="1"/>
  <c r="P181" i="1" s="1"/>
  <c r="N181" i="1"/>
  <c r="O181" i="1"/>
  <c r="M182" i="1"/>
  <c r="N182" i="1"/>
  <c r="O182" i="1"/>
  <c r="M183" i="1"/>
  <c r="N183" i="1"/>
  <c r="O183" i="1"/>
  <c r="M184" i="1"/>
  <c r="N184" i="1"/>
  <c r="O184" i="1"/>
  <c r="M185" i="1"/>
  <c r="P185" i="1" s="1" a="1"/>
  <c r="P185" i="1" s="1"/>
  <c r="N185" i="1"/>
  <c r="O185" i="1"/>
  <c r="M186" i="1"/>
  <c r="N186" i="1"/>
  <c r="O186" i="1"/>
  <c r="M187" i="1"/>
  <c r="N187" i="1"/>
  <c r="O187" i="1"/>
  <c r="M188" i="1"/>
  <c r="N188" i="1"/>
  <c r="O188" i="1"/>
  <c r="M189" i="1"/>
  <c r="P189" i="1" s="1" a="1"/>
  <c r="P189" i="1" s="1"/>
  <c r="N189" i="1"/>
  <c r="O189" i="1"/>
  <c r="M190" i="1"/>
  <c r="N190" i="1"/>
  <c r="O190" i="1"/>
  <c r="M191" i="1"/>
  <c r="N191" i="1"/>
  <c r="O191" i="1"/>
  <c r="M192" i="1"/>
  <c r="N192" i="1"/>
  <c r="O192" i="1"/>
  <c r="M193" i="1"/>
  <c r="P193" i="1" s="1" a="1"/>
  <c r="P193" i="1" s="1"/>
  <c r="N193" i="1"/>
  <c r="O193" i="1"/>
  <c r="M194" i="1"/>
  <c r="N194" i="1"/>
  <c r="O194" i="1"/>
  <c r="M195" i="1"/>
  <c r="N195" i="1"/>
  <c r="O195" i="1"/>
  <c r="M196" i="1"/>
  <c r="N196" i="1"/>
  <c r="O196" i="1"/>
  <c r="M197" i="1"/>
  <c r="P197" i="1" s="1" a="1"/>
  <c r="P197" i="1" s="1"/>
  <c r="N197" i="1"/>
  <c r="O197" i="1"/>
  <c r="M198" i="1"/>
  <c r="N198" i="1"/>
  <c r="O198" i="1"/>
  <c r="M199" i="1"/>
  <c r="N199" i="1"/>
  <c r="O199" i="1"/>
  <c r="M200" i="1"/>
  <c r="N200" i="1"/>
  <c r="O200" i="1"/>
  <c r="M201" i="1"/>
  <c r="P201" i="1" s="1" a="1"/>
  <c r="P201" i="1" s="1"/>
  <c r="N201" i="1"/>
  <c r="O201" i="1"/>
  <c r="M202" i="1"/>
  <c r="N202" i="1"/>
  <c r="O202" i="1"/>
  <c r="M203" i="1"/>
  <c r="N203" i="1"/>
  <c r="O203" i="1"/>
  <c r="M204" i="1"/>
  <c r="N204" i="1"/>
  <c r="O204" i="1"/>
  <c r="M205" i="1"/>
  <c r="P205" i="1" s="1" a="1"/>
  <c r="P205" i="1" s="1"/>
  <c r="N205" i="1"/>
  <c r="O205" i="1"/>
  <c r="M206" i="1"/>
  <c r="N206" i="1"/>
  <c r="O206" i="1"/>
  <c r="M207" i="1"/>
  <c r="N207" i="1"/>
  <c r="O207" i="1"/>
  <c r="M208" i="1"/>
  <c r="N208" i="1"/>
  <c r="O208" i="1"/>
  <c r="M209" i="1"/>
  <c r="P209" i="1" s="1" a="1"/>
  <c r="P209" i="1" s="1"/>
  <c r="N209" i="1"/>
  <c r="O209" i="1"/>
  <c r="M210" i="1"/>
  <c r="N210" i="1"/>
  <c r="O210" i="1"/>
  <c r="M211" i="1"/>
  <c r="N211" i="1"/>
  <c r="O211" i="1"/>
  <c r="M212" i="1"/>
  <c r="N212" i="1"/>
  <c r="O212" i="1"/>
  <c r="M213" i="1"/>
  <c r="P213" i="1" s="1" a="1"/>
  <c r="P213" i="1" s="1"/>
  <c r="N213" i="1"/>
  <c r="O213" i="1"/>
  <c r="M214" i="1"/>
  <c r="N214" i="1"/>
  <c r="O214" i="1"/>
  <c r="M215" i="1"/>
  <c r="N215" i="1"/>
  <c r="O215" i="1"/>
  <c r="M216" i="1"/>
  <c r="N216" i="1"/>
  <c r="O216" i="1"/>
  <c r="M217" i="1"/>
  <c r="P217" i="1" s="1" a="1"/>
  <c r="P217" i="1" s="1"/>
  <c r="N217" i="1"/>
  <c r="O217" i="1"/>
  <c r="M218" i="1"/>
  <c r="N218" i="1"/>
  <c r="O218" i="1"/>
  <c r="M219" i="1"/>
  <c r="N219" i="1"/>
  <c r="O219" i="1"/>
  <c r="M220" i="1"/>
  <c r="N220" i="1"/>
  <c r="O220" i="1"/>
  <c r="M221" i="1"/>
  <c r="P221" i="1" s="1" a="1"/>
  <c r="P221" i="1" s="1"/>
  <c r="N221" i="1"/>
  <c r="O221" i="1"/>
  <c r="M222" i="1"/>
  <c r="N222" i="1"/>
  <c r="O222" i="1"/>
  <c r="M223" i="1"/>
  <c r="N223" i="1"/>
  <c r="O223" i="1"/>
  <c r="M224" i="1"/>
  <c r="N224" i="1"/>
  <c r="O224" i="1"/>
  <c r="M225" i="1"/>
  <c r="P225" i="1" s="1" a="1"/>
  <c r="P225" i="1" s="1"/>
  <c r="N225" i="1"/>
  <c r="O225" i="1"/>
  <c r="M226" i="1"/>
  <c r="N226" i="1"/>
  <c r="O226" i="1"/>
  <c r="M227" i="1"/>
  <c r="N227" i="1"/>
  <c r="O227" i="1"/>
  <c r="M228" i="1"/>
  <c r="N228" i="1"/>
  <c r="O228" i="1"/>
  <c r="M229" i="1"/>
  <c r="P229" i="1" s="1" a="1"/>
  <c r="P229" i="1" s="1"/>
  <c r="N229" i="1"/>
  <c r="O229" i="1"/>
  <c r="M230" i="1"/>
  <c r="N230" i="1"/>
  <c r="O230" i="1"/>
  <c r="M231" i="1"/>
  <c r="N231" i="1"/>
  <c r="O231" i="1"/>
  <c r="M232" i="1"/>
  <c r="N232" i="1"/>
  <c r="O232" i="1"/>
  <c r="M233" i="1"/>
  <c r="P233" i="1" s="1" a="1"/>
  <c r="P233" i="1" s="1"/>
  <c r="N233" i="1"/>
  <c r="O233" i="1"/>
  <c r="M234" i="1"/>
  <c r="N234" i="1"/>
  <c r="O234" i="1"/>
  <c r="M235" i="1"/>
  <c r="N235" i="1"/>
  <c r="O235" i="1"/>
  <c r="M236" i="1"/>
  <c r="N236" i="1"/>
  <c r="O236" i="1"/>
  <c r="M237" i="1"/>
  <c r="P237" i="1" s="1" a="1"/>
  <c r="P237" i="1" s="1"/>
  <c r="N237" i="1"/>
  <c r="O237" i="1"/>
  <c r="M238" i="1"/>
  <c r="N238" i="1"/>
  <c r="O238" i="1"/>
  <c r="M239" i="1"/>
  <c r="N239" i="1"/>
  <c r="O239" i="1"/>
  <c r="M240" i="1"/>
  <c r="N240" i="1"/>
  <c r="O240" i="1"/>
  <c r="M241" i="1"/>
  <c r="P241" i="1" s="1" a="1"/>
  <c r="P241" i="1" s="1"/>
  <c r="N241" i="1"/>
  <c r="O241" i="1"/>
  <c r="M242" i="1"/>
  <c r="N242" i="1"/>
  <c r="O242" i="1"/>
  <c r="M243" i="1"/>
  <c r="N243" i="1"/>
  <c r="O243" i="1"/>
  <c r="M244" i="1"/>
  <c r="N244" i="1"/>
  <c r="O244" i="1"/>
  <c r="M245" i="1"/>
  <c r="P245" i="1" s="1" a="1"/>
  <c r="P245" i="1" s="1"/>
  <c r="N245" i="1"/>
  <c r="O245" i="1"/>
  <c r="M246" i="1"/>
  <c r="N246" i="1"/>
  <c r="O246" i="1"/>
  <c r="M247" i="1"/>
  <c r="N247" i="1"/>
  <c r="O247" i="1"/>
  <c r="M248" i="1"/>
  <c r="N248" i="1"/>
  <c r="O248" i="1"/>
  <c r="M249" i="1"/>
  <c r="P249" i="1" s="1" a="1"/>
  <c r="P249" i="1" s="1"/>
  <c r="N249" i="1"/>
  <c r="O249" i="1"/>
  <c r="M250" i="1"/>
  <c r="N250" i="1"/>
  <c r="O250" i="1"/>
  <c r="M251" i="1"/>
  <c r="N251" i="1"/>
  <c r="O251" i="1"/>
  <c r="M252" i="1"/>
  <c r="N252" i="1"/>
  <c r="O252" i="1"/>
  <c r="M253" i="1"/>
  <c r="P253" i="1" s="1" a="1"/>
  <c r="P253" i="1" s="1"/>
  <c r="N253" i="1"/>
  <c r="O253" i="1"/>
  <c r="M254" i="1"/>
  <c r="N254" i="1"/>
  <c r="O254" i="1"/>
  <c r="M255" i="1"/>
  <c r="N255" i="1"/>
  <c r="O255" i="1"/>
  <c r="M256" i="1"/>
  <c r="N256" i="1"/>
  <c r="O256" i="1"/>
  <c r="M257" i="1"/>
  <c r="P257" i="1" s="1" a="1"/>
  <c r="P257" i="1" s="1"/>
  <c r="N257" i="1"/>
  <c r="O257" i="1"/>
  <c r="M258" i="1"/>
  <c r="N258" i="1"/>
  <c r="O258" i="1"/>
  <c r="M259" i="1"/>
  <c r="N259" i="1"/>
  <c r="O259" i="1"/>
  <c r="M260" i="1"/>
  <c r="N260" i="1"/>
  <c r="O260" i="1"/>
  <c r="M261" i="1"/>
  <c r="P261" i="1" s="1" a="1"/>
  <c r="P261" i="1" s="1"/>
  <c r="N261" i="1"/>
  <c r="O261" i="1"/>
  <c r="M262" i="1"/>
  <c r="N262" i="1"/>
  <c r="O262" i="1"/>
  <c r="M263" i="1"/>
  <c r="N263" i="1"/>
  <c r="O263" i="1"/>
  <c r="M264" i="1"/>
  <c r="N264" i="1"/>
  <c r="O264" i="1"/>
  <c r="M265" i="1"/>
  <c r="P265" i="1" s="1" a="1"/>
  <c r="P265" i="1" s="1"/>
  <c r="N265" i="1"/>
  <c r="O265" i="1"/>
  <c r="M266" i="1"/>
  <c r="N266" i="1"/>
  <c r="O266" i="1"/>
  <c r="M267" i="1"/>
  <c r="N267" i="1"/>
  <c r="O267" i="1"/>
  <c r="M268" i="1"/>
  <c r="N268" i="1"/>
  <c r="O268" i="1"/>
  <c r="M269" i="1"/>
  <c r="P269" i="1" s="1" a="1"/>
  <c r="P269" i="1" s="1"/>
  <c r="N269" i="1"/>
  <c r="O269" i="1"/>
  <c r="M270" i="1"/>
  <c r="N270" i="1"/>
  <c r="O270" i="1"/>
  <c r="M271" i="1"/>
  <c r="N271" i="1"/>
  <c r="O271" i="1"/>
  <c r="M272" i="1"/>
  <c r="N272" i="1"/>
  <c r="O272" i="1"/>
  <c r="M273" i="1"/>
  <c r="P273" i="1" s="1" a="1"/>
  <c r="P273" i="1" s="1"/>
  <c r="N273" i="1"/>
  <c r="O273" i="1"/>
  <c r="M274" i="1"/>
  <c r="N274" i="1"/>
  <c r="O274" i="1"/>
  <c r="M275" i="1"/>
  <c r="N275" i="1"/>
  <c r="O275" i="1"/>
  <c r="M276" i="1"/>
  <c r="N276" i="1"/>
  <c r="O276" i="1"/>
  <c r="M277" i="1"/>
  <c r="P277" i="1" s="1" a="1"/>
  <c r="P277" i="1" s="1"/>
  <c r="N277" i="1"/>
  <c r="O277" i="1"/>
  <c r="M278" i="1"/>
  <c r="N278" i="1"/>
  <c r="O278" i="1"/>
  <c r="M279" i="1"/>
  <c r="N279" i="1"/>
  <c r="O279" i="1"/>
  <c r="M280" i="1"/>
  <c r="N280" i="1"/>
  <c r="O280" i="1"/>
  <c r="M281" i="1"/>
  <c r="P281" i="1" s="1" a="1"/>
  <c r="P281" i="1" s="1"/>
  <c r="N281" i="1"/>
  <c r="O281" i="1"/>
  <c r="M282" i="1"/>
  <c r="N282" i="1"/>
  <c r="O282" i="1"/>
  <c r="M283" i="1"/>
  <c r="N283" i="1"/>
  <c r="O283" i="1"/>
  <c r="M284" i="1"/>
  <c r="N284" i="1"/>
  <c r="O284" i="1"/>
  <c r="M285" i="1"/>
  <c r="P285" i="1" s="1" a="1"/>
  <c r="P285" i="1" s="1"/>
  <c r="N285" i="1"/>
  <c r="O285" i="1"/>
  <c r="M286" i="1"/>
  <c r="N286" i="1"/>
  <c r="O286" i="1"/>
  <c r="M287" i="1"/>
  <c r="N287" i="1"/>
  <c r="O287" i="1"/>
  <c r="M288" i="1"/>
  <c r="N288" i="1"/>
  <c r="O288" i="1"/>
  <c r="M289" i="1"/>
  <c r="P289" i="1" s="1" a="1"/>
  <c r="P289" i="1" s="1"/>
  <c r="N289" i="1"/>
  <c r="O289" i="1"/>
  <c r="M290" i="1"/>
  <c r="N290" i="1"/>
  <c r="O290" i="1"/>
  <c r="M291" i="1"/>
  <c r="N291" i="1"/>
  <c r="O291" i="1"/>
  <c r="M292" i="1"/>
  <c r="N292" i="1"/>
  <c r="O292" i="1"/>
  <c r="M293" i="1"/>
  <c r="P293" i="1" s="1" a="1"/>
  <c r="P293" i="1" s="1"/>
  <c r="N293" i="1"/>
  <c r="O293" i="1"/>
  <c r="M294" i="1"/>
  <c r="N294" i="1"/>
  <c r="O294" i="1"/>
  <c r="M295" i="1"/>
  <c r="N295" i="1"/>
  <c r="O295" i="1"/>
  <c r="M296" i="1"/>
  <c r="N296" i="1"/>
  <c r="O296" i="1"/>
  <c r="M297" i="1"/>
  <c r="P297" i="1" s="1" a="1"/>
  <c r="P297" i="1" s="1"/>
  <c r="N297" i="1"/>
  <c r="O297" i="1"/>
  <c r="M298" i="1"/>
  <c r="N298" i="1"/>
  <c r="O298" i="1"/>
  <c r="M299" i="1"/>
  <c r="N299" i="1"/>
  <c r="O299" i="1"/>
  <c r="M300" i="1"/>
  <c r="N300" i="1"/>
  <c r="O300" i="1"/>
  <c r="M301" i="1"/>
  <c r="P301" i="1" s="1" a="1"/>
  <c r="P301" i="1" s="1"/>
  <c r="N301" i="1"/>
  <c r="O301" i="1"/>
  <c r="M302" i="1"/>
  <c r="N302" i="1"/>
  <c r="O302" i="1"/>
  <c r="M303" i="1"/>
  <c r="N303" i="1"/>
  <c r="O303" i="1"/>
  <c r="M304" i="1"/>
  <c r="N304" i="1"/>
  <c r="O304" i="1"/>
  <c r="M305" i="1"/>
  <c r="P305" i="1" s="1" a="1"/>
  <c r="P305" i="1" s="1"/>
  <c r="N305" i="1"/>
  <c r="O305" i="1"/>
  <c r="M306" i="1"/>
  <c r="N306" i="1"/>
  <c r="O306" i="1"/>
  <c r="M307" i="1"/>
  <c r="N307" i="1"/>
  <c r="O307" i="1"/>
  <c r="M308" i="1"/>
  <c r="N308" i="1"/>
  <c r="O308" i="1"/>
  <c r="M309" i="1"/>
  <c r="P309" i="1" s="1" a="1"/>
  <c r="P309" i="1" s="1"/>
  <c r="N309" i="1"/>
  <c r="O309" i="1"/>
  <c r="M310" i="1"/>
  <c r="N310" i="1"/>
  <c r="O310" i="1"/>
  <c r="M311" i="1"/>
  <c r="N311" i="1"/>
  <c r="O311" i="1"/>
  <c r="M312" i="1"/>
  <c r="N312" i="1"/>
  <c r="O312" i="1"/>
  <c r="M313" i="1"/>
  <c r="P313" i="1" s="1" a="1"/>
  <c r="P313" i="1" s="1"/>
  <c r="N313" i="1"/>
  <c r="O313" i="1"/>
  <c r="M314" i="1"/>
  <c r="N314" i="1"/>
  <c r="O314" i="1"/>
  <c r="M315" i="1"/>
  <c r="N315" i="1"/>
  <c r="O315" i="1"/>
  <c r="M316" i="1"/>
  <c r="N316" i="1"/>
  <c r="O316" i="1"/>
  <c r="M317" i="1"/>
  <c r="P317" i="1" s="1" a="1"/>
  <c r="P317" i="1" s="1"/>
  <c r="N317" i="1"/>
  <c r="O317" i="1"/>
  <c r="M318" i="1"/>
  <c r="N318" i="1"/>
  <c r="O318" i="1"/>
  <c r="M319" i="1"/>
  <c r="N319" i="1"/>
  <c r="O319" i="1"/>
  <c r="M320" i="1"/>
  <c r="N320" i="1"/>
  <c r="O320" i="1"/>
  <c r="M321" i="1"/>
  <c r="P321" i="1" s="1" a="1"/>
  <c r="P321" i="1" s="1"/>
  <c r="N321" i="1"/>
  <c r="O321" i="1"/>
  <c r="M322" i="1"/>
  <c r="N322" i="1"/>
  <c r="O322" i="1"/>
  <c r="M323" i="1"/>
  <c r="N323" i="1"/>
  <c r="O323" i="1"/>
  <c r="M324" i="1"/>
  <c r="N324" i="1"/>
  <c r="O324" i="1"/>
  <c r="M325" i="1"/>
  <c r="P325" i="1" s="1" a="1"/>
  <c r="P325" i="1" s="1"/>
  <c r="N325" i="1"/>
  <c r="O325" i="1"/>
  <c r="M326" i="1"/>
  <c r="N326" i="1"/>
  <c r="O326" i="1"/>
  <c r="M327" i="1"/>
  <c r="N327" i="1"/>
  <c r="O327" i="1"/>
  <c r="M328" i="1"/>
  <c r="N328" i="1"/>
  <c r="O328" i="1"/>
  <c r="M329" i="1"/>
  <c r="P329" i="1" s="1" a="1"/>
  <c r="P329" i="1" s="1"/>
  <c r="N329" i="1"/>
  <c r="O329" i="1"/>
  <c r="M330" i="1"/>
  <c r="N330" i="1"/>
  <c r="O330" i="1"/>
  <c r="M331" i="1"/>
  <c r="N331" i="1"/>
  <c r="O331" i="1"/>
  <c r="M332" i="1"/>
  <c r="N332" i="1"/>
  <c r="O332" i="1"/>
  <c r="M333" i="1"/>
  <c r="P333" i="1" s="1" a="1"/>
  <c r="P333" i="1" s="1"/>
  <c r="N333" i="1"/>
  <c r="O333" i="1"/>
  <c r="M334" i="1"/>
  <c r="N334" i="1"/>
  <c r="O334" i="1"/>
  <c r="M335" i="1"/>
  <c r="N335" i="1"/>
  <c r="O335" i="1"/>
  <c r="M336" i="1"/>
  <c r="N336" i="1"/>
  <c r="O336" i="1"/>
  <c r="M337" i="1"/>
  <c r="P337" i="1" s="1" a="1"/>
  <c r="P337" i="1" s="1"/>
  <c r="N337" i="1"/>
  <c r="O337" i="1"/>
  <c r="M338" i="1"/>
  <c r="N338" i="1"/>
  <c r="O338" i="1"/>
  <c r="M339" i="1"/>
  <c r="N339" i="1"/>
  <c r="O339" i="1"/>
  <c r="M340" i="1"/>
  <c r="N340" i="1"/>
  <c r="O340" i="1"/>
  <c r="M341" i="1"/>
  <c r="P341" i="1" s="1" a="1"/>
  <c r="P341" i="1" s="1"/>
  <c r="N341" i="1"/>
  <c r="O341" i="1"/>
  <c r="M342" i="1"/>
  <c r="N342" i="1"/>
  <c r="O342" i="1"/>
  <c r="M343" i="1"/>
  <c r="N343" i="1"/>
  <c r="O343" i="1"/>
  <c r="M344" i="1"/>
  <c r="N344" i="1"/>
  <c r="O344" i="1"/>
  <c r="M345" i="1"/>
  <c r="P345" i="1" s="1" a="1"/>
  <c r="P345" i="1" s="1"/>
  <c r="N345" i="1"/>
  <c r="O345" i="1"/>
  <c r="M346" i="1"/>
  <c r="N346" i="1"/>
  <c r="O346" i="1"/>
  <c r="M347" i="1"/>
  <c r="N347" i="1"/>
  <c r="O347" i="1"/>
  <c r="M348" i="1"/>
  <c r="N348" i="1"/>
  <c r="O348" i="1"/>
  <c r="M349" i="1"/>
  <c r="P349" i="1" s="1" a="1"/>
  <c r="P349" i="1" s="1"/>
  <c r="N349" i="1"/>
  <c r="O349" i="1"/>
  <c r="M350" i="1"/>
  <c r="N350" i="1"/>
  <c r="O350" i="1"/>
  <c r="M351" i="1"/>
  <c r="N351" i="1"/>
  <c r="O351" i="1"/>
  <c r="M352" i="1"/>
  <c r="N352" i="1"/>
  <c r="O352" i="1"/>
  <c r="M353" i="1"/>
  <c r="P353" i="1" s="1" a="1"/>
  <c r="P353" i="1" s="1"/>
  <c r="N353" i="1"/>
  <c r="O353" i="1"/>
  <c r="M354" i="1"/>
  <c r="N354" i="1"/>
  <c r="O354" i="1"/>
  <c r="M355" i="1"/>
  <c r="N355" i="1"/>
  <c r="O355" i="1"/>
  <c r="M356" i="1"/>
  <c r="N356" i="1"/>
  <c r="O356" i="1"/>
  <c r="M357" i="1"/>
  <c r="P357" i="1" s="1" a="1"/>
  <c r="P357" i="1" s="1"/>
  <c r="N357" i="1"/>
  <c r="O357" i="1"/>
  <c r="M358" i="1"/>
  <c r="N358" i="1"/>
  <c r="O358" i="1"/>
  <c r="M359" i="1"/>
  <c r="N359" i="1"/>
  <c r="O359" i="1"/>
  <c r="M360" i="1"/>
  <c r="N360" i="1"/>
  <c r="O360" i="1"/>
  <c r="M361" i="1"/>
  <c r="P361" i="1" s="1" a="1"/>
  <c r="P361" i="1" s="1"/>
  <c r="N361" i="1"/>
  <c r="O361" i="1"/>
  <c r="M362" i="1"/>
  <c r="N362" i="1"/>
  <c r="O362" i="1"/>
  <c r="M363" i="1"/>
  <c r="N363" i="1"/>
  <c r="O363" i="1"/>
  <c r="M364" i="1"/>
  <c r="N364" i="1"/>
  <c r="O364" i="1"/>
  <c r="M365" i="1"/>
  <c r="P365" i="1" s="1" a="1"/>
  <c r="P365" i="1" s="1"/>
  <c r="N365" i="1"/>
  <c r="O365" i="1"/>
  <c r="M366" i="1"/>
  <c r="N366" i="1"/>
  <c r="O366" i="1"/>
  <c r="M367" i="1"/>
  <c r="N367" i="1"/>
  <c r="O367" i="1"/>
  <c r="M368" i="1"/>
  <c r="N368" i="1"/>
  <c r="O368" i="1"/>
  <c r="M369" i="1"/>
  <c r="P369" i="1" s="1" a="1"/>
  <c r="P369" i="1" s="1"/>
  <c r="N369" i="1"/>
  <c r="O369" i="1"/>
  <c r="M370" i="1"/>
  <c r="N370" i="1"/>
  <c r="O370" i="1"/>
  <c r="M371" i="1"/>
  <c r="N371" i="1"/>
  <c r="O371" i="1"/>
  <c r="M372" i="1"/>
  <c r="N372" i="1"/>
  <c r="O372" i="1"/>
  <c r="M373" i="1"/>
  <c r="P373" i="1" s="1" a="1"/>
  <c r="P373" i="1" s="1"/>
  <c r="N373" i="1"/>
  <c r="O373" i="1"/>
  <c r="M374" i="1"/>
  <c r="N374" i="1"/>
  <c r="O374" i="1"/>
  <c r="M375" i="1"/>
  <c r="N375" i="1"/>
  <c r="O375" i="1"/>
  <c r="M376" i="1"/>
  <c r="N376" i="1"/>
  <c r="O376" i="1"/>
  <c r="M377" i="1"/>
  <c r="P377" i="1" s="1" a="1"/>
  <c r="P377" i="1" s="1"/>
  <c r="N377" i="1"/>
  <c r="O377" i="1"/>
  <c r="M378" i="1"/>
  <c r="N378" i="1"/>
  <c r="O378" i="1"/>
  <c r="M379" i="1"/>
  <c r="N379" i="1"/>
  <c r="O379" i="1"/>
  <c r="M380" i="1"/>
  <c r="N380" i="1"/>
  <c r="O380" i="1"/>
  <c r="M381" i="1"/>
  <c r="P381" i="1" s="1" a="1"/>
  <c r="P381" i="1" s="1"/>
  <c r="N381" i="1"/>
  <c r="O381" i="1"/>
  <c r="M382" i="1"/>
  <c r="N382" i="1"/>
  <c r="O382" i="1"/>
  <c r="M383" i="1"/>
  <c r="N383" i="1"/>
  <c r="O383" i="1"/>
  <c r="M384" i="1"/>
  <c r="N384" i="1"/>
  <c r="O384" i="1"/>
  <c r="M385" i="1"/>
  <c r="P385" i="1" s="1" a="1"/>
  <c r="P385" i="1" s="1"/>
  <c r="N385" i="1"/>
  <c r="O385" i="1"/>
  <c r="M386" i="1"/>
  <c r="N386" i="1"/>
  <c r="O386" i="1"/>
  <c r="M387" i="1"/>
  <c r="N387" i="1"/>
  <c r="O387" i="1"/>
  <c r="M388" i="1"/>
  <c r="N388" i="1"/>
  <c r="O388" i="1"/>
  <c r="M389" i="1"/>
  <c r="P389" i="1" s="1" a="1"/>
  <c r="P389" i="1" s="1"/>
  <c r="N389" i="1"/>
  <c r="O389" i="1"/>
  <c r="M390" i="1"/>
  <c r="N390" i="1"/>
  <c r="O390" i="1"/>
  <c r="M391" i="1"/>
  <c r="N391" i="1"/>
  <c r="O391" i="1"/>
  <c r="M392" i="1"/>
  <c r="N392" i="1"/>
  <c r="O392" i="1"/>
  <c r="M393" i="1"/>
  <c r="P393" i="1" s="1" a="1"/>
  <c r="P393" i="1" s="1"/>
  <c r="N393" i="1"/>
  <c r="O393" i="1"/>
  <c r="M394" i="1"/>
  <c r="N394" i="1"/>
  <c r="O394" i="1"/>
  <c r="M395" i="1"/>
  <c r="N395" i="1"/>
  <c r="O395" i="1"/>
  <c r="M396" i="1"/>
  <c r="N396" i="1"/>
  <c r="O396" i="1"/>
  <c r="M397" i="1"/>
  <c r="P397" i="1" s="1" a="1"/>
  <c r="P397" i="1" s="1"/>
  <c r="N397" i="1"/>
  <c r="O397" i="1"/>
  <c r="M398" i="1"/>
  <c r="N398" i="1"/>
  <c r="O398" i="1"/>
  <c r="M399" i="1"/>
  <c r="N399" i="1"/>
  <c r="O399" i="1"/>
  <c r="M400" i="1"/>
  <c r="N400" i="1"/>
  <c r="O400" i="1"/>
  <c r="M401" i="1"/>
  <c r="P401" i="1" s="1" a="1"/>
  <c r="P401" i="1" s="1"/>
  <c r="N401" i="1"/>
  <c r="O401" i="1"/>
  <c r="M402" i="1"/>
  <c r="N402" i="1"/>
  <c r="O402" i="1"/>
  <c r="M403" i="1"/>
  <c r="N403" i="1"/>
  <c r="O403" i="1"/>
  <c r="M404" i="1"/>
  <c r="N404" i="1"/>
  <c r="O404" i="1"/>
  <c r="M405" i="1"/>
  <c r="P405" i="1" s="1" a="1"/>
  <c r="P405" i="1" s="1"/>
  <c r="N405" i="1"/>
  <c r="O405" i="1"/>
  <c r="M406" i="1"/>
  <c r="N406" i="1"/>
  <c r="O406" i="1"/>
  <c r="M407" i="1"/>
  <c r="N407" i="1"/>
  <c r="O407" i="1"/>
  <c r="M408" i="1"/>
  <c r="N408" i="1"/>
  <c r="O408" i="1"/>
  <c r="M409" i="1"/>
  <c r="P409" i="1" s="1" a="1"/>
  <c r="P409" i="1" s="1"/>
  <c r="N409" i="1"/>
  <c r="O409" i="1"/>
  <c r="M410" i="1"/>
  <c r="N410" i="1"/>
  <c r="O410" i="1"/>
  <c r="M411" i="1"/>
  <c r="N411" i="1"/>
  <c r="O411" i="1"/>
  <c r="M412" i="1"/>
  <c r="N412" i="1"/>
  <c r="O412" i="1"/>
  <c r="M413" i="1"/>
  <c r="P413" i="1" s="1" a="1"/>
  <c r="P413" i="1" s="1"/>
  <c r="N413" i="1"/>
  <c r="O413" i="1"/>
  <c r="M414" i="1"/>
  <c r="N414" i="1"/>
  <c r="O414" i="1"/>
  <c r="M415" i="1"/>
  <c r="N415" i="1"/>
  <c r="O415" i="1"/>
  <c r="M416" i="1"/>
  <c r="N416" i="1"/>
  <c r="O416" i="1"/>
  <c r="M417" i="1"/>
  <c r="P417" i="1" s="1" a="1"/>
  <c r="P417" i="1" s="1"/>
  <c r="N417" i="1"/>
  <c r="O417" i="1"/>
  <c r="M418" i="1"/>
  <c r="N418" i="1"/>
  <c r="O418" i="1"/>
  <c r="M419" i="1"/>
  <c r="N419" i="1"/>
  <c r="O419" i="1"/>
  <c r="M420" i="1"/>
  <c r="N420" i="1"/>
  <c r="O420" i="1"/>
  <c r="M421" i="1"/>
  <c r="P421" i="1" s="1" a="1"/>
  <c r="P421" i="1" s="1"/>
  <c r="N421" i="1"/>
  <c r="O421" i="1"/>
  <c r="M422" i="1"/>
  <c r="N422" i="1"/>
  <c r="O422" i="1"/>
  <c r="M423" i="1"/>
  <c r="N423" i="1"/>
  <c r="O423" i="1"/>
  <c r="M424" i="1"/>
  <c r="N424" i="1"/>
  <c r="O424" i="1"/>
  <c r="M425" i="1"/>
  <c r="P425" i="1" s="1" a="1"/>
  <c r="P425" i="1" s="1"/>
  <c r="N425" i="1"/>
  <c r="O425" i="1"/>
  <c r="M426" i="1"/>
  <c r="N426" i="1"/>
  <c r="O426" i="1"/>
  <c r="M427" i="1"/>
  <c r="N427" i="1"/>
  <c r="O427" i="1"/>
  <c r="M428" i="1"/>
  <c r="N428" i="1"/>
  <c r="O428" i="1"/>
  <c r="M429" i="1"/>
  <c r="P429" i="1" s="1" a="1"/>
  <c r="P429" i="1" s="1"/>
  <c r="N429" i="1"/>
  <c r="O429" i="1"/>
  <c r="M430" i="1"/>
  <c r="N430" i="1"/>
  <c r="O430" i="1"/>
  <c r="M431" i="1"/>
  <c r="N431" i="1"/>
  <c r="O431" i="1"/>
  <c r="M432" i="1"/>
  <c r="N432" i="1"/>
  <c r="O432" i="1"/>
  <c r="M433" i="1"/>
  <c r="P433" i="1" s="1" a="1"/>
  <c r="P433" i="1" s="1"/>
  <c r="N433" i="1"/>
  <c r="O433" i="1"/>
  <c r="M434" i="1"/>
  <c r="N434" i="1"/>
  <c r="O434" i="1"/>
  <c r="M435" i="1"/>
  <c r="N435" i="1"/>
  <c r="O435" i="1"/>
  <c r="M436" i="1"/>
  <c r="N436" i="1"/>
  <c r="O436" i="1"/>
  <c r="M437" i="1"/>
  <c r="P437" i="1" s="1" a="1"/>
  <c r="P437" i="1" s="1"/>
  <c r="N437" i="1"/>
  <c r="O437" i="1"/>
  <c r="M438" i="1"/>
  <c r="N438" i="1"/>
  <c r="O438" i="1"/>
  <c r="M439" i="1"/>
  <c r="N439" i="1"/>
  <c r="O439" i="1"/>
  <c r="M440" i="1"/>
  <c r="N440" i="1"/>
  <c r="O440" i="1"/>
  <c r="M441" i="1"/>
  <c r="P441" i="1" s="1" a="1"/>
  <c r="P441" i="1" s="1"/>
  <c r="N441" i="1"/>
  <c r="O441" i="1"/>
  <c r="M442" i="1"/>
  <c r="N442" i="1"/>
  <c r="O442" i="1"/>
  <c r="M443" i="1"/>
  <c r="N443" i="1"/>
  <c r="O443" i="1"/>
  <c r="M444" i="1"/>
  <c r="N444" i="1"/>
  <c r="O444" i="1"/>
  <c r="M445" i="1"/>
  <c r="P445" i="1" s="1" a="1"/>
  <c r="P445" i="1" s="1"/>
  <c r="N445" i="1"/>
  <c r="O445" i="1"/>
  <c r="M446" i="1"/>
  <c r="N446" i="1"/>
  <c r="O446" i="1"/>
  <c r="M447" i="1"/>
  <c r="N447" i="1"/>
  <c r="O447" i="1"/>
  <c r="M448" i="1"/>
  <c r="N448" i="1"/>
  <c r="O448" i="1"/>
  <c r="M449" i="1"/>
  <c r="P449" i="1" s="1" a="1"/>
  <c r="P449" i="1" s="1"/>
  <c r="N449" i="1"/>
  <c r="O449" i="1"/>
  <c r="M450" i="1"/>
  <c r="N450" i="1"/>
  <c r="O450" i="1"/>
  <c r="M451" i="1"/>
  <c r="N451" i="1"/>
  <c r="O451" i="1"/>
  <c r="M452" i="1"/>
  <c r="N452" i="1"/>
  <c r="O452" i="1"/>
  <c r="M453" i="1"/>
  <c r="P453" i="1" s="1" a="1"/>
  <c r="P453" i="1" s="1"/>
  <c r="N453" i="1"/>
  <c r="O453" i="1"/>
  <c r="M454" i="1"/>
  <c r="N454" i="1"/>
  <c r="O454" i="1"/>
  <c r="M455" i="1"/>
  <c r="N455" i="1"/>
  <c r="O455" i="1"/>
  <c r="M456" i="1"/>
  <c r="N456" i="1"/>
  <c r="O456" i="1"/>
  <c r="M457" i="1"/>
  <c r="P457" i="1" s="1" a="1"/>
  <c r="P457" i="1" s="1"/>
  <c r="N457" i="1"/>
  <c r="O457" i="1"/>
  <c r="M458" i="1"/>
  <c r="N458" i="1"/>
  <c r="O458" i="1"/>
  <c r="M459" i="1"/>
  <c r="N459" i="1"/>
  <c r="O459" i="1"/>
  <c r="M460" i="1"/>
  <c r="N460" i="1"/>
  <c r="O460" i="1"/>
  <c r="M461" i="1"/>
  <c r="P461" i="1" s="1" a="1"/>
  <c r="P461" i="1" s="1"/>
  <c r="N461" i="1"/>
  <c r="O461" i="1"/>
  <c r="M462" i="1"/>
  <c r="N462" i="1"/>
  <c r="O462" i="1"/>
  <c r="M463" i="1"/>
  <c r="N463" i="1"/>
  <c r="O463" i="1"/>
  <c r="M464" i="1"/>
  <c r="N464" i="1"/>
  <c r="O464" i="1"/>
  <c r="M465" i="1"/>
  <c r="P465" i="1" s="1" a="1"/>
  <c r="P465" i="1" s="1"/>
  <c r="N465" i="1"/>
  <c r="O465" i="1"/>
  <c r="M466" i="1"/>
  <c r="N466" i="1"/>
  <c r="O466" i="1"/>
  <c r="M467" i="1"/>
  <c r="N467" i="1"/>
  <c r="O467" i="1"/>
  <c r="M468" i="1"/>
  <c r="N468" i="1"/>
  <c r="O468" i="1"/>
  <c r="M469" i="1"/>
  <c r="P469" i="1" s="1" a="1"/>
  <c r="P469" i="1" s="1"/>
  <c r="N469" i="1"/>
  <c r="O469" i="1"/>
  <c r="M470" i="1"/>
  <c r="N470" i="1"/>
  <c r="O470" i="1"/>
  <c r="M471" i="1"/>
  <c r="N471" i="1"/>
  <c r="O471" i="1"/>
  <c r="M472" i="1"/>
  <c r="N472" i="1"/>
  <c r="O472" i="1"/>
  <c r="M473" i="1"/>
  <c r="P473" i="1" s="1" a="1"/>
  <c r="P473" i="1" s="1"/>
  <c r="N473" i="1"/>
  <c r="O473" i="1"/>
  <c r="M474" i="1"/>
  <c r="N474" i="1"/>
  <c r="O474" i="1"/>
  <c r="M475" i="1"/>
  <c r="N475" i="1"/>
  <c r="O475" i="1"/>
  <c r="M476" i="1"/>
  <c r="N476" i="1"/>
  <c r="O476" i="1"/>
  <c r="M477" i="1"/>
  <c r="P477" i="1" s="1" a="1"/>
  <c r="P477" i="1" s="1"/>
  <c r="N477" i="1"/>
  <c r="O477" i="1"/>
  <c r="M478" i="1"/>
  <c r="N478" i="1"/>
  <c r="O478" i="1"/>
  <c r="M479" i="1"/>
  <c r="N479" i="1"/>
  <c r="O479" i="1"/>
  <c r="M480" i="1"/>
  <c r="N480" i="1"/>
  <c r="O480" i="1"/>
  <c r="M481" i="1"/>
  <c r="P481" i="1" s="1" a="1"/>
  <c r="P481" i="1" s="1"/>
  <c r="N481" i="1"/>
  <c r="O481" i="1"/>
  <c r="M482" i="1"/>
  <c r="N482" i="1"/>
  <c r="O482" i="1"/>
  <c r="M483" i="1"/>
  <c r="N483" i="1"/>
  <c r="O483" i="1"/>
  <c r="M484" i="1"/>
  <c r="N484" i="1"/>
  <c r="O484" i="1"/>
  <c r="M485" i="1"/>
  <c r="P485" i="1" s="1" a="1"/>
  <c r="P485" i="1" s="1"/>
  <c r="N485" i="1"/>
  <c r="O485" i="1"/>
  <c r="M486" i="1"/>
  <c r="N486" i="1"/>
  <c r="O486" i="1"/>
  <c r="M487" i="1"/>
  <c r="N487" i="1"/>
  <c r="O487" i="1"/>
  <c r="M488" i="1"/>
  <c r="N488" i="1"/>
  <c r="O488" i="1"/>
  <c r="M489" i="1"/>
  <c r="P489" i="1" s="1" a="1"/>
  <c r="P489" i="1" s="1"/>
  <c r="N489" i="1"/>
  <c r="O489" i="1"/>
  <c r="M490" i="1"/>
  <c r="N490" i="1"/>
  <c r="O490" i="1"/>
  <c r="M491" i="1"/>
  <c r="N491" i="1"/>
  <c r="O491" i="1"/>
  <c r="M492" i="1"/>
  <c r="N492" i="1"/>
  <c r="O492" i="1"/>
  <c r="M493" i="1"/>
  <c r="P493" i="1" s="1" a="1"/>
  <c r="P493" i="1" s="1"/>
  <c r="N493" i="1"/>
  <c r="O493" i="1"/>
  <c r="M494" i="1"/>
  <c r="N494" i="1"/>
  <c r="O494" i="1"/>
  <c r="M495" i="1"/>
  <c r="N495" i="1"/>
  <c r="O495" i="1"/>
  <c r="M496" i="1"/>
  <c r="N496" i="1"/>
  <c r="O496" i="1"/>
  <c r="M497" i="1"/>
  <c r="P497" i="1" s="1" a="1"/>
  <c r="P497" i="1" s="1"/>
  <c r="N497" i="1"/>
  <c r="O497" i="1"/>
  <c r="M498" i="1"/>
  <c r="N498" i="1"/>
  <c r="O498" i="1"/>
  <c r="M499" i="1"/>
  <c r="N499" i="1"/>
  <c r="O499" i="1"/>
  <c r="M500" i="1"/>
  <c r="N500" i="1"/>
  <c r="O500" i="1"/>
  <c r="M501" i="1"/>
  <c r="P501" i="1" s="1" a="1"/>
  <c r="P501" i="1" s="1"/>
  <c r="N501" i="1"/>
  <c r="O501" i="1"/>
  <c r="M502" i="1"/>
  <c r="N502" i="1"/>
  <c r="O502" i="1"/>
  <c r="M503" i="1"/>
  <c r="N503" i="1"/>
  <c r="O503" i="1"/>
  <c r="M504" i="1"/>
  <c r="N504" i="1"/>
  <c r="O504" i="1"/>
  <c r="M505" i="1"/>
  <c r="P505" i="1" s="1" a="1"/>
  <c r="P505" i="1" s="1"/>
  <c r="N505" i="1"/>
  <c r="O505" i="1"/>
  <c r="M506" i="1"/>
  <c r="N506" i="1"/>
  <c r="O506" i="1"/>
  <c r="M507" i="1"/>
  <c r="N507" i="1"/>
  <c r="O507" i="1"/>
  <c r="M508" i="1"/>
  <c r="N508" i="1"/>
  <c r="O508" i="1"/>
  <c r="M509" i="1"/>
  <c r="P509" i="1" s="1" a="1"/>
  <c r="P509" i="1" s="1"/>
  <c r="N509" i="1"/>
  <c r="O509" i="1"/>
  <c r="M510" i="1"/>
  <c r="N510" i="1"/>
  <c r="O510" i="1"/>
  <c r="M511" i="1"/>
  <c r="N511" i="1"/>
  <c r="O511" i="1"/>
  <c r="M512" i="1"/>
  <c r="N512" i="1"/>
  <c r="O512" i="1"/>
  <c r="M513" i="1"/>
  <c r="P513" i="1" s="1" a="1"/>
  <c r="P513" i="1" s="1"/>
  <c r="N513" i="1"/>
  <c r="O513" i="1"/>
  <c r="M514" i="1"/>
  <c r="N514" i="1"/>
  <c r="O514" i="1"/>
  <c r="M515" i="1"/>
  <c r="N515" i="1"/>
  <c r="O515" i="1"/>
  <c r="M516" i="1"/>
  <c r="N516" i="1"/>
  <c r="O516" i="1"/>
  <c r="M517" i="1"/>
  <c r="P517" i="1" s="1" a="1"/>
  <c r="P517" i="1" s="1"/>
  <c r="N517" i="1"/>
  <c r="O517" i="1"/>
  <c r="M518" i="1"/>
  <c r="N518" i="1"/>
  <c r="O518" i="1"/>
  <c r="M519" i="1"/>
  <c r="N519" i="1"/>
  <c r="O519" i="1"/>
  <c r="M520" i="1"/>
  <c r="N520" i="1"/>
  <c r="O520" i="1"/>
  <c r="M521" i="1"/>
  <c r="P521" i="1" s="1" a="1"/>
  <c r="P521" i="1" s="1"/>
  <c r="N521" i="1"/>
  <c r="O521" i="1"/>
  <c r="M522" i="1"/>
  <c r="N522" i="1"/>
  <c r="O522" i="1"/>
  <c r="M523" i="1"/>
  <c r="N523" i="1"/>
  <c r="O523" i="1"/>
  <c r="M524" i="1"/>
  <c r="N524" i="1"/>
  <c r="O524" i="1"/>
  <c r="M525" i="1"/>
  <c r="P525" i="1" s="1" a="1"/>
  <c r="P525" i="1" s="1"/>
  <c r="N525" i="1"/>
  <c r="O525" i="1"/>
  <c r="M526" i="1"/>
  <c r="N526" i="1"/>
  <c r="O526" i="1"/>
  <c r="M527" i="1"/>
  <c r="N527" i="1"/>
  <c r="O527" i="1"/>
  <c r="M528" i="1"/>
  <c r="N528" i="1"/>
  <c r="O528" i="1"/>
  <c r="M529" i="1"/>
  <c r="P529" i="1" s="1" a="1"/>
  <c r="P529" i="1" s="1"/>
  <c r="N529" i="1"/>
  <c r="O529" i="1"/>
  <c r="M530" i="1"/>
  <c r="N530" i="1"/>
  <c r="O530" i="1"/>
  <c r="M531" i="1"/>
  <c r="N531" i="1"/>
  <c r="O531" i="1"/>
  <c r="M532" i="1"/>
  <c r="N532" i="1"/>
  <c r="O532" i="1"/>
  <c r="M533" i="1"/>
  <c r="P533" i="1" s="1" a="1"/>
  <c r="P533" i="1" s="1"/>
  <c r="N533" i="1"/>
  <c r="O533" i="1"/>
  <c r="M534" i="1"/>
  <c r="N534" i="1"/>
  <c r="O534" i="1"/>
  <c r="M535" i="1"/>
  <c r="N535" i="1"/>
  <c r="O535" i="1"/>
  <c r="M536" i="1"/>
  <c r="N536" i="1"/>
  <c r="O536" i="1"/>
  <c r="M537" i="1"/>
  <c r="P537" i="1" s="1" a="1"/>
  <c r="P537" i="1" s="1"/>
  <c r="N537" i="1"/>
  <c r="O537" i="1"/>
  <c r="M538" i="1"/>
  <c r="N538" i="1"/>
  <c r="O538" i="1"/>
  <c r="M539" i="1"/>
  <c r="N539" i="1"/>
  <c r="O539" i="1"/>
  <c r="M540" i="1"/>
  <c r="N540" i="1"/>
  <c r="O540" i="1"/>
  <c r="M541" i="1"/>
  <c r="P541" i="1" s="1" a="1"/>
  <c r="P541" i="1" s="1"/>
  <c r="N541" i="1"/>
  <c r="O541" i="1"/>
  <c r="M542" i="1"/>
  <c r="N542" i="1"/>
  <c r="O542" i="1"/>
  <c r="M543" i="1"/>
  <c r="N543" i="1"/>
  <c r="O543" i="1"/>
  <c r="M544" i="1"/>
  <c r="N544" i="1"/>
  <c r="O544" i="1"/>
  <c r="M545" i="1"/>
  <c r="P545" i="1" s="1" a="1"/>
  <c r="P545" i="1" s="1"/>
  <c r="N545" i="1"/>
  <c r="O545" i="1"/>
  <c r="M546" i="1"/>
  <c r="N546" i="1"/>
  <c r="O546" i="1"/>
  <c r="M547" i="1"/>
  <c r="N547" i="1"/>
  <c r="O547" i="1"/>
  <c r="M548" i="1"/>
  <c r="N548" i="1"/>
  <c r="O548" i="1"/>
  <c r="M549" i="1"/>
  <c r="P549" i="1" s="1" a="1"/>
  <c r="P549" i="1" s="1"/>
  <c r="N549" i="1"/>
  <c r="O549" i="1"/>
  <c r="M550" i="1"/>
  <c r="N550" i="1"/>
  <c r="O550" i="1"/>
  <c r="M551" i="1"/>
  <c r="N551" i="1"/>
  <c r="O551" i="1"/>
  <c r="M552" i="1"/>
  <c r="N552" i="1"/>
  <c r="O552" i="1"/>
  <c r="M553" i="1"/>
  <c r="P553" i="1" s="1" a="1"/>
  <c r="P553" i="1" s="1"/>
  <c r="N553" i="1"/>
  <c r="O553" i="1"/>
  <c r="M554" i="1"/>
  <c r="N554" i="1"/>
  <c r="O554" i="1"/>
  <c r="M555" i="1"/>
  <c r="N555" i="1"/>
  <c r="O555" i="1"/>
  <c r="M556" i="1"/>
  <c r="N556" i="1"/>
  <c r="O556" i="1"/>
  <c r="M557" i="1"/>
  <c r="P557" i="1" s="1" a="1"/>
  <c r="P557" i="1" s="1"/>
  <c r="N557" i="1"/>
  <c r="O557" i="1"/>
  <c r="M558" i="1"/>
  <c r="N558" i="1"/>
  <c r="O558" i="1"/>
  <c r="M559" i="1"/>
  <c r="N559" i="1"/>
  <c r="O559" i="1"/>
  <c r="M560" i="1"/>
  <c r="N560" i="1"/>
  <c r="O560" i="1"/>
  <c r="M561" i="1"/>
  <c r="P561" i="1" s="1" a="1"/>
  <c r="P561" i="1" s="1"/>
  <c r="N561" i="1"/>
  <c r="O561" i="1"/>
  <c r="M562" i="1"/>
  <c r="N562" i="1"/>
  <c r="O562" i="1"/>
  <c r="M563" i="1"/>
  <c r="N563" i="1"/>
  <c r="O563" i="1"/>
  <c r="M564" i="1"/>
  <c r="N564" i="1"/>
  <c r="O564" i="1"/>
  <c r="M565" i="1"/>
  <c r="P565" i="1" s="1" a="1"/>
  <c r="P565" i="1" s="1"/>
  <c r="N565" i="1"/>
  <c r="O565" i="1"/>
  <c r="M566" i="1"/>
  <c r="N566" i="1"/>
  <c r="O566" i="1"/>
  <c r="M567" i="1"/>
  <c r="N567" i="1"/>
  <c r="O567" i="1"/>
  <c r="M568" i="1"/>
  <c r="N568" i="1"/>
  <c r="O568" i="1"/>
  <c r="M569" i="1"/>
  <c r="P569" i="1" s="1" a="1"/>
  <c r="P569" i="1" s="1"/>
  <c r="N569" i="1"/>
  <c r="O569" i="1"/>
  <c r="M570" i="1"/>
  <c r="N570" i="1"/>
  <c r="O570" i="1"/>
  <c r="M571" i="1"/>
  <c r="N571" i="1"/>
  <c r="O571" i="1"/>
  <c r="M572" i="1"/>
  <c r="N572" i="1"/>
  <c r="O572" i="1"/>
  <c r="M573" i="1"/>
  <c r="P573" i="1" s="1" a="1"/>
  <c r="P573" i="1" s="1"/>
  <c r="N573" i="1"/>
  <c r="O573" i="1"/>
  <c r="M574" i="1"/>
  <c r="N574" i="1"/>
  <c r="O574" i="1"/>
  <c r="M575" i="1"/>
  <c r="N575" i="1"/>
  <c r="O575" i="1"/>
  <c r="M576" i="1"/>
  <c r="N576" i="1"/>
  <c r="O576" i="1"/>
  <c r="M577" i="1"/>
  <c r="P577" i="1" s="1" a="1"/>
  <c r="P577" i="1" s="1"/>
  <c r="N577" i="1"/>
  <c r="O577" i="1"/>
  <c r="M578" i="1"/>
  <c r="N578" i="1"/>
  <c r="O578" i="1"/>
  <c r="M579" i="1"/>
  <c r="N579" i="1"/>
  <c r="O579" i="1"/>
  <c r="M580" i="1"/>
  <c r="N580" i="1"/>
  <c r="O580" i="1"/>
  <c r="M581" i="1"/>
  <c r="P581" i="1" s="1" a="1"/>
  <c r="P581" i="1" s="1"/>
  <c r="N581" i="1"/>
  <c r="O581" i="1"/>
  <c r="M582" i="1"/>
  <c r="N582" i="1"/>
  <c r="O582" i="1"/>
  <c r="M583" i="1"/>
  <c r="N583" i="1"/>
  <c r="O583" i="1"/>
  <c r="M584" i="1"/>
  <c r="N584" i="1"/>
  <c r="O584" i="1"/>
  <c r="M585" i="1"/>
  <c r="P585" i="1" s="1" a="1"/>
  <c r="P585" i="1" s="1"/>
  <c r="N585" i="1"/>
  <c r="O585" i="1"/>
  <c r="M586" i="1"/>
  <c r="N586" i="1"/>
  <c r="O586" i="1"/>
  <c r="M587" i="1"/>
  <c r="N587" i="1"/>
  <c r="O587" i="1"/>
  <c r="M588" i="1"/>
  <c r="N588" i="1"/>
  <c r="O588" i="1"/>
  <c r="M589" i="1"/>
  <c r="P589" i="1" s="1" a="1"/>
  <c r="P589" i="1" s="1"/>
  <c r="N589" i="1"/>
  <c r="O589" i="1"/>
  <c r="M590" i="1"/>
  <c r="N590" i="1"/>
  <c r="O590" i="1"/>
  <c r="M591" i="1"/>
  <c r="N591" i="1"/>
  <c r="O591" i="1"/>
  <c r="M592" i="1"/>
  <c r="N592" i="1"/>
  <c r="O592" i="1"/>
  <c r="M593" i="1"/>
  <c r="P593" i="1" s="1" a="1"/>
  <c r="P593" i="1" s="1"/>
  <c r="N593" i="1"/>
  <c r="O593" i="1"/>
  <c r="M594" i="1"/>
  <c r="N594" i="1"/>
  <c r="O594" i="1"/>
  <c r="M595" i="1"/>
  <c r="N595" i="1"/>
  <c r="O595" i="1"/>
  <c r="M596" i="1"/>
  <c r="N596" i="1"/>
  <c r="O596" i="1"/>
  <c r="M597" i="1"/>
  <c r="P597" i="1" s="1" a="1"/>
  <c r="P597" i="1" s="1"/>
  <c r="N597" i="1"/>
  <c r="O597" i="1"/>
  <c r="M598" i="1"/>
  <c r="N598" i="1"/>
  <c r="O598" i="1"/>
  <c r="M599" i="1"/>
  <c r="N599" i="1"/>
  <c r="O599" i="1"/>
  <c r="M600" i="1"/>
  <c r="N600" i="1"/>
  <c r="O600" i="1"/>
  <c r="M601" i="1"/>
  <c r="P601" i="1" s="1" a="1"/>
  <c r="P601" i="1" s="1"/>
  <c r="N601" i="1"/>
  <c r="O601" i="1"/>
  <c r="M602" i="1"/>
  <c r="N602" i="1"/>
  <c r="O602" i="1"/>
  <c r="M603" i="1"/>
  <c r="N603" i="1"/>
  <c r="O603" i="1"/>
  <c r="M604" i="1"/>
  <c r="N604" i="1"/>
  <c r="O604" i="1"/>
  <c r="M605" i="1"/>
  <c r="P605" i="1" s="1" a="1"/>
  <c r="P605" i="1" s="1"/>
  <c r="N605" i="1"/>
  <c r="O605" i="1"/>
  <c r="M606" i="1"/>
  <c r="N606" i="1"/>
  <c r="O606" i="1"/>
  <c r="M607" i="1"/>
  <c r="N607" i="1"/>
  <c r="O607" i="1"/>
  <c r="M608" i="1"/>
  <c r="N608" i="1"/>
  <c r="O608" i="1"/>
  <c r="M609" i="1"/>
  <c r="P609" i="1" s="1" a="1"/>
  <c r="P609" i="1" s="1"/>
  <c r="N609" i="1"/>
  <c r="O609" i="1"/>
  <c r="M610" i="1"/>
  <c r="N610" i="1"/>
  <c r="O610" i="1"/>
  <c r="M611" i="1"/>
  <c r="N611" i="1"/>
  <c r="O611" i="1"/>
  <c r="M612" i="1"/>
  <c r="N612" i="1"/>
  <c r="O612" i="1"/>
  <c r="M613" i="1"/>
  <c r="P613" i="1" s="1" a="1"/>
  <c r="P613" i="1" s="1"/>
  <c r="N613" i="1"/>
  <c r="O613" i="1"/>
  <c r="M614" i="1"/>
  <c r="N614" i="1"/>
  <c r="O614" i="1"/>
  <c r="M615" i="1"/>
  <c r="N615" i="1"/>
  <c r="O615" i="1"/>
  <c r="M616" i="1"/>
  <c r="N616" i="1"/>
  <c r="O616" i="1"/>
  <c r="M617" i="1"/>
  <c r="P617" i="1" s="1" a="1"/>
  <c r="P617" i="1" s="1"/>
  <c r="N617" i="1"/>
  <c r="O617" i="1"/>
  <c r="M618" i="1"/>
  <c r="N618" i="1"/>
  <c r="O618" i="1"/>
  <c r="M619" i="1"/>
  <c r="N619" i="1"/>
  <c r="O619" i="1"/>
  <c r="M620" i="1"/>
  <c r="N620" i="1"/>
  <c r="O620" i="1"/>
  <c r="M621" i="1"/>
  <c r="P621" i="1" s="1" a="1"/>
  <c r="P621" i="1" s="1"/>
  <c r="N621" i="1"/>
  <c r="O621" i="1"/>
  <c r="M622" i="1"/>
  <c r="N622" i="1"/>
  <c r="O622" i="1"/>
  <c r="M623" i="1"/>
  <c r="N623" i="1"/>
  <c r="O623" i="1"/>
  <c r="M624" i="1"/>
  <c r="N624" i="1"/>
  <c r="O624" i="1"/>
  <c r="M625" i="1"/>
  <c r="P625" i="1" s="1" a="1"/>
  <c r="P625" i="1" s="1"/>
  <c r="N625" i="1"/>
  <c r="O625" i="1"/>
  <c r="M626" i="1"/>
  <c r="N626" i="1"/>
  <c r="O626" i="1"/>
  <c r="M627" i="1"/>
  <c r="N627" i="1"/>
  <c r="O627" i="1"/>
  <c r="M628" i="1"/>
  <c r="N628" i="1"/>
  <c r="O628" i="1"/>
  <c r="M629" i="1"/>
  <c r="P629" i="1" s="1" a="1"/>
  <c r="P629" i="1" s="1"/>
  <c r="N629" i="1"/>
  <c r="O629" i="1"/>
  <c r="M630" i="1"/>
  <c r="N630" i="1"/>
  <c r="O630" i="1"/>
  <c r="M631" i="1"/>
  <c r="N631" i="1"/>
  <c r="O631" i="1"/>
  <c r="M632" i="1"/>
  <c r="N632" i="1"/>
  <c r="O632" i="1"/>
  <c r="M633" i="1"/>
  <c r="P633" i="1" s="1" a="1"/>
  <c r="P633" i="1" s="1"/>
  <c r="N633" i="1"/>
  <c r="O633" i="1"/>
  <c r="M634" i="1"/>
  <c r="N634" i="1"/>
  <c r="O634" i="1"/>
  <c r="M635" i="1"/>
  <c r="N635" i="1"/>
  <c r="O635" i="1"/>
  <c r="M636" i="1"/>
  <c r="N636" i="1"/>
  <c r="O636" i="1"/>
  <c r="M637" i="1"/>
  <c r="P637" i="1" s="1" a="1"/>
  <c r="P637" i="1" s="1"/>
  <c r="N637" i="1"/>
  <c r="O637" i="1"/>
  <c r="M638" i="1"/>
  <c r="N638" i="1"/>
  <c r="O638" i="1"/>
  <c r="M639" i="1"/>
  <c r="N639" i="1"/>
  <c r="O639" i="1"/>
  <c r="M640" i="1"/>
  <c r="N640" i="1"/>
  <c r="O640" i="1"/>
  <c r="M641" i="1"/>
  <c r="P641" i="1" s="1" a="1"/>
  <c r="P641" i="1" s="1"/>
  <c r="N641" i="1"/>
  <c r="O641" i="1"/>
  <c r="M642" i="1"/>
  <c r="N642" i="1"/>
  <c r="O642" i="1"/>
  <c r="M643" i="1"/>
  <c r="N643" i="1"/>
  <c r="O643" i="1"/>
  <c r="M644" i="1"/>
  <c r="N644" i="1"/>
  <c r="O644" i="1"/>
  <c r="M645" i="1"/>
  <c r="P645" i="1" s="1" a="1"/>
  <c r="P645" i="1" s="1"/>
  <c r="N645" i="1"/>
  <c r="O645" i="1"/>
  <c r="M646" i="1"/>
  <c r="N646" i="1"/>
  <c r="O646" i="1"/>
  <c r="M647" i="1"/>
  <c r="N647" i="1"/>
  <c r="O647" i="1"/>
  <c r="M648" i="1"/>
  <c r="N648" i="1"/>
  <c r="O648" i="1"/>
  <c r="M649" i="1"/>
  <c r="P649" i="1" s="1" a="1"/>
  <c r="P649" i="1" s="1"/>
  <c r="N649" i="1"/>
  <c r="O649" i="1"/>
  <c r="M650" i="1"/>
  <c r="N650" i="1"/>
  <c r="O650" i="1"/>
  <c r="M651" i="1"/>
  <c r="N651" i="1"/>
  <c r="O651" i="1"/>
  <c r="M652" i="1"/>
  <c r="N652" i="1"/>
  <c r="O652" i="1"/>
  <c r="M653" i="1"/>
  <c r="P653" i="1" s="1" a="1"/>
  <c r="P653" i="1" s="1"/>
  <c r="N653" i="1"/>
  <c r="O653" i="1"/>
  <c r="M654" i="1"/>
  <c r="N654" i="1"/>
  <c r="O654" i="1"/>
  <c r="M655" i="1"/>
  <c r="N655" i="1"/>
  <c r="O655" i="1"/>
  <c r="M656" i="1"/>
  <c r="N656" i="1"/>
  <c r="O656" i="1"/>
  <c r="M657" i="1"/>
  <c r="P657" i="1" s="1" a="1"/>
  <c r="P657" i="1" s="1"/>
  <c r="N657" i="1"/>
  <c r="O657" i="1"/>
  <c r="M658" i="1"/>
  <c r="N658" i="1"/>
  <c r="O658" i="1"/>
  <c r="M659" i="1"/>
  <c r="N659" i="1"/>
  <c r="O659" i="1"/>
  <c r="M660" i="1"/>
  <c r="N660" i="1"/>
  <c r="O660" i="1"/>
  <c r="M661" i="1"/>
  <c r="P661" i="1" s="1" a="1"/>
  <c r="P661" i="1" s="1"/>
  <c r="N661" i="1"/>
  <c r="O661" i="1"/>
  <c r="M662" i="1"/>
  <c r="N662" i="1"/>
  <c r="O662" i="1"/>
  <c r="M663" i="1"/>
  <c r="N663" i="1"/>
  <c r="O663" i="1"/>
  <c r="M664" i="1"/>
  <c r="N664" i="1"/>
  <c r="O664" i="1"/>
  <c r="M665" i="1"/>
  <c r="P665" i="1" s="1" a="1"/>
  <c r="P665" i="1" s="1"/>
  <c r="N665" i="1"/>
  <c r="O665" i="1"/>
  <c r="M666" i="1"/>
  <c r="N666" i="1"/>
  <c r="O666" i="1"/>
  <c r="M667" i="1"/>
  <c r="N667" i="1"/>
  <c r="O667" i="1"/>
  <c r="M668" i="1"/>
  <c r="N668" i="1"/>
  <c r="O668" i="1"/>
  <c r="M669" i="1"/>
  <c r="P669" i="1" s="1" a="1"/>
  <c r="P669" i="1" s="1"/>
  <c r="N669" i="1"/>
  <c r="O669" i="1"/>
  <c r="M670" i="1"/>
  <c r="N670" i="1"/>
  <c r="O670" i="1"/>
  <c r="M671" i="1"/>
  <c r="N671" i="1"/>
  <c r="O671" i="1"/>
  <c r="M672" i="1"/>
  <c r="N672" i="1"/>
  <c r="O672" i="1"/>
  <c r="M673" i="1"/>
  <c r="P673" i="1" s="1" a="1"/>
  <c r="P673" i="1" s="1"/>
  <c r="N673" i="1"/>
  <c r="O673" i="1"/>
  <c r="M674" i="1"/>
  <c r="N674" i="1"/>
  <c r="O674" i="1"/>
  <c r="M675" i="1"/>
  <c r="N675" i="1"/>
  <c r="O675" i="1"/>
  <c r="M676" i="1"/>
  <c r="N676" i="1"/>
  <c r="O676" i="1"/>
  <c r="M677" i="1"/>
  <c r="P677" i="1" s="1" a="1"/>
  <c r="P677" i="1" s="1"/>
  <c r="N677" i="1"/>
  <c r="O677" i="1"/>
  <c r="M678" i="1"/>
  <c r="N678" i="1"/>
  <c r="O678" i="1"/>
  <c r="M679" i="1"/>
  <c r="N679" i="1"/>
  <c r="O679" i="1"/>
  <c r="M680" i="1"/>
  <c r="N680" i="1"/>
  <c r="O680" i="1"/>
  <c r="M681" i="1"/>
  <c r="P681" i="1" s="1" a="1"/>
  <c r="P681" i="1" s="1"/>
  <c r="N681" i="1"/>
  <c r="O681" i="1"/>
  <c r="M682" i="1"/>
  <c r="N682" i="1"/>
  <c r="O682" i="1"/>
  <c r="M683" i="1"/>
  <c r="N683" i="1"/>
  <c r="O683" i="1"/>
  <c r="M684" i="1"/>
  <c r="N684" i="1"/>
  <c r="O684" i="1"/>
  <c r="M685" i="1"/>
  <c r="P685" i="1" s="1" a="1"/>
  <c r="P685" i="1" s="1"/>
  <c r="N685" i="1"/>
  <c r="O685" i="1"/>
  <c r="M686" i="1"/>
  <c r="N686" i="1"/>
  <c r="O686" i="1"/>
  <c r="M687" i="1"/>
  <c r="N687" i="1"/>
  <c r="O687" i="1"/>
  <c r="M688" i="1"/>
  <c r="N688" i="1"/>
  <c r="O688" i="1"/>
  <c r="M689" i="1"/>
  <c r="P689" i="1" s="1" a="1"/>
  <c r="P689" i="1" s="1"/>
  <c r="N689" i="1"/>
  <c r="O689" i="1"/>
  <c r="M690" i="1"/>
  <c r="N690" i="1"/>
  <c r="O690" i="1"/>
  <c r="M691" i="1"/>
  <c r="N691" i="1"/>
  <c r="O691" i="1"/>
  <c r="M692" i="1"/>
  <c r="N692" i="1"/>
  <c r="O692" i="1"/>
  <c r="M693" i="1"/>
  <c r="P693" i="1" s="1" a="1"/>
  <c r="P693" i="1" s="1"/>
  <c r="N693" i="1"/>
  <c r="O693" i="1"/>
  <c r="M694" i="1"/>
  <c r="N694" i="1"/>
  <c r="O694" i="1"/>
  <c r="M695" i="1"/>
  <c r="N695" i="1"/>
  <c r="O695" i="1"/>
  <c r="M696" i="1"/>
  <c r="N696" i="1"/>
  <c r="O696" i="1"/>
  <c r="M697" i="1"/>
  <c r="P697" i="1" s="1" a="1"/>
  <c r="P697" i="1" s="1"/>
  <c r="N697" i="1"/>
  <c r="O697" i="1"/>
  <c r="M698" i="1"/>
  <c r="N698" i="1"/>
  <c r="O698" i="1"/>
  <c r="M699" i="1"/>
  <c r="N699" i="1"/>
  <c r="O699" i="1"/>
  <c r="M700" i="1"/>
  <c r="N700" i="1"/>
  <c r="O700" i="1"/>
  <c r="M701" i="1"/>
  <c r="P701" i="1" s="1" a="1"/>
  <c r="P701" i="1" s="1"/>
  <c r="N701" i="1"/>
  <c r="O701" i="1"/>
  <c r="M702" i="1"/>
  <c r="N702" i="1"/>
  <c r="O702" i="1"/>
  <c r="M703" i="1"/>
  <c r="N703" i="1"/>
  <c r="O703" i="1"/>
  <c r="M704" i="1"/>
  <c r="N704" i="1"/>
  <c r="O704" i="1"/>
  <c r="M705" i="1"/>
  <c r="P705" i="1" s="1" a="1"/>
  <c r="P705" i="1" s="1"/>
  <c r="N705" i="1"/>
  <c r="O705" i="1"/>
  <c r="M706" i="1"/>
  <c r="N706" i="1"/>
  <c r="O706" i="1"/>
  <c r="M707" i="1"/>
  <c r="N707" i="1"/>
  <c r="O707" i="1"/>
  <c r="M708" i="1"/>
  <c r="N708" i="1"/>
  <c r="O708" i="1"/>
  <c r="M709" i="1"/>
  <c r="P709" i="1" s="1" a="1"/>
  <c r="P709" i="1" s="1"/>
  <c r="N709" i="1"/>
  <c r="O709" i="1"/>
  <c r="M710" i="1"/>
  <c r="N710" i="1"/>
  <c r="O710" i="1"/>
  <c r="M711" i="1"/>
  <c r="N711" i="1"/>
  <c r="O711" i="1"/>
  <c r="M712" i="1"/>
  <c r="N712" i="1"/>
  <c r="O712" i="1"/>
  <c r="M713" i="1"/>
  <c r="P713" i="1" s="1" a="1"/>
  <c r="P713" i="1" s="1"/>
  <c r="N713" i="1"/>
  <c r="O713" i="1"/>
  <c r="M714" i="1"/>
  <c r="N714" i="1"/>
  <c r="O714" i="1"/>
  <c r="M715" i="1"/>
  <c r="N715" i="1"/>
  <c r="O715" i="1"/>
  <c r="M716" i="1"/>
  <c r="N716" i="1"/>
  <c r="O716" i="1"/>
  <c r="M717" i="1"/>
  <c r="P717" i="1" s="1" a="1"/>
  <c r="P717" i="1" s="1"/>
  <c r="N717" i="1"/>
  <c r="O717" i="1"/>
  <c r="M718" i="1"/>
  <c r="N718" i="1"/>
  <c r="O718" i="1"/>
  <c r="M719" i="1"/>
  <c r="N719" i="1"/>
  <c r="O719" i="1"/>
  <c r="M720" i="1"/>
  <c r="N720" i="1"/>
  <c r="O720" i="1"/>
  <c r="M721" i="1"/>
  <c r="P721" i="1" s="1" a="1"/>
  <c r="P721" i="1" s="1"/>
  <c r="N721" i="1"/>
  <c r="O721" i="1"/>
  <c r="M722" i="1"/>
  <c r="N722" i="1"/>
  <c r="O722" i="1"/>
  <c r="M723" i="1"/>
  <c r="N723" i="1"/>
  <c r="O723" i="1"/>
  <c r="M724" i="1"/>
  <c r="N724" i="1"/>
  <c r="O724" i="1"/>
  <c r="M725" i="1"/>
  <c r="P725" i="1" s="1" a="1"/>
  <c r="P725" i="1" s="1"/>
  <c r="N725" i="1"/>
  <c r="O725" i="1"/>
  <c r="M726" i="1"/>
  <c r="N726" i="1"/>
  <c r="O726" i="1"/>
  <c r="M727" i="1"/>
  <c r="N727" i="1"/>
  <c r="O727" i="1"/>
  <c r="M728" i="1"/>
  <c r="N728" i="1"/>
  <c r="O728" i="1"/>
  <c r="M729" i="1"/>
  <c r="P729" i="1" s="1" a="1"/>
  <c r="P729" i="1" s="1"/>
  <c r="N729" i="1"/>
  <c r="O729" i="1"/>
  <c r="M730" i="1"/>
  <c r="N730" i="1"/>
  <c r="O730" i="1"/>
  <c r="M731" i="1"/>
  <c r="N731" i="1"/>
  <c r="O731" i="1"/>
  <c r="M732" i="1"/>
  <c r="N732" i="1"/>
  <c r="O732" i="1"/>
  <c r="M733" i="1"/>
  <c r="P733" i="1" s="1" a="1"/>
  <c r="P733" i="1" s="1"/>
  <c r="N733" i="1"/>
  <c r="O733" i="1"/>
  <c r="M734" i="1"/>
  <c r="N734" i="1"/>
  <c r="O734" i="1"/>
  <c r="M735" i="1"/>
  <c r="N735" i="1"/>
  <c r="O735" i="1"/>
  <c r="M736" i="1"/>
  <c r="N736" i="1"/>
  <c r="O736" i="1"/>
  <c r="M737" i="1"/>
  <c r="P737" i="1" s="1" a="1"/>
  <c r="P737" i="1" s="1"/>
  <c r="N737" i="1"/>
  <c r="O737" i="1"/>
  <c r="M738" i="1"/>
  <c r="N738" i="1"/>
  <c r="O738" i="1"/>
  <c r="M739" i="1"/>
  <c r="N739" i="1"/>
  <c r="O739" i="1"/>
  <c r="M740" i="1"/>
  <c r="N740" i="1"/>
  <c r="O740" i="1"/>
  <c r="M741" i="1"/>
  <c r="P741" i="1" s="1" a="1"/>
  <c r="P741" i="1" s="1"/>
  <c r="N741" i="1"/>
  <c r="O741" i="1"/>
  <c r="M742" i="1"/>
  <c r="N742" i="1"/>
  <c r="O742" i="1"/>
  <c r="M743" i="1"/>
  <c r="N743" i="1"/>
  <c r="O743" i="1"/>
  <c r="M744" i="1"/>
  <c r="N744" i="1"/>
  <c r="O744" i="1"/>
  <c r="M745" i="1"/>
  <c r="P745" i="1" s="1" a="1"/>
  <c r="P745" i="1" s="1"/>
  <c r="N745" i="1"/>
  <c r="O745" i="1"/>
  <c r="M746" i="1"/>
  <c r="N746" i="1"/>
  <c r="O746" i="1"/>
  <c r="M747" i="1"/>
  <c r="N747" i="1"/>
  <c r="O747" i="1"/>
  <c r="M748" i="1"/>
  <c r="N748" i="1"/>
  <c r="O748" i="1"/>
  <c r="M749" i="1"/>
  <c r="P749" i="1" s="1" a="1"/>
  <c r="P749" i="1" s="1"/>
  <c r="N749" i="1"/>
  <c r="O749" i="1"/>
  <c r="M750" i="1"/>
  <c r="N750" i="1"/>
  <c r="O750" i="1"/>
  <c r="M751" i="1"/>
  <c r="N751" i="1"/>
  <c r="O751" i="1"/>
  <c r="M752" i="1"/>
  <c r="N752" i="1"/>
  <c r="O752" i="1"/>
  <c r="M753" i="1"/>
  <c r="P753" i="1" s="1" a="1"/>
  <c r="P753" i="1" s="1"/>
  <c r="N753" i="1"/>
  <c r="O753" i="1"/>
  <c r="M754" i="1"/>
  <c r="N754" i="1"/>
  <c r="O754" i="1"/>
  <c r="M755" i="1"/>
  <c r="N755" i="1"/>
  <c r="O755" i="1"/>
  <c r="M756" i="1"/>
  <c r="N756" i="1"/>
  <c r="O756" i="1"/>
  <c r="M757" i="1"/>
  <c r="P757" i="1" s="1" a="1"/>
  <c r="P757" i="1" s="1"/>
  <c r="N757" i="1"/>
  <c r="O757" i="1"/>
  <c r="M758" i="1"/>
  <c r="N758" i="1"/>
  <c r="O758" i="1"/>
  <c r="M759" i="1"/>
  <c r="N759" i="1"/>
  <c r="O759" i="1"/>
  <c r="M760" i="1"/>
  <c r="N760" i="1"/>
  <c r="O760" i="1"/>
  <c r="M761" i="1"/>
  <c r="P761" i="1" s="1" a="1"/>
  <c r="P761" i="1" s="1"/>
  <c r="N761" i="1"/>
  <c r="O761" i="1"/>
  <c r="M762" i="1"/>
  <c r="N762" i="1"/>
  <c r="O762" i="1"/>
  <c r="M763" i="1"/>
  <c r="N763" i="1"/>
  <c r="O763" i="1"/>
  <c r="M764" i="1"/>
  <c r="N764" i="1"/>
  <c r="O764" i="1"/>
  <c r="M765" i="1"/>
  <c r="P765" i="1" s="1" a="1"/>
  <c r="P765" i="1" s="1"/>
  <c r="N765" i="1"/>
  <c r="O765" i="1"/>
  <c r="M766" i="1"/>
  <c r="N766" i="1"/>
  <c r="O766" i="1"/>
  <c r="M767" i="1"/>
  <c r="N767" i="1"/>
  <c r="O767" i="1"/>
  <c r="M768" i="1"/>
  <c r="N768" i="1"/>
  <c r="O768" i="1"/>
  <c r="M769" i="1"/>
  <c r="P769" i="1" s="1" a="1"/>
  <c r="P769" i="1" s="1"/>
  <c r="N769" i="1"/>
  <c r="O769" i="1"/>
  <c r="M770" i="1"/>
  <c r="N770" i="1"/>
  <c r="O770" i="1"/>
  <c r="M771" i="1"/>
  <c r="N771" i="1"/>
  <c r="O771" i="1"/>
  <c r="M772" i="1"/>
  <c r="N772" i="1"/>
  <c r="O772" i="1"/>
  <c r="M773" i="1"/>
  <c r="P773" i="1" s="1" a="1"/>
  <c r="P773" i="1" s="1"/>
  <c r="N773" i="1"/>
  <c r="O773" i="1"/>
  <c r="M774" i="1"/>
  <c r="N774" i="1"/>
  <c r="O774" i="1"/>
  <c r="M775" i="1"/>
  <c r="N775" i="1"/>
  <c r="O775" i="1"/>
  <c r="M776" i="1"/>
  <c r="N776" i="1"/>
  <c r="O776" i="1"/>
  <c r="M777" i="1"/>
  <c r="P777" i="1" s="1" a="1"/>
  <c r="P777" i="1" s="1"/>
  <c r="N777" i="1"/>
  <c r="O777" i="1"/>
  <c r="M778" i="1"/>
  <c r="N778" i="1"/>
  <c r="O778" i="1"/>
  <c r="M779" i="1"/>
  <c r="N779" i="1"/>
  <c r="O779" i="1"/>
  <c r="M780" i="1"/>
  <c r="N780" i="1"/>
  <c r="O780" i="1"/>
  <c r="M781" i="1"/>
  <c r="P781" i="1" s="1" a="1"/>
  <c r="P781" i="1" s="1"/>
  <c r="N781" i="1"/>
  <c r="O781" i="1"/>
  <c r="M782" i="1"/>
  <c r="N782" i="1"/>
  <c r="O782" i="1"/>
  <c r="M783" i="1"/>
  <c r="N783" i="1"/>
  <c r="O783" i="1"/>
  <c r="M784" i="1"/>
  <c r="N784" i="1"/>
  <c r="O784" i="1"/>
  <c r="M785" i="1"/>
  <c r="P785" i="1" s="1" a="1"/>
  <c r="P785" i="1" s="1"/>
  <c r="N785" i="1"/>
  <c r="O785" i="1"/>
  <c r="M786" i="1"/>
  <c r="N786" i="1"/>
  <c r="O786" i="1"/>
  <c r="M787" i="1"/>
  <c r="N787" i="1"/>
  <c r="O787" i="1"/>
  <c r="M788" i="1"/>
  <c r="N788" i="1"/>
  <c r="O788" i="1"/>
  <c r="M789" i="1"/>
  <c r="P789" i="1" s="1" a="1"/>
  <c r="P789" i="1" s="1"/>
  <c r="N789" i="1"/>
  <c r="O789" i="1"/>
  <c r="M790" i="1"/>
  <c r="N790" i="1"/>
  <c r="O790" i="1"/>
  <c r="M791" i="1"/>
  <c r="N791" i="1"/>
  <c r="O791" i="1"/>
  <c r="M792" i="1"/>
  <c r="N792" i="1"/>
  <c r="O792" i="1"/>
  <c r="M793" i="1"/>
  <c r="P793" i="1" s="1" a="1"/>
  <c r="P793" i="1" s="1"/>
  <c r="N793" i="1"/>
  <c r="O793" i="1"/>
  <c r="M794" i="1"/>
  <c r="N794" i="1"/>
  <c r="O794" i="1"/>
  <c r="M795" i="1"/>
  <c r="N795" i="1"/>
  <c r="O795" i="1"/>
  <c r="M796" i="1"/>
  <c r="N796" i="1"/>
  <c r="O796" i="1"/>
  <c r="M797" i="1"/>
  <c r="P797" i="1" s="1" a="1"/>
  <c r="P797" i="1" s="1"/>
  <c r="N797" i="1"/>
  <c r="O797" i="1"/>
  <c r="M798" i="1"/>
  <c r="N798" i="1"/>
  <c r="O798" i="1"/>
  <c r="M799" i="1"/>
  <c r="N799" i="1"/>
  <c r="O799" i="1"/>
  <c r="M800" i="1"/>
  <c r="N800" i="1"/>
  <c r="O800" i="1"/>
  <c r="M801" i="1"/>
  <c r="P801" i="1" s="1" a="1"/>
  <c r="P801" i="1" s="1"/>
  <c r="N801" i="1"/>
  <c r="O801" i="1"/>
  <c r="M802" i="1"/>
  <c r="N802" i="1"/>
  <c r="O802" i="1"/>
  <c r="M803" i="1"/>
  <c r="N803" i="1"/>
  <c r="O803" i="1"/>
  <c r="M804" i="1"/>
  <c r="N804" i="1"/>
  <c r="O804" i="1"/>
  <c r="M805" i="1"/>
  <c r="P805" i="1" s="1" a="1"/>
  <c r="P805" i="1" s="1"/>
  <c r="N805" i="1"/>
  <c r="O805" i="1"/>
  <c r="M806" i="1"/>
  <c r="N806" i="1"/>
  <c r="O806" i="1"/>
  <c r="M807" i="1"/>
  <c r="N807" i="1"/>
  <c r="O807" i="1"/>
  <c r="M808" i="1"/>
  <c r="N808" i="1"/>
  <c r="O808" i="1"/>
  <c r="M809" i="1"/>
  <c r="P809" i="1" s="1" a="1"/>
  <c r="P809" i="1" s="1"/>
  <c r="N809" i="1"/>
  <c r="O809" i="1"/>
  <c r="M810" i="1"/>
  <c r="N810" i="1"/>
  <c r="O810" i="1"/>
  <c r="M811" i="1"/>
  <c r="N811" i="1"/>
  <c r="O811" i="1"/>
  <c r="M812" i="1"/>
  <c r="N812" i="1"/>
  <c r="O812" i="1"/>
  <c r="M813" i="1"/>
  <c r="P813" i="1" s="1" a="1"/>
  <c r="P813" i="1" s="1"/>
  <c r="N813" i="1"/>
  <c r="O813" i="1"/>
  <c r="M814" i="1"/>
  <c r="N814" i="1"/>
  <c r="O814" i="1"/>
  <c r="M815" i="1"/>
  <c r="N815" i="1"/>
  <c r="O815" i="1"/>
  <c r="M816" i="1"/>
  <c r="N816" i="1"/>
  <c r="O816" i="1"/>
  <c r="M817" i="1"/>
  <c r="P817" i="1" s="1" a="1"/>
  <c r="P817" i="1" s="1"/>
  <c r="N817" i="1"/>
  <c r="O817" i="1"/>
  <c r="M818" i="1"/>
  <c r="N818" i="1"/>
  <c r="O818" i="1"/>
  <c r="M819" i="1"/>
  <c r="N819" i="1"/>
  <c r="O819" i="1"/>
  <c r="M820" i="1"/>
  <c r="N820" i="1"/>
  <c r="O820" i="1"/>
  <c r="M821" i="1"/>
  <c r="P821" i="1" s="1" a="1"/>
  <c r="P821" i="1" s="1"/>
  <c r="N821" i="1"/>
  <c r="O821" i="1"/>
  <c r="M822" i="1"/>
  <c r="N822" i="1"/>
  <c r="O822" i="1"/>
  <c r="M823" i="1"/>
  <c r="N823" i="1"/>
  <c r="O823" i="1"/>
  <c r="M824" i="1"/>
  <c r="N824" i="1"/>
  <c r="O824" i="1"/>
  <c r="M825" i="1"/>
  <c r="P825" i="1" s="1" a="1"/>
  <c r="P825" i="1" s="1"/>
  <c r="N825" i="1"/>
  <c r="O825" i="1"/>
  <c r="M826" i="1"/>
  <c r="N826" i="1"/>
  <c r="O826" i="1"/>
  <c r="M827" i="1"/>
  <c r="N827" i="1"/>
  <c r="O827" i="1"/>
  <c r="M828" i="1"/>
  <c r="N828" i="1"/>
  <c r="O828" i="1"/>
  <c r="M829" i="1"/>
  <c r="P829" i="1" s="1" a="1"/>
  <c r="P829" i="1" s="1"/>
  <c r="N829" i="1"/>
  <c r="O829" i="1"/>
  <c r="M830" i="1"/>
  <c r="N830" i="1"/>
  <c r="O830" i="1"/>
  <c r="M831" i="1"/>
  <c r="N831" i="1"/>
  <c r="O831" i="1"/>
  <c r="M832" i="1"/>
  <c r="N832" i="1"/>
  <c r="O832" i="1"/>
  <c r="M833" i="1"/>
  <c r="P833" i="1" s="1" a="1"/>
  <c r="P833" i="1" s="1"/>
  <c r="N833" i="1"/>
  <c r="O833" i="1"/>
  <c r="M834" i="1"/>
  <c r="N834" i="1"/>
  <c r="O834" i="1"/>
  <c r="M835" i="1"/>
  <c r="N835" i="1"/>
  <c r="O835" i="1"/>
  <c r="M836" i="1"/>
  <c r="N836" i="1"/>
  <c r="O836" i="1"/>
  <c r="M837" i="1"/>
  <c r="P837" i="1" s="1" a="1"/>
  <c r="P837" i="1" s="1"/>
  <c r="N837" i="1"/>
  <c r="O837" i="1"/>
  <c r="M838" i="1"/>
  <c r="N838" i="1"/>
  <c r="O838" i="1"/>
  <c r="M839" i="1"/>
  <c r="N839" i="1"/>
  <c r="O839" i="1"/>
  <c r="M840" i="1"/>
  <c r="N840" i="1"/>
  <c r="O840" i="1"/>
  <c r="M841" i="1"/>
  <c r="P841" i="1" s="1" a="1"/>
  <c r="P841" i="1" s="1"/>
  <c r="N841" i="1"/>
  <c r="O841" i="1"/>
  <c r="M842" i="1"/>
  <c r="N842" i="1"/>
  <c r="O842" i="1"/>
  <c r="M843" i="1"/>
  <c r="N843" i="1"/>
  <c r="O843" i="1"/>
  <c r="M844" i="1"/>
  <c r="N844" i="1"/>
  <c r="O844" i="1"/>
  <c r="M845" i="1"/>
  <c r="P845" i="1" s="1" a="1"/>
  <c r="P845" i="1" s="1"/>
  <c r="N845" i="1"/>
  <c r="O845" i="1"/>
  <c r="M846" i="1"/>
  <c r="N846" i="1"/>
  <c r="O846" i="1"/>
  <c r="M847" i="1"/>
  <c r="N847" i="1"/>
  <c r="O847" i="1"/>
  <c r="M848" i="1"/>
  <c r="N848" i="1"/>
  <c r="O848" i="1"/>
  <c r="M849" i="1"/>
  <c r="P849" i="1" s="1" a="1"/>
  <c r="P849" i="1" s="1"/>
  <c r="N849" i="1"/>
  <c r="O849" i="1"/>
  <c r="M850" i="1"/>
  <c r="N850" i="1"/>
  <c r="O850" i="1"/>
  <c r="M851" i="1"/>
  <c r="N851" i="1"/>
  <c r="O851" i="1"/>
  <c r="M852" i="1"/>
  <c r="N852" i="1"/>
  <c r="O852" i="1"/>
  <c r="M853" i="1"/>
  <c r="P853" i="1" s="1" a="1"/>
  <c r="P853" i="1" s="1"/>
  <c r="N853" i="1"/>
  <c r="O853" i="1"/>
  <c r="M854" i="1"/>
  <c r="N854" i="1"/>
  <c r="O854" i="1"/>
  <c r="M855" i="1"/>
  <c r="N855" i="1"/>
  <c r="O855" i="1"/>
  <c r="M856" i="1"/>
  <c r="N856" i="1"/>
  <c r="O856" i="1"/>
  <c r="M857" i="1"/>
  <c r="P857" i="1" s="1" a="1"/>
  <c r="P857" i="1" s="1"/>
  <c r="N857" i="1"/>
  <c r="O857" i="1"/>
  <c r="M858" i="1"/>
  <c r="N858" i="1"/>
  <c r="O858" i="1"/>
  <c r="M859" i="1"/>
  <c r="N859" i="1"/>
  <c r="O859" i="1"/>
  <c r="M860" i="1"/>
  <c r="N860" i="1"/>
  <c r="O860" i="1"/>
  <c r="M861" i="1"/>
  <c r="P861" i="1" s="1" a="1"/>
  <c r="P861" i="1" s="1"/>
  <c r="N861" i="1"/>
  <c r="O861" i="1"/>
  <c r="M862" i="1"/>
  <c r="N862" i="1"/>
  <c r="O862" i="1"/>
  <c r="M863" i="1"/>
  <c r="N863" i="1"/>
  <c r="O863" i="1"/>
  <c r="M864" i="1"/>
  <c r="N864" i="1"/>
  <c r="O864" i="1"/>
  <c r="M865" i="1"/>
  <c r="P865" i="1" s="1" a="1"/>
  <c r="P865" i="1" s="1"/>
  <c r="N865" i="1"/>
  <c r="O865" i="1"/>
  <c r="M866" i="1"/>
  <c r="N866" i="1"/>
  <c r="O866" i="1"/>
  <c r="M867" i="1"/>
  <c r="N867" i="1"/>
  <c r="O867" i="1"/>
  <c r="M868" i="1"/>
  <c r="N868" i="1"/>
  <c r="O868" i="1"/>
  <c r="M869" i="1"/>
  <c r="P869" i="1" s="1" a="1"/>
  <c r="P869" i="1" s="1"/>
  <c r="N869" i="1"/>
  <c r="O869" i="1"/>
  <c r="M870" i="1"/>
  <c r="N870" i="1"/>
  <c r="O870" i="1"/>
  <c r="M871" i="1"/>
  <c r="N871" i="1"/>
  <c r="O871" i="1"/>
  <c r="M872" i="1"/>
  <c r="N872" i="1"/>
  <c r="O872" i="1"/>
  <c r="M873" i="1"/>
  <c r="P873" i="1" s="1" a="1"/>
  <c r="P873" i="1" s="1"/>
  <c r="N873" i="1"/>
  <c r="O873" i="1"/>
  <c r="M874" i="1"/>
  <c r="N874" i="1"/>
  <c r="O874" i="1"/>
  <c r="M875" i="1"/>
  <c r="N875" i="1"/>
  <c r="O875" i="1"/>
  <c r="M876" i="1"/>
  <c r="N876" i="1"/>
  <c r="O876" i="1"/>
  <c r="M877" i="1"/>
  <c r="P877" i="1" s="1" a="1"/>
  <c r="P877" i="1" s="1"/>
  <c r="N877" i="1"/>
  <c r="O877" i="1"/>
  <c r="M878" i="1"/>
  <c r="N878" i="1"/>
  <c r="O878" i="1"/>
  <c r="M879" i="1"/>
  <c r="N879" i="1"/>
  <c r="O879" i="1"/>
  <c r="M880" i="1"/>
  <c r="N880" i="1"/>
  <c r="O880" i="1"/>
  <c r="M881" i="1"/>
  <c r="P881" i="1" s="1" a="1"/>
  <c r="P881" i="1" s="1"/>
  <c r="N881" i="1"/>
  <c r="O881" i="1"/>
  <c r="M882" i="1"/>
  <c r="N882" i="1"/>
  <c r="O882" i="1"/>
  <c r="M883" i="1"/>
  <c r="N883" i="1"/>
  <c r="O883" i="1"/>
  <c r="M884" i="1"/>
  <c r="N884" i="1"/>
  <c r="O884" i="1"/>
  <c r="M885" i="1"/>
  <c r="P885" i="1" s="1" a="1"/>
  <c r="P885" i="1" s="1"/>
  <c r="N885" i="1"/>
  <c r="O885" i="1"/>
  <c r="M886" i="1"/>
  <c r="N886" i="1"/>
  <c r="O886" i="1"/>
  <c r="M887" i="1"/>
  <c r="N887" i="1"/>
  <c r="O887" i="1"/>
  <c r="M888" i="1"/>
  <c r="N888" i="1"/>
  <c r="O888" i="1"/>
  <c r="M889" i="1"/>
  <c r="P889" i="1" s="1" a="1"/>
  <c r="P889" i="1" s="1"/>
  <c r="N889" i="1"/>
  <c r="O889" i="1"/>
  <c r="M890" i="1"/>
  <c r="N890" i="1"/>
  <c r="O890" i="1"/>
  <c r="M891" i="1"/>
  <c r="N891" i="1"/>
  <c r="O891" i="1"/>
  <c r="M892" i="1"/>
  <c r="N892" i="1"/>
  <c r="O892" i="1"/>
  <c r="M893" i="1"/>
  <c r="P893" i="1" s="1" a="1"/>
  <c r="P893" i="1" s="1"/>
  <c r="N893" i="1"/>
  <c r="O893" i="1"/>
  <c r="M894" i="1"/>
  <c r="N894" i="1"/>
  <c r="O894" i="1"/>
  <c r="M895" i="1"/>
  <c r="N895" i="1"/>
  <c r="O895" i="1"/>
  <c r="M896" i="1"/>
  <c r="N896" i="1"/>
  <c r="O896" i="1"/>
  <c r="M897" i="1"/>
  <c r="P897" i="1" s="1" a="1"/>
  <c r="P897" i="1" s="1"/>
  <c r="N897" i="1"/>
  <c r="O897" i="1"/>
  <c r="M898" i="1"/>
  <c r="N898" i="1"/>
  <c r="O898" i="1"/>
  <c r="M899" i="1"/>
  <c r="N899" i="1"/>
  <c r="O899" i="1"/>
  <c r="M900" i="1"/>
  <c r="N900" i="1"/>
  <c r="O900" i="1"/>
  <c r="M901" i="1"/>
  <c r="P901" i="1" s="1" a="1"/>
  <c r="P901" i="1" s="1"/>
  <c r="N901" i="1"/>
  <c r="O901" i="1"/>
  <c r="M902" i="1"/>
  <c r="N902" i="1"/>
  <c r="O902" i="1"/>
  <c r="M903" i="1"/>
  <c r="N903" i="1"/>
  <c r="O903" i="1"/>
  <c r="M904" i="1"/>
  <c r="N904" i="1"/>
  <c r="O904" i="1"/>
  <c r="M905" i="1"/>
  <c r="P905" i="1" s="1" a="1"/>
  <c r="P905" i="1" s="1"/>
  <c r="N905" i="1"/>
  <c r="O905" i="1"/>
  <c r="M906" i="1"/>
  <c r="N906" i="1"/>
  <c r="O906" i="1"/>
  <c r="M907" i="1"/>
  <c r="N907" i="1"/>
  <c r="O907" i="1"/>
  <c r="M908" i="1"/>
  <c r="N908" i="1"/>
  <c r="O908" i="1"/>
  <c r="M909" i="1"/>
  <c r="P909" i="1" s="1" a="1"/>
  <c r="P909" i="1" s="1"/>
  <c r="N909" i="1"/>
  <c r="O909" i="1"/>
  <c r="M910" i="1"/>
  <c r="N910" i="1"/>
  <c r="O910" i="1"/>
  <c r="M911" i="1"/>
  <c r="N911" i="1"/>
  <c r="O911" i="1"/>
  <c r="M912" i="1"/>
  <c r="N912" i="1"/>
  <c r="O912" i="1"/>
  <c r="M913" i="1"/>
  <c r="P913" i="1" s="1" a="1"/>
  <c r="P913" i="1" s="1"/>
  <c r="N913" i="1"/>
  <c r="O913" i="1"/>
  <c r="M914" i="1"/>
  <c r="N914" i="1"/>
  <c r="O914" i="1"/>
  <c r="M915" i="1"/>
  <c r="N915" i="1"/>
  <c r="O915" i="1"/>
  <c r="M916" i="1"/>
  <c r="N916" i="1"/>
  <c r="O916" i="1"/>
  <c r="M917" i="1"/>
  <c r="P917" i="1" s="1" a="1"/>
  <c r="P917" i="1" s="1"/>
  <c r="N917" i="1"/>
  <c r="O917" i="1"/>
  <c r="M918" i="1"/>
  <c r="N918" i="1"/>
  <c r="O918" i="1"/>
  <c r="M919" i="1"/>
  <c r="N919" i="1"/>
  <c r="O919" i="1"/>
  <c r="M920" i="1"/>
  <c r="N920" i="1"/>
  <c r="O920" i="1"/>
  <c r="M921" i="1"/>
  <c r="P921" i="1" s="1" a="1"/>
  <c r="P921" i="1" s="1"/>
  <c r="N921" i="1"/>
  <c r="O921" i="1"/>
  <c r="M922" i="1"/>
  <c r="N922" i="1"/>
  <c r="O922" i="1"/>
  <c r="M923" i="1"/>
  <c r="N923" i="1"/>
  <c r="O923" i="1"/>
  <c r="M924" i="1"/>
  <c r="N924" i="1"/>
  <c r="O924" i="1"/>
  <c r="M925" i="1"/>
  <c r="P925" i="1" s="1" a="1"/>
  <c r="P925" i="1" s="1"/>
  <c r="N925" i="1"/>
  <c r="O925" i="1"/>
  <c r="M926" i="1"/>
  <c r="N926" i="1"/>
  <c r="O926" i="1"/>
  <c r="M927" i="1"/>
  <c r="N927" i="1"/>
  <c r="O927" i="1"/>
  <c r="M928" i="1"/>
  <c r="N928" i="1"/>
  <c r="O928" i="1"/>
  <c r="M929" i="1"/>
  <c r="P929" i="1" s="1" a="1"/>
  <c r="P929" i="1" s="1"/>
  <c r="N929" i="1"/>
  <c r="O929" i="1"/>
  <c r="M930" i="1"/>
  <c r="N930" i="1"/>
  <c r="O930" i="1"/>
  <c r="M931" i="1"/>
  <c r="N931" i="1"/>
  <c r="O931" i="1"/>
  <c r="M932" i="1"/>
  <c r="N932" i="1"/>
  <c r="O932" i="1"/>
  <c r="M933" i="1"/>
  <c r="P933" i="1" s="1" a="1"/>
  <c r="P933" i="1" s="1"/>
  <c r="N933" i="1"/>
  <c r="O933" i="1"/>
  <c r="M934" i="1"/>
  <c r="N934" i="1"/>
  <c r="O934" i="1"/>
  <c r="M935" i="1"/>
  <c r="N935" i="1"/>
  <c r="O935" i="1"/>
  <c r="M936" i="1"/>
  <c r="N936" i="1"/>
  <c r="O936" i="1"/>
  <c r="M937" i="1"/>
  <c r="P937" i="1" s="1" a="1"/>
  <c r="P937" i="1" s="1"/>
  <c r="N937" i="1"/>
  <c r="O937" i="1"/>
  <c r="M938" i="1"/>
  <c r="N938" i="1"/>
  <c r="O938" i="1"/>
  <c r="M939" i="1"/>
  <c r="N939" i="1"/>
  <c r="O939" i="1"/>
  <c r="M940" i="1"/>
  <c r="N940" i="1"/>
  <c r="O940" i="1"/>
  <c r="M941" i="1"/>
  <c r="P941" i="1" s="1" a="1"/>
  <c r="P941" i="1" s="1"/>
  <c r="N941" i="1"/>
  <c r="O941" i="1"/>
  <c r="M942" i="1"/>
  <c r="N942" i="1"/>
  <c r="O942" i="1"/>
  <c r="M943" i="1"/>
  <c r="N943" i="1"/>
  <c r="O943" i="1"/>
  <c r="M944" i="1"/>
  <c r="N944" i="1"/>
  <c r="O944" i="1"/>
  <c r="M945" i="1"/>
  <c r="P945" i="1" s="1" a="1"/>
  <c r="P945" i="1" s="1"/>
  <c r="N945" i="1"/>
  <c r="O945" i="1"/>
  <c r="M946" i="1"/>
  <c r="N946" i="1"/>
  <c r="O946" i="1"/>
  <c r="M947" i="1"/>
  <c r="N947" i="1"/>
  <c r="O947" i="1"/>
  <c r="M948" i="1"/>
  <c r="N948" i="1"/>
  <c r="O948" i="1"/>
  <c r="M949" i="1"/>
  <c r="P949" i="1" s="1" a="1"/>
  <c r="P949" i="1" s="1"/>
  <c r="N949" i="1"/>
  <c r="O949" i="1"/>
  <c r="M950" i="1"/>
  <c r="N950" i="1"/>
  <c r="O950" i="1"/>
  <c r="M951" i="1"/>
  <c r="N951" i="1"/>
  <c r="O951" i="1"/>
  <c r="M952" i="1"/>
  <c r="N952" i="1"/>
  <c r="O952" i="1"/>
  <c r="M953" i="1"/>
  <c r="P953" i="1" s="1" a="1"/>
  <c r="P953" i="1" s="1"/>
  <c r="N953" i="1"/>
  <c r="O953" i="1"/>
  <c r="M954" i="1"/>
  <c r="N954" i="1"/>
  <c r="O954" i="1"/>
  <c r="M955" i="1"/>
  <c r="N955" i="1"/>
  <c r="O955" i="1"/>
  <c r="M956" i="1"/>
  <c r="N956" i="1"/>
  <c r="O956" i="1"/>
  <c r="M957" i="1"/>
  <c r="P957" i="1" s="1" a="1"/>
  <c r="P957" i="1" s="1"/>
  <c r="N957" i="1"/>
  <c r="O957" i="1"/>
  <c r="M958" i="1"/>
  <c r="N958" i="1"/>
  <c r="O958" i="1"/>
  <c r="M959" i="1"/>
  <c r="N959" i="1"/>
  <c r="O959" i="1"/>
  <c r="M960" i="1"/>
  <c r="N960" i="1"/>
  <c r="O960" i="1"/>
  <c r="M961" i="1"/>
  <c r="P961" i="1" s="1" a="1"/>
  <c r="P961" i="1" s="1"/>
  <c r="N961" i="1"/>
  <c r="O961" i="1"/>
  <c r="M962" i="1"/>
  <c r="N962" i="1"/>
  <c r="O962" i="1"/>
  <c r="M963" i="1"/>
  <c r="N963" i="1"/>
  <c r="O963" i="1"/>
  <c r="M964" i="1"/>
  <c r="N964" i="1"/>
  <c r="O964" i="1"/>
  <c r="M965" i="1"/>
  <c r="P965" i="1" s="1" a="1"/>
  <c r="P965" i="1" s="1"/>
  <c r="N965" i="1"/>
  <c r="O965" i="1"/>
  <c r="M966" i="1"/>
  <c r="N966" i="1"/>
  <c r="O966" i="1"/>
  <c r="M967" i="1"/>
  <c r="N967" i="1"/>
  <c r="O967" i="1"/>
  <c r="M968" i="1"/>
  <c r="N968" i="1"/>
  <c r="O968" i="1"/>
  <c r="M969" i="1"/>
  <c r="P969" i="1" s="1" a="1"/>
  <c r="P969" i="1" s="1"/>
  <c r="N969" i="1"/>
  <c r="O969" i="1"/>
  <c r="M970" i="1"/>
  <c r="N970" i="1"/>
  <c r="O970" i="1"/>
  <c r="M971" i="1"/>
  <c r="N971" i="1"/>
  <c r="O971" i="1"/>
  <c r="M972" i="1"/>
  <c r="N972" i="1"/>
  <c r="O972" i="1"/>
  <c r="M973" i="1"/>
  <c r="P973" i="1" s="1" a="1"/>
  <c r="P973" i="1" s="1"/>
  <c r="N973" i="1"/>
  <c r="O973" i="1"/>
  <c r="M974" i="1"/>
  <c r="N974" i="1"/>
  <c r="O974" i="1"/>
  <c r="M975" i="1"/>
  <c r="N975" i="1"/>
  <c r="O975" i="1"/>
  <c r="M976" i="1"/>
  <c r="N976" i="1"/>
  <c r="O976" i="1"/>
  <c r="M977" i="1"/>
  <c r="P977" i="1" s="1" a="1"/>
  <c r="P977" i="1" s="1"/>
  <c r="N977" i="1"/>
  <c r="O977" i="1"/>
  <c r="M978" i="1"/>
  <c r="N978" i="1"/>
  <c r="O978" i="1"/>
  <c r="M979" i="1"/>
  <c r="N979" i="1"/>
  <c r="O979" i="1"/>
  <c r="M980" i="1"/>
  <c r="N980" i="1"/>
  <c r="O980" i="1"/>
  <c r="M981" i="1"/>
  <c r="P981" i="1" s="1" a="1"/>
  <c r="P981" i="1" s="1"/>
  <c r="N981" i="1"/>
  <c r="O981" i="1"/>
  <c r="M982" i="1"/>
  <c r="N982" i="1"/>
  <c r="O982" i="1"/>
  <c r="M983" i="1"/>
  <c r="N983" i="1"/>
  <c r="O983" i="1"/>
  <c r="M984" i="1"/>
  <c r="N984" i="1"/>
  <c r="O984" i="1"/>
  <c r="M985" i="1"/>
  <c r="P985" i="1" s="1" a="1"/>
  <c r="P985" i="1" s="1"/>
  <c r="N985" i="1"/>
  <c r="O985" i="1"/>
  <c r="M986" i="1"/>
  <c r="N986" i="1"/>
  <c r="O986" i="1"/>
  <c r="M987" i="1"/>
  <c r="N987" i="1"/>
  <c r="O987" i="1"/>
  <c r="M988" i="1"/>
  <c r="N988" i="1"/>
  <c r="O988" i="1"/>
  <c r="M989" i="1"/>
  <c r="P989" i="1" s="1" a="1"/>
  <c r="P989" i="1" s="1"/>
  <c r="N989" i="1"/>
  <c r="O989" i="1"/>
  <c r="M990" i="1"/>
  <c r="N990" i="1"/>
  <c r="O990" i="1"/>
  <c r="M991" i="1"/>
  <c r="N991" i="1"/>
  <c r="O991" i="1"/>
  <c r="M992" i="1"/>
  <c r="N992" i="1"/>
  <c r="O992" i="1"/>
  <c r="M993" i="1"/>
  <c r="P993" i="1" s="1" a="1"/>
  <c r="P993" i="1" s="1"/>
  <c r="N993" i="1"/>
  <c r="O993" i="1"/>
  <c r="M994" i="1"/>
  <c r="N994" i="1"/>
  <c r="O994" i="1"/>
  <c r="M995" i="1"/>
  <c r="N995" i="1"/>
  <c r="O995" i="1"/>
  <c r="M996" i="1"/>
  <c r="N996" i="1"/>
  <c r="O996" i="1"/>
  <c r="M997" i="1"/>
  <c r="P997" i="1" s="1" a="1"/>
  <c r="P997" i="1" s="1"/>
  <c r="N997" i="1"/>
  <c r="O997" i="1"/>
  <c r="M998" i="1"/>
  <c r="N998" i="1"/>
  <c r="O998" i="1"/>
  <c r="M999" i="1"/>
  <c r="N999" i="1"/>
  <c r="O999" i="1"/>
  <c r="M1000" i="1"/>
  <c r="N1000" i="1"/>
  <c r="O1000" i="1"/>
  <c r="M1001" i="1"/>
  <c r="P1001" i="1" s="1" a="1"/>
  <c r="P1001" i="1" s="1"/>
  <c r="N1001" i="1"/>
  <c r="O1001" i="1"/>
  <c r="M1002" i="1"/>
  <c r="N1002" i="1"/>
  <c r="O1002" i="1"/>
  <c r="M1003" i="1"/>
  <c r="N1003" i="1"/>
  <c r="O1003" i="1"/>
  <c r="M1004" i="1"/>
  <c r="N1004" i="1"/>
  <c r="O1004" i="1"/>
  <c r="M1005" i="1"/>
  <c r="P1005" i="1" s="1" a="1"/>
  <c r="P1005" i="1" s="1"/>
  <c r="N1005" i="1"/>
  <c r="O1005" i="1"/>
  <c r="M1006" i="1"/>
  <c r="N1006" i="1"/>
  <c r="O1006" i="1"/>
  <c r="M1007" i="1"/>
  <c r="N1007" i="1"/>
  <c r="O1007" i="1"/>
  <c r="M1008" i="1"/>
  <c r="N1008" i="1"/>
  <c r="O1008" i="1"/>
  <c r="M1009" i="1"/>
  <c r="P1009" i="1" s="1" a="1"/>
  <c r="P1009" i="1" s="1"/>
  <c r="N1009" i="1"/>
  <c r="O1009" i="1"/>
  <c r="M1010" i="1"/>
  <c r="N1010" i="1"/>
  <c r="O1010" i="1"/>
  <c r="M1011" i="1"/>
  <c r="N1011" i="1"/>
  <c r="O1011" i="1"/>
  <c r="M1012" i="1"/>
  <c r="N1012" i="1"/>
  <c r="O1012" i="1"/>
  <c r="M1013" i="1"/>
  <c r="P1013" i="1" s="1" a="1"/>
  <c r="P1013" i="1" s="1"/>
  <c r="N1013" i="1"/>
  <c r="O1013" i="1"/>
  <c r="M1014" i="1"/>
  <c r="N1014" i="1"/>
  <c r="O1014" i="1"/>
  <c r="M1015" i="1"/>
  <c r="N1015" i="1"/>
  <c r="O1015" i="1"/>
  <c r="M1016" i="1"/>
  <c r="N1016" i="1"/>
  <c r="O1016" i="1"/>
  <c r="M1017" i="1"/>
  <c r="P1017" i="1" s="1" a="1"/>
  <c r="P1017" i="1" s="1"/>
  <c r="N1017" i="1"/>
  <c r="O1017" i="1"/>
  <c r="M1018" i="1"/>
  <c r="N1018" i="1"/>
  <c r="O1018" i="1"/>
  <c r="M1019" i="1"/>
  <c r="N1019" i="1"/>
  <c r="O1019" i="1"/>
  <c r="M1020" i="1"/>
  <c r="N1020" i="1"/>
  <c r="O1020" i="1"/>
  <c r="M1021" i="1"/>
  <c r="P1021" i="1" s="1" a="1"/>
  <c r="P1021" i="1" s="1"/>
  <c r="N1021" i="1"/>
  <c r="O1021" i="1"/>
  <c r="M1022" i="1"/>
  <c r="N1022" i="1"/>
  <c r="O1022" i="1"/>
  <c r="M1023" i="1"/>
  <c r="N1023" i="1"/>
  <c r="O1023" i="1"/>
  <c r="M1024" i="1"/>
  <c r="N1024" i="1"/>
  <c r="O1024" i="1"/>
  <c r="M1025" i="1"/>
  <c r="P1025" i="1" s="1" a="1"/>
  <c r="P1025" i="1" s="1"/>
  <c r="N1025" i="1"/>
  <c r="O1025" i="1"/>
  <c r="M1026" i="1"/>
  <c r="N1026" i="1"/>
  <c r="O1026" i="1"/>
  <c r="M1027" i="1"/>
  <c r="N1027" i="1"/>
  <c r="O1027" i="1"/>
  <c r="M1028" i="1"/>
  <c r="N1028" i="1"/>
  <c r="O1028" i="1"/>
  <c r="M1029" i="1"/>
  <c r="P1029" i="1" s="1" a="1"/>
  <c r="P1029" i="1" s="1"/>
  <c r="N1029" i="1"/>
  <c r="O1029" i="1"/>
  <c r="M1030" i="1"/>
  <c r="N1030" i="1"/>
  <c r="O1030" i="1"/>
  <c r="M1031" i="1"/>
  <c r="N1031" i="1"/>
  <c r="O1031" i="1"/>
  <c r="M1032" i="1"/>
  <c r="N1032" i="1"/>
  <c r="O1032" i="1"/>
  <c r="M1033" i="1"/>
  <c r="P1033" i="1" s="1" a="1"/>
  <c r="P1033" i="1" s="1"/>
  <c r="N1033" i="1"/>
  <c r="O1033" i="1"/>
  <c r="M1034" i="1"/>
  <c r="N1034" i="1"/>
  <c r="O1034" i="1"/>
  <c r="M1035" i="1"/>
  <c r="N1035" i="1"/>
  <c r="O1035" i="1"/>
  <c r="M1036" i="1"/>
  <c r="N1036" i="1"/>
  <c r="O1036" i="1"/>
  <c r="M1037" i="1"/>
  <c r="P1037" i="1" s="1" a="1"/>
  <c r="P1037" i="1" s="1"/>
  <c r="N1037" i="1"/>
  <c r="O1037" i="1"/>
  <c r="M1038" i="1"/>
  <c r="N1038" i="1"/>
  <c r="O1038" i="1"/>
  <c r="M1039" i="1"/>
  <c r="N1039" i="1"/>
  <c r="O1039" i="1"/>
  <c r="M1040" i="1"/>
  <c r="N1040" i="1"/>
  <c r="O1040" i="1"/>
  <c r="M1041" i="1"/>
  <c r="P1041" i="1" s="1" a="1"/>
  <c r="P1041" i="1" s="1"/>
  <c r="N1041" i="1"/>
  <c r="O1041" i="1"/>
  <c r="M1042" i="1"/>
  <c r="N1042" i="1"/>
  <c r="O1042" i="1"/>
  <c r="M1043" i="1"/>
  <c r="N1043" i="1"/>
  <c r="O1043" i="1"/>
  <c r="M1044" i="1"/>
  <c r="N1044" i="1"/>
  <c r="O1044" i="1"/>
  <c r="M1045" i="1"/>
  <c r="P1045" i="1" s="1" a="1"/>
  <c r="P1045" i="1" s="1"/>
  <c r="N1045" i="1"/>
  <c r="O1045" i="1"/>
  <c r="M1046" i="1"/>
  <c r="N1046" i="1"/>
  <c r="O1046" i="1"/>
  <c r="M1047" i="1"/>
  <c r="N1047" i="1"/>
  <c r="O1047" i="1"/>
  <c r="M1048" i="1"/>
  <c r="N1048" i="1"/>
  <c r="O1048" i="1"/>
  <c r="M1049" i="1"/>
  <c r="P1049" i="1" s="1" a="1"/>
  <c r="P1049" i="1" s="1"/>
  <c r="N1049" i="1"/>
  <c r="O1049" i="1"/>
  <c r="M1050" i="1"/>
  <c r="N1050" i="1"/>
  <c r="O1050" i="1"/>
  <c r="M1051" i="1"/>
  <c r="N1051" i="1"/>
  <c r="O1051" i="1"/>
  <c r="M1052" i="1"/>
  <c r="N1052" i="1"/>
  <c r="O1052" i="1"/>
  <c r="M1053" i="1"/>
  <c r="P1053" i="1" s="1" a="1"/>
  <c r="P1053" i="1" s="1"/>
  <c r="N1053" i="1"/>
  <c r="O1053" i="1"/>
  <c r="M1054" i="1"/>
  <c r="N1054" i="1"/>
  <c r="O1054" i="1"/>
  <c r="M1055" i="1"/>
  <c r="N1055" i="1"/>
  <c r="O1055" i="1"/>
  <c r="M1056" i="1"/>
  <c r="N1056" i="1"/>
  <c r="O1056" i="1"/>
  <c r="M1057" i="1"/>
  <c r="P1057" i="1" s="1" a="1"/>
  <c r="P1057" i="1" s="1"/>
  <c r="N1057" i="1"/>
  <c r="O1057" i="1"/>
  <c r="M1058" i="1"/>
  <c r="N1058" i="1"/>
  <c r="O1058" i="1"/>
  <c r="M1059" i="1"/>
  <c r="N1059" i="1"/>
  <c r="O1059" i="1"/>
  <c r="M1060" i="1"/>
  <c r="N1060" i="1"/>
  <c r="O1060" i="1"/>
  <c r="M1061" i="1"/>
  <c r="P1061" i="1" s="1" a="1"/>
  <c r="P1061" i="1" s="1"/>
  <c r="N1061" i="1"/>
  <c r="O1061" i="1"/>
  <c r="M1062" i="1"/>
  <c r="N1062" i="1"/>
  <c r="O1062" i="1"/>
  <c r="M1063" i="1"/>
  <c r="N1063" i="1"/>
  <c r="O1063" i="1"/>
  <c r="M1064" i="1"/>
  <c r="N1064" i="1"/>
  <c r="O1064" i="1"/>
  <c r="M1065" i="1"/>
  <c r="P1065" i="1" s="1" a="1"/>
  <c r="P1065" i="1" s="1"/>
  <c r="N1065" i="1"/>
  <c r="O1065" i="1"/>
  <c r="M1066" i="1"/>
  <c r="N1066" i="1"/>
  <c r="O1066" i="1"/>
  <c r="M1067" i="1"/>
  <c r="N1067" i="1"/>
  <c r="O1067" i="1"/>
  <c r="M1068" i="1"/>
  <c r="N1068" i="1"/>
  <c r="O1068" i="1"/>
  <c r="M1069" i="1"/>
  <c r="P1069" i="1" s="1" a="1"/>
  <c r="P1069" i="1" s="1"/>
  <c r="N1069" i="1"/>
  <c r="O1069" i="1"/>
  <c r="M1070" i="1"/>
  <c r="N1070" i="1"/>
  <c r="O1070" i="1"/>
  <c r="M1071" i="1"/>
  <c r="N1071" i="1"/>
  <c r="O1071" i="1"/>
  <c r="M1072" i="1"/>
  <c r="N1072" i="1"/>
  <c r="O1072" i="1"/>
  <c r="M1073" i="1"/>
  <c r="P1073" i="1" s="1" a="1"/>
  <c r="P1073" i="1" s="1"/>
  <c r="N1073" i="1"/>
  <c r="O1073" i="1"/>
  <c r="M1074" i="1"/>
  <c r="N1074" i="1"/>
  <c r="O1074" i="1"/>
  <c r="M1075" i="1"/>
  <c r="N1075" i="1"/>
  <c r="O1075" i="1"/>
  <c r="M1076" i="1"/>
  <c r="N1076" i="1"/>
  <c r="O1076" i="1"/>
  <c r="M1077" i="1"/>
  <c r="P1077" i="1" s="1" a="1"/>
  <c r="P1077" i="1" s="1"/>
  <c r="N1077" i="1"/>
  <c r="O1077" i="1"/>
  <c r="M1078" i="1"/>
  <c r="N1078" i="1"/>
  <c r="O1078" i="1"/>
  <c r="M1079" i="1"/>
  <c r="N1079" i="1"/>
  <c r="O1079" i="1"/>
  <c r="M1080" i="1"/>
  <c r="N1080" i="1"/>
  <c r="O1080" i="1"/>
  <c r="M1081" i="1"/>
  <c r="P1081" i="1" s="1" a="1"/>
  <c r="P1081" i="1" s="1"/>
  <c r="N1081" i="1"/>
  <c r="O1081" i="1"/>
  <c r="M1082" i="1"/>
  <c r="N1082" i="1"/>
  <c r="O1082" i="1"/>
  <c r="M1083" i="1"/>
  <c r="N1083" i="1"/>
  <c r="O1083" i="1"/>
  <c r="M1084" i="1"/>
  <c r="N1084" i="1"/>
  <c r="O1084" i="1"/>
  <c r="M1085" i="1"/>
  <c r="P1085" i="1" s="1" a="1"/>
  <c r="P1085" i="1" s="1"/>
  <c r="N1085" i="1"/>
  <c r="O1085" i="1"/>
  <c r="M1086" i="1"/>
  <c r="N1086" i="1"/>
  <c r="O1086" i="1"/>
  <c r="M1087" i="1"/>
  <c r="N1087" i="1"/>
  <c r="O1087" i="1"/>
  <c r="M1088" i="1"/>
  <c r="N1088" i="1"/>
  <c r="O1088" i="1"/>
  <c r="M1089" i="1"/>
  <c r="P1089" i="1" s="1" a="1"/>
  <c r="P1089" i="1" s="1"/>
  <c r="N1089" i="1"/>
  <c r="O1089" i="1"/>
  <c r="M1090" i="1"/>
  <c r="N1090" i="1"/>
  <c r="O1090" i="1"/>
  <c r="M1091" i="1"/>
  <c r="N1091" i="1"/>
  <c r="O1091" i="1"/>
  <c r="M1092" i="1"/>
  <c r="N1092" i="1"/>
  <c r="O1092" i="1"/>
  <c r="M1093" i="1"/>
  <c r="P1093" i="1" s="1" a="1"/>
  <c r="P1093" i="1" s="1"/>
  <c r="N1093" i="1"/>
  <c r="O1093" i="1"/>
  <c r="M1094" i="1"/>
  <c r="N1094" i="1"/>
  <c r="O1094" i="1"/>
  <c r="M1095" i="1"/>
  <c r="N1095" i="1"/>
  <c r="O1095" i="1"/>
  <c r="M1096" i="1"/>
  <c r="N1096" i="1"/>
  <c r="O1096" i="1"/>
  <c r="M1097" i="1"/>
  <c r="P1097" i="1" s="1" a="1"/>
  <c r="P1097" i="1" s="1"/>
  <c r="N1097" i="1"/>
  <c r="O1097" i="1"/>
  <c r="M1098" i="1"/>
  <c r="N1098" i="1"/>
  <c r="O1098" i="1"/>
  <c r="M1099" i="1"/>
  <c r="N1099" i="1"/>
  <c r="O1099" i="1"/>
  <c r="M1100" i="1"/>
  <c r="N1100" i="1"/>
  <c r="O1100" i="1"/>
  <c r="M1101" i="1"/>
  <c r="P1101" i="1" s="1" a="1"/>
  <c r="P1101" i="1" s="1"/>
  <c r="N1101" i="1"/>
  <c r="O1101" i="1"/>
  <c r="M1102" i="1"/>
  <c r="N1102" i="1"/>
  <c r="O1102" i="1"/>
  <c r="M1103" i="1"/>
  <c r="N1103" i="1"/>
  <c r="O1103" i="1"/>
  <c r="M1104" i="1"/>
  <c r="N1104" i="1"/>
  <c r="O1104" i="1"/>
  <c r="M1105" i="1"/>
  <c r="P1105" i="1" s="1" a="1"/>
  <c r="P1105" i="1" s="1"/>
  <c r="N1105" i="1"/>
  <c r="O1105" i="1"/>
  <c r="M1106" i="1"/>
  <c r="N1106" i="1"/>
  <c r="O1106" i="1"/>
  <c r="M1107" i="1"/>
  <c r="N1107" i="1"/>
  <c r="O1107" i="1"/>
  <c r="M1108" i="1"/>
  <c r="N1108" i="1"/>
  <c r="O1108" i="1"/>
  <c r="M1109" i="1"/>
  <c r="P1109" i="1" s="1" a="1"/>
  <c r="P1109" i="1" s="1"/>
  <c r="N1109" i="1"/>
  <c r="O1109" i="1"/>
  <c r="M1110" i="1"/>
  <c r="N1110" i="1"/>
  <c r="O1110" i="1"/>
  <c r="M1111" i="1"/>
  <c r="N1111" i="1"/>
  <c r="O1111" i="1"/>
  <c r="M1112" i="1"/>
  <c r="N1112" i="1"/>
  <c r="O1112" i="1"/>
  <c r="M1113" i="1"/>
  <c r="P1113" i="1" s="1" a="1"/>
  <c r="P1113" i="1" s="1"/>
  <c r="N1113" i="1"/>
  <c r="O1113" i="1"/>
  <c r="M1114" i="1"/>
  <c r="N1114" i="1"/>
  <c r="O1114" i="1"/>
  <c r="M1115" i="1"/>
  <c r="N1115" i="1"/>
  <c r="O1115" i="1"/>
  <c r="M1116" i="1"/>
  <c r="N1116" i="1"/>
  <c r="O1116" i="1"/>
  <c r="M1117" i="1"/>
  <c r="P1117" i="1" s="1" a="1"/>
  <c r="P1117" i="1" s="1"/>
  <c r="N1117" i="1"/>
  <c r="O1117" i="1"/>
  <c r="M1118" i="1"/>
  <c r="N1118" i="1"/>
  <c r="O1118" i="1"/>
  <c r="M1119" i="1"/>
  <c r="N1119" i="1"/>
  <c r="O1119" i="1"/>
  <c r="M1120" i="1"/>
  <c r="N1120" i="1"/>
  <c r="O1120" i="1"/>
  <c r="M1121" i="1"/>
  <c r="P1121" i="1" s="1" a="1"/>
  <c r="P1121" i="1" s="1"/>
  <c r="N1121" i="1"/>
  <c r="O1121" i="1"/>
  <c r="M1122" i="1"/>
  <c r="N1122" i="1"/>
  <c r="O1122" i="1"/>
  <c r="M1123" i="1"/>
  <c r="N1123" i="1"/>
  <c r="O1123" i="1"/>
  <c r="M1124" i="1"/>
  <c r="N1124" i="1"/>
  <c r="O1124" i="1"/>
  <c r="M1125" i="1"/>
  <c r="P1125" i="1" s="1" a="1"/>
  <c r="P1125" i="1" s="1"/>
  <c r="N1125" i="1"/>
  <c r="O1125" i="1"/>
  <c r="M1126" i="1"/>
  <c r="N1126" i="1"/>
  <c r="O1126" i="1"/>
  <c r="M1127" i="1"/>
  <c r="N1127" i="1"/>
  <c r="O1127" i="1"/>
  <c r="M1128" i="1"/>
  <c r="N1128" i="1"/>
  <c r="O1128" i="1"/>
  <c r="M1129" i="1"/>
  <c r="P1129" i="1" s="1" a="1"/>
  <c r="P1129" i="1" s="1"/>
  <c r="N1129" i="1"/>
  <c r="O1129" i="1"/>
  <c r="M1130" i="1"/>
  <c r="N1130" i="1"/>
  <c r="O1130" i="1"/>
  <c r="M1131" i="1"/>
  <c r="N1131" i="1"/>
  <c r="O1131" i="1"/>
  <c r="M1132" i="1"/>
  <c r="N1132" i="1"/>
  <c r="O1132" i="1"/>
  <c r="M1133" i="1"/>
  <c r="P1133" i="1" s="1" a="1"/>
  <c r="P1133" i="1" s="1"/>
  <c r="N1133" i="1"/>
  <c r="O1133" i="1"/>
  <c r="M1134" i="1"/>
  <c r="N1134" i="1"/>
  <c r="O1134" i="1"/>
  <c r="M1135" i="1"/>
  <c r="N1135" i="1"/>
  <c r="O1135" i="1"/>
  <c r="M1136" i="1"/>
  <c r="N1136" i="1"/>
  <c r="O1136" i="1"/>
  <c r="M1137" i="1"/>
  <c r="P1137" i="1" s="1" a="1"/>
  <c r="P1137" i="1" s="1"/>
  <c r="N1137" i="1"/>
  <c r="O1137" i="1"/>
  <c r="M1138" i="1"/>
  <c r="N1138" i="1"/>
  <c r="O1138" i="1"/>
  <c r="M1139" i="1"/>
  <c r="N1139" i="1"/>
  <c r="O1139" i="1"/>
  <c r="M1140" i="1"/>
  <c r="N1140" i="1"/>
  <c r="O1140" i="1"/>
  <c r="M1141" i="1"/>
  <c r="P1141" i="1" s="1" a="1"/>
  <c r="P1141" i="1" s="1"/>
  <c r="N1141" i="1"/>
  <c r="O1141" i="1"/>
  <c r="M1142" i="1"/>
  <c r="N1142" i="1"/>
  <c r="O1142" i="1"/>
  <c r="M1143" i="1"/>
  <c r="N1143" i="1"/>
  <c r="O1143" i="1"/>
  <c r="M1144" i="1"/>
  <c r="N1144" i="1"/>
  <c r="O1144" i="1"/>
  <c r="M1145" i="1"/>
  <c r="P1145" i="1" s="1" a="1"/>
  <c r="P1145" i="1" s="1"/>
  <c r="N1145" i="1"/>
  <c r="O1145" i="1"/>
  <c r="M1146" i="1"/>
  <c r="N1146" i="1"/>
  <c r="O1146" i="1"/>
  <c r="M1147" i="1"/>
  <c r="N1147" i="1"/>
  <c r="O1147" i="1"/>
  <c r="M1148" i="1"/>
  <c r="N1148" i="1"/>
  <c r="O1148" i="1"/>
  <c r="M1149" i="1"/>
  <c r="P1149" i="1" s="1" a="1"/>
  <c r="P1149" i="1" s="1"/>
  <c r="N1149" i="1"/>
  <c r="O1149" i="1"/>
  <c r="M1150" i="1"/>
  <c r="N1150" i="1"/>
  <c r="O1150" i="1"/>
  <c r="M1151" i="1"/>
  <c r="N1151" i="1"/>
  <c r="O1151" i="1"/>
  <c r="M1152" i="1"/>
  <c r="N1152" i="1"/>
  <c r="O1152" i="1"/>
  <c r="M1153" i="1"/>
  <c r="P1153" i="1" s="1" a="1"/>
  <c r="P1153" i="1" s="1"/>
  <c r="N1153" i="1"/>
  <c r="O1153" i="1"/>
  <c r="M1154" i="1"/>
  <c r="N1154" i="1"/>
  <c r="O1154" i="1"/>
  <c r="M1155" i="1"/>
  <c r="N1155" i="1"/>
  <c r="O1155" i="1"/>
  <c r="M1156" i="1"/>
  <c r="N1156" i="1"/>
  <c r="O1156" i="1"/>
  <c r="M1157" i="1"/>
  <c r="P1157" i="1" s="1" a="1"/>
  <c r="P1157" i="1" s="1"/>
  <c r="N1157" i="1"/>
  <c r="O1157" i="1"/>
  <c r="M1158" i="1"/>
  <c r="N1158" i="1"/>
  <c r="O1158" i="1"/>
  <c r="M1159" i="1"/>
  <c r="N1159" i="1"/>
  <c r="O1159" i="1"/>
  <c r="M1160" i="1"/>
  <c r="N1160" i="1"/>
  <c r="O1160" i="1"/>
  <c r="M1161" i="1"/>
  <c r="P1161" i="1" s="1" a="1"/>
  <c r="P1161" i="1" s="1"/>
  <c r="N1161" i="1"/>
  <c r="O1161" i="1"/>
  <c r="M1162" i="1"/>
  <c r="N1162" i="1"/>
  <c r="O1162" i="1"/>
  <c r="M1163" i="1"/>
  <c r="N1163" i="1"/>
  <c r="O1163" i="1"/>
  <c r="M1164" i="1"/>
  <c r="N1164" i="1"/>
  <c r="O1164" i="1"/>
  <c r="M1165" i="1"/>
  <c r="P1165" i="1" s="1" a="1"/>
  <c r="P1165" i="1" s="1"/>
  <c r="N1165" i="1"/>
  <c r="O1165" i="1"/>
  <c r="M1166" i="1"/>
  <c r="N1166" i="1"/>
  <c r="O1166" i="1"/>
  <c r="M1167" i="1"/>
  <c r="N1167" i="1"/>
  <c r="O1167" i="1"/>
  <c r="M1168" i="1"/>
  <c r="N1168" i="1"/>
  <c r="O1168" i="1"/>
  <c r="M1169" i="1"/>
  <c r="P1169" i="1" s="1" a="1"/>
  <c r="P1169" i="1" s="1"/>
  <c r="N1169" i="1"/>
  <c r="O1169" i="1"/>
  <c r="M1170" i="1"/>
  <c r="N1170" i="1"/>
  <c r="O1170" i="1"/>
  <c r="M1171" i="1"/>
  <c r="N1171" i="1"/>
  <c r="O1171" i="1"/>
  <c r="M1172" i="1"/>
  <c r="N1172" i="1"/>
  <c r="O1172" i="1"/>
  <c r="M1173" i="1"/>
  <c r="P1173" i="1" s="1" a="1"/>
  <c r="P1173" i="1" s="1"/>
  <c r="N1173" i="1"/>
  <c r="O1173" i="1"/>
  <c r="M1174" i="1"/>
  <c r="N1174" i="1"/>
  <c r="O1174" i="1"/>
  <c r="M1175" i="1"/>
  <c r="N1175" i="1"/>
  <c r="O1175" i="1"/>
  <c r="M1176" i="1"/>
  <c r="N1176" i="1"/>
  <c r="O1176" i="1"/>
  <c r="M1177" i="1"/>
  <c r="P1177" i="1" s="1" a="1"/>
  <c r="P1177" i="1" s="1"/>
  <c r="N1177" i="1"/>
  <c r="O1177" i="1"/>
  <c r="M1178" i="1"/>
  <c r="N1178" i="1"/>
  <c r="O1178" i="1"/>
  <c r="M1179" i="1"/>
  <c r="N1179" i="1"/>
  <c r="O1179" i="1"/>
  <c r="M1180" i="1"/>
  <c r="N1180" i="1"/>
  <c r="O1180" i="1"/>
  <c r="M1181" i="1"/>
  <c r="P1181" i="1" s="1" a="1"/>
  <c r="P1181" i="1" s="1"/>
  <c r="N1181" i="1"/>
  <c r="O1181" i="1"/>
  <c r="M1182" i="1"/>
  <c r="N1182" i="1"/>
  <c r="O1182" i="1"/>
  <c r="M1183" i="1"/>
  <c r="N1183" i="1"/>
  <c r="O1183" i="1"/>
  <c r="M1184" i="1"/>
  <c r="N1184" i="1"/>
  <c r="O1184" i="1"/>
  <c r="M1185" i="1"/>
  <c r="P1185" i="1" s="1" a="1"/>
  <c r="P1185" i="1" s="1"/>
  <c r="N1185" i="1"/>
  <c r="O1185" i="1"/>
  <c r="M1186" i="1"/>
  <c r="N1186" i="1"/>
  <c r="O1186" i="1"/>
  <c r="M1187" i="1"/>
  <c r="N1187" i="1"/>
  <c r="O1187" i="1"/>
  <c r="M1188" i="1"/>
  <c r="N1188" i="1"/>
  <c r="O1188" i="1"/>
  <c r="M1189" i="1"/>
  <c r="P1189" i="1" s="1" a="1"/>
  <c r="P1189" i="1" s="1"/>
  <c r="N1189" i="1"/>
  <c r="O1189" i="1"/>
  <c r="M1190" i="1"/>
  <c r="N1190" i="1"/>
  <c r="O1190" i="1"/>
  <c r="M1191" i="1"/>
  <c r="N1191" i="1"/>
  <c r="O1191" i="1"/>
  <c r="M1192" i="1"/>
  <c r="N1192" i="1"/>
  <c r="O1192" i="1"/>
  <c r="M1193" i="1"/>
  <c r="P1193" i="1" s="1" a="1"/>
  <c r="P1193" i="1" s="1"/>
  <c r="N1193" i="1"/>
  <c r="O1193" i="1"/>
  <c r="M1194" i="1"/>
  <c r="N1194" i="1"/>
  <c r="O1194" i="1"/>
  <c r="M1195" i="1"/>
  <c r="N1195" i="1"/>
  <c r="O1195" i="1"/>
  <c r="M1196" i="1"/>
  <c r="N1196" i="1"/>
  <c r="O1196" i="1"/>
  <c r="M1197" i="1"/>
  <c r="P1197" i="1" s="1" a="1"/>
  <c r="P1197" i="1" s="1"/>
  <c r="N1197" i="1"/>
  <c r="O1197" i="1"/>
  <c r="M1198" i="1"/>
  <c r="N1198" i="1"/>
  <c r="O1198" i="1"/>
  <c r="M1199" i="1"/>
  <c r="N1199" i="1"/>
  <c r="O1199" i="1"/>
  <c r="M1200" i="1"/>
  <c r="N1200" i="1"/>
  <c r="O1200" i="1"/>
  <c r="M1201" i="1"/>
  <c r="P1201" i="1" s="1" a="1"/>
  <c r="P1201" i="1" s="1"/>
  <c r="N1201" i="1"/>
  <c r="O1201" i="1"/>
  <c r="M1202" i="1"/>
  <c r="N1202" i="1"/>
  <c r="O1202" i="1"/>
  <c r="M1203" i="1"/>
  <c r="N1203" i="1"/>
  <c r="O1203" i="1"/>
  <c r="M1204" i="1"/>
  <c r="N1204" i="1"/>
  <c r="O1204" i="1"/>
  <c r="M1205" i="1"/>
  <c r="P1205" i="1" s="1" a="1"/>
  <c r="P1205" i="1" s="1"/>
  <c r="N1205" i="1"/>
  <c r="O1205" i="1"/>
  <c r="M1206" i="1"/>
  <c r="N1206" i="1"/>
  <c r="O1206" i="1"/>
  <c r="M1207" i="1"/>
  <c r="N1207" i="1"/>
  <c r="O1207" i="1"/>
  <c r="M1208" i="1"/>
  <c r="N1208" i="1"/>
  <c r="O1208" i="1"/>
  <c r="M1209" i="1"/>
  <c r="P1209" i="1" s="1" a="1"/>
  <c r="P1209" i="1" s="1"/>
  <c r="N1209" i="1"/>
  <c r="O1209" i="1"/>
  <c r="M1210" i="1"/>
  <c r="N1210" i="1"/>
  <c r="O1210" i="1"/>
  <c r="M1211" i="1"/>
  <c r="N1211" i="1"/>
  <c r="O1211" i="1"/>
  <c r="M1212" i="1"/>
  <c r="N1212" i="1"/>
  <c r="O1212" i="1"/>
  <c r="M1213" i="1"/>
  <c r="P1213" i="1" s="1" a="1"/>
  <c r="P1213" i="1" s="1"/>
  <c r="N1213" i="1"/>
  <c r="O1213" i="1"/>
  <c r="M1214" i="1"/>
  <c r="N1214" i="1"/>
  <c r="O1214" i="1"/>
  <c r="M1215" i="1"/>
  <c r="N1215" i="1"/>
  <c r="O1215" i="1"/>
  <c r="M1216" i="1"/>
  <c r="N1216" i="1"/>
  <c r="O1216" i="1"/>
  <c r="M1217" i="1"/>
  <c r="P1217" i="1" s="1" a="1"/>
  <c r="P1217" i="1" s="1"/>
  <c r="N1217" i="1"/>
  <c r="O1217" i="1"/>
  <c r="M1218" i="1"/>
  <c r="N1218" i="1"/>
  <c r="O1218" i="1"/>
  <c r="M1219" i="1"/>
  <c r="N1219" i="1"/>
  <c r="O1219" i="1"/>
  <c r="M1220" i="1"/>
  <c r="N1220" i="1"/>
  <c r="O1220" i="1"/>
  <c r="M1221" i="1"/>
  <c r="P1221" i="1" s="1" a="1"/>
  <c r="P1221" i="1" s="1"/>
  <c r="N1221" i="1"/>
  <c r="O1221" i="1"/>
  <c r="M1222" i="1"/>
  <c r="N1222" i="1"/>
  <c r="O1222" i="1"/>
  <c r="M1223" i="1"/>
  <c r="N1223" i="1"/>
  <c r="O1223" i="1"/>
  <c r="M1224" i="1"/>
  <c r="N1224" i="1"/>
  <c r="O1224" i="1"/>
  <c r="M1225" i="1"/>
  <c r="P1225" i="1" s="1" a="1"/>
  <c r="P1225" i="1" s="1"/>
  <c r="N1225" i="1"/>
  <c r="O1225" i="1"/>
  <c r="M1226" i="1"/>
  <c r="N1226" i="1"/>
  <c r="O1226" i="1"/>
  <c r="M1227" i="1"/>
  <c r="N1227" i="1"/>
  <c r="O1227" i="1"/>
  <c r="M1228" i="1"/>
  <c r="N1228" i="1"/>
  <c r="O1228" i="1"/>
  <c r="M1229" i="1"/>
  <c r="P1229" i="1" s="1" a="1"/>
  <c r="P1229" i="1" s="1"/>
  <c r="N1229" i="1"/>
  <c r="O1229" i="1"/>
  <c r="M1230" i="1"/>
  <c r="N1230" i="1"/>
  <c r="O1230" i="1"/>
  <c r="M1231" i="1"/>
  <c r="N1231" i="1"/>
  <c r="O1231" i="1"/>
  <c r="M1232" i="1"/>
  <c r="N1232" i="1"/>
  <c r="O1232" i="1"/>
  <c r="M1233" i="1"/>
  <c r="P1233" i="1" s="1" a="1"/>
  <c r="P1233" i="1" s="1"/>
  <c r="N1233" i="1"/>
  <c r="O1233" i="1"/>
  <c r="M1234" i="1"/>
  <c r="N1234" i="1"/>
  <c r="O1234" i="1"/>
  <c r="M1235" i="1"/>
  <c r="N1235" i="1"/>
  <c r="O1235" i="1"/>
  <c r="M1236" i="1"/>
  <c r="N1236" i="1"/>
  <c r="O1236" i="1"/>
  <c r="M1237" i="1"/>
  <c r="P1237" i="1" s="1" a="1"/>
  <c r="P1237" i="1" s="1"/>
  <c r="N1237" i="1"/>
  <c r="O1237" i="1"/>
  <c r="M1238" i="1"/>
  <c r="N1238" i="1"/>
  <c r="O1238" i="1"/>
  <c r="M1239" i="1"/>
  <c r="N1239" i="1"/>
  <c r="O1239" i="1"/>
  <c r="M1240" i="1"/>
  <c r="N1240" i="1"/>
  <c r="O1240" i="1"/>
  <c r="M1241" i="1"/>
  <c r="P1241" i="1" s="1" a="1"/>
  <c r="P1241" i="1" s="1"/>
  <c r="N1241" i="1"/>
  <c r="O1241" i="1"/>
  <c r="M1242" i="1"/>
  <c r="N1242" i="1"/>
  <c r="O1242" i="1"/>
  <c r="M1243" i="1"/>
  <c r="N1243" i="1"/>
  <c r="O1243" i="1"/>
  <c r="M1244" i="1"/>
  <c r="N1244" i="1"/>
  <c r="O1244" i="1"/>
  <c r="M1245" i="1"/>
  <c r="P1245" i="1" s="1" a="1"/>
  <c r="P1245" i="1" s="1"/>
  <c r="N1245" i="1"/>
  <c r="O1245" i="1"/>
  <c r="M1246" i="1"/>
  <c r="N1246" i="1"/>
  <c r="O1246" i="1"/>
  <c r="M1247" i="1"/>
  <c r="N1247" i="1"/>
  <c r="O1247" i="1"/>
  <c r="M1248" i="1"/>
  <c r="N1248" i="1"/>
  <c r="O1248" i="1"/>
  <c r="M1249" i="1"/>
  <c r="P1249" i="1" s="1" a="1"/>
  <c r="P1249" i="1" s="1"/>
  <c r="N1249" i="1"/>
  <c r="O1249" i="1"/>
  <c r="M1250" i="1"/>
  <c r="N1250" i="1"/>
  <c r="O1250" i="1"/>
  <c r="M1251" i="1"/>
  <c r="N1251" i="1"/>
  <c r="O1251" i="1"/>
  <c r="M1252" i="1"/>
  <c r="N1252" i="1"/>
  <c r="O1252" i="1"/>
  <c r="M1253" i="1"/>
  <c r="P1253" i="1" s="1" a="1"/>
  <c r="P1253" i="1" s="1"/>
  <c r="N1253" i="1"/>
  <c r="O1253" i="1"/>
  <c r="M1254" i="1"/>
  <c r="N1254" i="1"/>
  <c r="O1254" i="1"/>
  <c r="M1255" i="1"/>
  <c r="N1255" i="1"/>
  <c r="O1255" i="1"/>
  <c r="M1256" i="1"/>
  <c r="N1256" i="1"/>
  <c r="O1256" i="1"/>
  <c r="M1257" i="1"/>
  <c r="P1257" i="1" s="1" a="1"/>
  <c r="P1257" i="1" s="1"/>
  <c r="N1257" i="1"/>
  <c r="O1257" i="1"/>
  <c r="M1258" i="1"/>
  <c r="N1258" i="1"/>
  <c r="O1258" i="1"/>
  <c r="M1259" i="1"/>
  <c r="N1259" i="1"/>
  <c r="O1259" i="1"/>
  <c r="M1260" i="1"/>
  <c r="N1260" i="1"/>
  <c r="O1260" i="1"/>
  <c r="M1261" i="1"/>
  <c r="P1261" i="1" s="1" a="1"/>
  <c r="P1261" i="1" s="1"/>
  <c r="N1261" i="1"/>
  <c r="O1261" i="1"/>
  <c r="M1262" i="1"/>
  <c r="N1262" i="1"/>
  <c r="O1262" i="1"/>
  <c r="M1263" i="1"/>
  <c r="N1263" i="1"/>
  <c r="O1263" i="1"/>
  <c r="M1264" i="1"/>
  <c r="N1264" i="1"/>
  <c r="O1264" i="1"/>
  <c r="M1265" i="1"/>
  <c r="P1265" i="1" s="1" a="1"/>
  <c r="P1265" i="1" s="1"/>
  <c r="N1265" i="1"/>
  <c r="O1265" i="1"/>
  <c r="M1266" i="1"/>
  <c r="N1266" i="1"/>
  <c r="O1266" i="1"/>
  <c r="M1267" i="1"/>
  <c r="N1267" i="1"/>
  <c r="O1267" i="1"/>
  <c r="M1268" i="1"/>
  <c r="N1268" i="1"/>
  <c r="O1268" i="1"/>
  <c r="M1269" i="1"/>
  <c r="P1269" i="1" s="1" a="1"/>
  <c r="P1269" i="1" s="1"/>
  <c r="N1269" i="1"/>
  <c r="O1269" i="1"/>
  <c r="M1270" i="1"/>
  <c r="N1270" i="1"/>
  <c r="O1270" i="1"/>
  <c r="M1271" i="1"/>
  <c r="N1271" i="1"/>
  <c r="O1271" i="1"/>
  <c r="M1272" i="1"/>
  <c r="N1272" i="1"/>
  <c r="O1272" i="1"/>
  <c r="M1273" i="1"/>
  <c r="P1273" i="1" s="1" a="1"/>
  <c r="P1273" i="1" s="1"/>
  <c r="N1273" i="1"/>
  <c r="O1273" i="1"/>
  <c r="M1274" i="1"/>
  <c r="N1274" i="1"/>
  <c r="O1274" i="1"/>
  <c r="M1275" i="1"/>
  <c r="N1275" i="1"/>
  <c r="O1275" i="1"/>
  <c r="M1276" i="1"/>
  <c r="N1276" i="1"/>
  <c r="O1276" i="1"/>
  <c r="M1277" i="1"/>
  <c r="P1277" i="1" s="1" a="1"/>
  <c r="P1277" i="1" s="1"/>
  <c r="N1277" i="1"/>
  <c r="O1277" i="1"/>
  <c r="M1278" i="1"/>
  <c r="N1278" i="1"/>
  <c r="O1278" i="1"/>
  <c r="M1279" i="1"/>
  <c r="N1279" i="1"/>
  <c r="O1279" i="1"/>
  <c r="M1280" i="1"/>
  <c r="N1280" i="1"/>
  <c r="O1280" i="1"/>
  <c r="M1281" i="1"/>
  <c r="P1281" i="1" s="1" a="1"/>
  <c r="P1281" i="1" s="1"/>
  <c r="N1281" i="1"/>
  <c r="O1281" i="1"/>
  <c r="M1282" i="1"/>
  <c r="N1282" i="1"/>
  <c r="O1282" i="1"/>
  <c r="M1283" i="1"/>
  <c r="N1283" i="1"/>
  <c r="O1283" i="1"/>
  <c r="M1284" i="1"/>
  <c r="N1284" i="1"/>
  <c r="O1284" i="1"/>
  <c r="M1285" i="1"/>
  <c r="P1285" i="1" s="1" a="1"/>
  <c r="P1285" i="1" s="1"/>
  <c r="N1285" i="1"/>
  <c r="O1285" i="1"/>
  <c r="M1286" i="1"/>
  <c r="N1286" i="1"/>
  <c r="O1286" i="1"/>
  <c r="M1287" i="1"/>
  <c r="N1287" i="1"/>
  <c r="O1287" i="1"/>
  <c r="M1288" i="1"/>
  <c r="N1288" i="1"/>
  <c r="O1288" i="1"/>
  <c r="M1289" i="1"/>
  <c r="P1289" i="1" s="1" a="1"/>
  <c r="P1289" i="1" s="1"/>
  <c r="N1289" i="1"/>
  <c r="O1289" i="1"/>
  <c r="M1290" i="1"/>
  <c r="N1290" i="1"/>
  <c r="O1290" i="1"/>
  <c r="M1291" i="1"/>
  <c r="N1291" i="1"/>
  <c r="O1291" i="1"/>
  <c r="M1292" i="1"/>
  <c r="N1292" i="1"/>
  <c r="O1292" i="1"/>
  <c r="M1293" i="1"/>
  <c r="P1293" i="1" s="1" a="1"/>
  <c r="P1293" i="1" s="1"/>
  <c r="N1293" i="1"/>
  <c r="O1293" i="1"/>
  <c r="M1294" i="1"/>
  <c r="N1294" i="1"/>
  <c r="O1294" i="1"/>
  <c r="M1295" i="1"/>
  <c r="N1295" i="1"/>
  <c r="O1295" i="1"/>
  <c r="M1296" i="1"/>
  <c r="N1296" i="1"/>
  <c r="O1296" i="1"/>
  <c r="M1297" i="1"/>
  <c r="P1297" i="1" s="1" a="1"/>
  <c r="P1297" i="1" s="1"/>
  <c r="N1297" i="1"/>
  <c r="O1297" i="1"/>
  <c r="M1298" i="1"/>
  <c r="N1298" i="1"/>
  <c r="O1298" i="1"/>
  <c r="M1299" i="1"/>
  <c r="N1299" i="1"/>
  <c r="O1299" i="1"/>
  <c r="M1300" i="1"/>
  <c r="N1300" i="1"/>
  <c r="O1300" i="1"/>
  <c r="M1301" i="1"/>
  <c r="P1301" i="1" s="1" a="1"/>
  <c r="P1301" i="1" s="1"/>
  <c r="N1301" i="1"/>
  <c r="O1301" i="1"/>
  <c r="M1302" i="1"/>
  <c r="N1302" i="1"/>
  <c r="O1302" i="1"/>
  <c r="M1303" i="1"/>
  <c r="N1303" i="1"/>
  <c r="O1303" i="1"/>
  <c r="M1304" i="1"/>
  <c r="N1304" i="1"/>
  <c r="O1304" i="1"/>
  <c r="M1305" i="1"/>
  <c r="P1305" i="1" s="1" a="1"/>
  <c r="P1305" i="1" s="1"/>
  <c r="N1305" i="1"/>
  <c r="O1305" i="1"/>
  <c r="M1306" i="1"/>
  <c r="N1306" i="1"/>
  <c r="O1306" i="1"/>
  <c r="M1307" i="1"/>
  <c r="N1307" i="1"/>
  <c r="O1307" i="1"/>
  <c r="M1308" i="1"/>
  <c r="N1308" i="1"/>
  <c r="O1308" i="1"/>
  <c r="M1309" i="1"/>
  <c r="P1309" i="1" s="1" a="1"/>
  <c r="P1309" i="1" s="1"/>
  <c r="N1309" i="1"/>
  <c r="O1309" i="1"/>
  <c r="M1310" i="1"/>
  <c r="N1310" i="1"/>
  <c r="O1310" i="1"/>
  <c r="M1311" i="1"/>
  <c r="N1311" i="1"/>
  <c r="O1311" i="1"/>
  <c r="M1312" i="1"/>
  <c r="N1312" i="1"/>
  <c r="O1312" i="1"/>
  <c r="M1313" i="1"/>
  <c r="P1313" i="1" s="1" a="1"/>
  <c r="P1313" i="1" s="1"/>
  <c r="N1313" i="1"/>
  <c r="O1313" i="1"/>
  <c r="M1314" i="1"/>
  <c r="N1314" i="1"/>
  <c r="O1314" i="1"/>
  <c r="M1315" i="1"/>
  <c r="N1315" i="1"/>
  <c r="O1315" i="1"/>
  <c r="M1316" i="1"/>
  <c r="N1316" i="1"/>
  <c r="O1316" i="1"/>
  <c r="M1317" i="1"/>
  <c r="P1317" i="1" s="1" a="1"/>
  <c r="P1317" i="1" s="1"/>
  <c r="N1317" i="1"/>
  <c r="O1317" i="1"/>
  <c r="M1318" i="1"/>
  <c r="N1318" i="1"/>
  <c r="O1318" i="1"/>
  <c r="M1319" i="1"/>
  <c r="N1319" i="1"/>
  <c r="O1319" i="1"/>
  <c r="M1320" i="1"/>
  <c r="N1320" i="1"/>
  <c r="O1320" i="1"/>
  <c r="M1321" i="1"/>
  <c r="P1321" i="1" s="1" a="1"/>
  <c r="P1321" i="1" s="1"/>
  <c r="N1321" i="1"/>
  <c r="O1321" i="1"/>
  <c r="M1322" i="1"/>
  <c r="N1322" i="1"/>
  <c r="O1322" i="1"/>
  <c r="M1323" i="1"/>
  <c r="N1323" i="1"/>
  <c r="O1323" i="1"/>
  <c r="M1324" i="1"/>
  <c r="N1324" i="1"/>
  <c r="O1324" i="1"/>
  <c r="M1325" i="1"/>
  <c r="P1325" i="1" s="1" a="1"/>
  <c r="P1325" i="1" s="1"/>
  <c r="N1325" i="1"/>
  <c r="O1325" i="1"/>
  <c r="M1326" i="1"/>
  <c r="N1326" i="1"/>
  <c r="O1326" i="1"/>
  <c r="M1327" i="1"/>
  <c r="N1327" i="1"/>
  <c r="O1327" i="1"/>
  <c r="M1328" i="1"/>
  <c r="N1328" i="1"/>
  <c r="O1328" i="1"/>
  <c r="M1329" i="1"/>
  <c r="P1329" i="1" s="1" a="1"/>
  <c r="P1329" i="1" s="1"/>
  <c r="N1329" i="1"/>
  <c r="O1329" i="1"/>
  <c r="M1330" i="1"/>
  <c r="N1330" i="1"/>
  <c r="O1330" i="1"/>
  <c r="M1331" i="1"/>
  <c r="N1331" i="1"/>
  <c r="O1331" i="1"/>
  <c r="M1332" i="1"/>
  <c r="N1332" i="1"/>
  <c r="O1332" i="1"/>
  <c r="M1333" i="1"/>
  <c r="P1333" i="1" s="1" a="1"/>
  <c r="P1333" i="1" s="1"/>
  <c r="N1333" i="1"/>
  <c r="O1333" i="1"/>
  <c r="M1334" i="1"/>
  <c r="N1334" i="1"/>
  <c r="O1334" i="1"/>
  <c r="M1335" i="1"/>
  <c r="N1335" i="1"/>
  <c r="O1335" i="1"/>
  <c r="M1336" i="1"/>
  <c r="N1336" i="1"/>
  <c r="O1336" i="1"/>
  <c r="M1337" i="1"/>
  <c r="P1337" i="1" s="1" a="1"/>
  <c r="P1337" i="1" s="1"/>
  <c r="N1337" i="1"/>
  <c r="O1337" i="1"/>
  <c r="M1338" i="1"/>
  <c r="N1338" i="1"/>
  <c r="O1338" i="1"/>
  <c r="M1339" i="1"/>
  <c r="N1339" i="1"/>
  <c r="O1339" i="1"/>
  <c r="M1340" i="1"/>
  <c r="N1340" i="1"/>
  <c r="O1340" i="1"/>
  <c r="M1341" i="1"/>
  <c r="P1341" i="1" s="1" a="1"/>
  <c r="P1341" i="1" s="1"/>
  <c r="N1341" i="1"/>
  <c r="O1341" i="1"/>
  <c r="M1342" i="1"/>
  <c r="N1342" i="1"/>
  <c r="O1342" i="1"/>
  <c r="M1343" i="1"/>
  <c r="N1343" i="1"/>
  <c r="O1343" i="1"/>
  <c r="M1344" i="1"/>
  <c r="N1344" i="1"/>
  <c r="O1344" i="1"/>
  <c r="M1345" i="1"/>
  <c r="P1345" i="1" s="1" a="1"/>
  <c r="P1345" i="1" s="1"/>
  <c r="N1345" i="1"/>
  <c r="O1345" i="1"/>
  <c r="M1346" i="1"/>
  <c r="N1346" i="1"/>
  <c r="O1346" i="1"/>
  <c r="M1347" i="1"/>
  <c r="N1347" i="1"/>
  <c r="O1347" i="1"/>
  <c r="M1348" i="1"/>
  <c r="N1348" i="1"/>
  <c r="O1348" i="1"/>
  <c r="M1349" i="1"/>
  <c r="P1349" i="1" s="1" a="1"/>
  <c r="P1349" i="1" s="1"/>
  <c r="N1349" i="1"/>
  <c r="O1349" i="1"/>
  <c r="M1350" i="1"/>
  <c r="N1350" i="1"/>
  <c r="O1350" i="1"/>
  <c r="M1351" i="1"/>
  <c r="N1351" i="1"/>
  <c r="O1351" i="1"/>
  <c r="M1352" i="1"/>
  <c r="N1352" i="1"/>
  <c r="O1352" i="1"/>
  <c r="M1353" i="1"/>
  <c r="P1353" i="1" s="1" a="1"/>
  <c r="P1353" i="1" s="1"/>
  <c r="N1353" i="1"/>
  <c r="O1353" i="1"/>
  <c r="M1354" i="1"/>
  <c r="N1354" i="1"/>
  <c r="O1354" i="1"/>
  <c r="M1355" i="1"/>
  <c r="N1355" i="1"/>
  <c r="O1355" i="1"/>
  <c r="M1356" i="1"/>
  <c r="N1356" i="1"/>
  <c r="O1356" i="1"/>
  <c r="M1357" i="1"/>
  <c r="P1357" i="1" s="1" a="1"/>
  <c r="P1357" i="1" s="1"/>
  <c r="N1357" i="1"/>
  <c r="O1357" i="1"/>
  <c r="M1358" i="1"/>
  <c r="N1358" i="1"/>
  <c r="O1358" i="1"/>
  <c r="M1359" i="1"/>
  <c r="N1359" i="1"/>
  <c r="O1359" i="1"/>
  <c r="M1360" i="1"/>
  <c r="N1360" i="1"/>
  <c r="O1360" i="1"/>
  <c r="M1361" i="1"/>
  <c r="P1361" i="1" s="1" a="1"/>
  <c r="P1361" i="1" s="1"/>
  <c r="N1361" i="1"/>
  <c r="O1361" i="1"/>
  <c r="M1362" i="1"/>
  <c r="N1362" i="1"/>
  <c r="O1362" i="1"/>
  <c r="M1363" i="1"/>
  <c r="N1363" i="1"/>
  <c r="O1363" i="1"/>
  <c r="M1364" i="1"/>
  <c r="N1364" i="1"/>
  <c r="O1364" i="1"/>
  <c r="M1365" i="1"/>
  <c r="P1365" i="1" s="1" a="1"/>
  <c r="P1365" i="1" s="1"/>
  <c r="N1365" i="1"/>
  <c r="O1365" i="1"/>
  <c r="M1366" i="1"/>
  <c r="N1366" i="1"/>
  <c r="O1366" i="1"/>
  <c r="M1367" i="1"/>
  <c r="N1367" i="1"/>
  <c r="O1367" i="1"/>
  <c r="M1368" i="1"/>
  <c r="N1368" i="1"/>
  <c r="O1368" i="1"/>
  <c r="M1369" i="1"/>
  <c r="P1369" i="1" s="1" a="1"/>
  <c r="P1369" i="1" s="1"/>
  <c r="N1369" i="1"/>
  <c r="O1369" i="1"/>
  <c r="M1370" i="1"/>
  <c r="N1370" i="1"/>
  <c r="O1370" i="1"/>
  <c r="M1371" i="1"/>
  <c r="N1371" i="1"/>
  <c r="O1371" i="1"/>
  <c r="M1372" i="1"/>
  <c r="N1372" i="1"/>
  <c r="O1372" i="1"/>
  <c r="M1373" i="1"/>
  <c r="P1373" i="1" s="1" a="1"/>
  <c r="P1373" i="1" s="1"/>
  <c r="N1373" i="1"/>
  <c r="O1373" i="1"/>
  <c r="M1374" i="1"/>
  <c r="N1374" i="1"/>
  <c r="O1374" i="1"/>
  <c r="M1375" i="1"/>
  <c r="N1375" i="1"/>
  <c r="O1375" i="1"/>
  <c r="M1376" i="1"/>
  <c r="N1376" i="1"/>
  <c r="O1376" i="1"/>
  <c r="M1377" i="1"/>
  <c r="P1377" i="1" s="1" a="1"/>
  <c r="P1377" i="1" s="1"/>
  <c r="N1377" i="1"/>
  <c r="O1377" i="1"/>
  <c r="M1378" i="1"/>
  <c r="N1378" i="1"/>
  <c r="O1378" i="1"/>
  <c r="M1379" i="1"/>
  <c r="N1379" i="1"/>
  <c r="O1379" i="1"/>
  <c r="M1380" i="1"/>
  <c r="N1380" i="1"/>
  <c r="O1380" i="1"/>
  <c r="M1381" i="1"/>
  <c r="P1381" i="1" s="1" a="1"/>
  <c r="P1381" i="1" s="1"/>
  <c r="N1381" i="1"/>
  <c r="O1381" i="1"/>
  <c r="M1382" i="1"/>
  <c r="N1382" i="1"/>
  <c r="O1382" i="1"/>
  <c r="M1383" i="1"/>
  <c r="N1383" i="1"/>
  <c r="O1383" i="1"/>
  <c r="N8" i="1"/>
  <c r="O8" i="1"/>
  <c r="H30" i="1" a="1"/>
  <c r="H23" i="1" a="1"/>
  <c r="I15" i="1" l="1"/>
  <c r="L10" i="3" s="1"/>
  <c r="L11" i="3" s="1"/>
  <c r="P1383" i="1" a="1"/>
  <c r="P1383" i="1" s="1"/>
  <c r="P1375" i="1" a="1"/>
  <c r="P1375" i="1" s="1"/>
  <c r="P1367" i="1" a="1"/>
  <c r="P1367" i="1" s="1"/>
  <c r="P1359" i="1" a="1"/>
  <c r="P1359" i="1" s="1"/>
  <c r="P1351" i="1" a="1"/>
  <c r="P1351" i="1" s="1"/>
  <c r="P1339" i="1" a="1"/>
  <c r="P1339" i="1" s="1"/>
  <c r="P1331" i="1" a="1"/>
  <c r="P1331" i="1" s="1"/>
  <c r="P1327" i="1" a="1"/>
  <c r="P1327" i="1" s="1"/>
  <c r="P1319" i="1" a="1"/>
  <c r="P1319" i="1" s="1"/>
  <c r="P1311" i="1" a="1"/>
  <c r="P1311" i="1" s="1"/>
  <c r="P1303" i="1" a="1"/>
  <c r="P1303" i="1" s="1"/>
  <c r="P1295" i="1" a="1"/>
  <c r="P1295" i="1" s="1"/>
  <c r="P1287" i="1" a="1"/>
  <c r="P1287" i="1" s="1"/>
  <c r="P1275" i="1" a="1"/>
  <c r="P1275" i="1" s="1"/>
  <c r="P1267" i="1" a="1"/>
  <c r="P1267" i="1" s="1"/>
  <c r="P1263" i="1" a="1"/>
  <c r="P1263" i="1" s="1"/>
  <c r="P1255" i="1" a="1"/>
  <c r="P1255" i="1" s="1"/>
  <c r="P1247" i="1" a="1"/>
  <c r="P1247" i="1" s="1"/>
  <c r="P1235" i="1" a="1"/>
  <c r="P1235" i="1" s="1"/>
  <c r="P1231" i="1" a="1"/>
  <c r="P1231" i="1" s="1"/>
  <c r="P1223" i="1" a="1"/>
  <c r="P1223" i="1" s="1"/>
  <c r="P1215" i="1" a="1"/>
  <c r="P1215" i="1" s="1"/>
  <c r="P1207" i="1" a="1"/>
  <c r="P1207" i="1" s="1"/>
  <c r="P1195" i="1" a="1"/>
  <c r="P1195" i="1" s="1"/>
  <c r="P1187" i="1" a="1"/>
  <c r="P1187" i="1" s="1"/>
  <c r="P1179" i="1" a="1"/>
  <c r="P1179" i="1" s="1"/>
  <c r="P1171" i="1" a="1"/>
  <c r="P1171" i="1" s="1"/>
  <c r="P1167" i="1" a="1"/>
  <c r="P1167" i="1" s="1"/>
  <c r="P1159" i="1" a="1"/>
  <c r="P1159" i="1" s="1"/>
  <c r="P1151" i="1" a="1"/>
  <c r="P1151" i="1" s="1"/>
  <c r="P1139" i="1" a="1"/>
  <c r="P1139" i="1" s="1"/>
  <c r="P1131" i="1" a="1"/>
  <c r="P1131" i="1" s="1"/>
  <c r="P1123" i="1" a="1"/>
  <c r="P1123" i="1" s="1"/>
  <c r="P1119" i="1" a="1"/>
  <c r="P1119" i="1" s="1"/>
  <c r="P1111" i="1" a="1"/>
  <c r="P1111" i="1" s="1"/>
  <c r="P1099" i="1" a="1"/>
  <c r="P1099" i="1" s="1"/>
  <c r="P1091" i="1" a="1"/>
  <c r="P1091" i="1" s="1"/>
  <c r="P1083" i="1" a="1"/>
  <c r="P1083" i="1" s="1"/>
  <c r="P1075" i="1" a="1"/>
  <c r="P1075" i="1" s="1"/>
  <c r="P1067" i="1" a="1"/>
  <c r="P1067" i="1" s="1"/>
  <c r="P1059" i="1" a="1"/>
  <c r="P1059" i="1" s="1"/>
  <c r="P1051" i="1" a="1"/>
  <c r="P1051" i="1" s="1"/>
  <c r="P1043" i="1" a="1"/>
  <c r="P1043" i="1" s="1"/>
  <c r="P1035" i="1" a="1"/>
  <c r="P1035" i="1" s="1"/>
  <c r="P1027" i="1" a="1"/>
  <c r="P1027" i="1" s="1"/>
  <c r="P1019" i="1" a="1"/>
  <c r="P1019" i="1" s="1"/>
  <c r="P1011" i="1" a="1"/>
  <c r="P1011" i="1" s="1"/>
  <c r="P999" i="1" a="1"/>
  <c r="P999" i="1" s="1"/>
  <c r="P991" i="1" a="1"/>
  <c r="P991" i="1" s="1"/>
  <c r="P983" i="1" a="1"/>
  <c r="P983" i="1" s="1"/>
  <c r="P971" i="1" a="1"/>
  <c r="P971" i="1" s="1"/>
  <c r="P963" i="1" a="1"/>
  <c r="P963" i="1" s="1"/>
  <c r="P951" i="1" a="1"/>
  <c r="P951" i="1" s="1"/>
  <c r="P943" i="1" a="1"/>
  <c r="P943" i="1" s="1"/>
  <c r="P935" i="1" a="1"/>
  <c r="P935" i="1" s="1"/>
  <c r="P927" i="1" a="1"/>
  <c r="P927" i="1" s="1"/>
  <c r="P919" i="1" a="1"/>
  <c r="P919" i="1" s="1"/>
  <c r="P911" i="1" a="1"/>
  <c r="P911" i="1" s="1"/>
  <c r="P903" i="1" a="1"/>
  <c r="P903" i="1" s="1"/>
  <c r="P895" i="1" a="1"/>
  <c r="P895" i="1" s="1"/>
  <c r="P891" i="1" a="1"/>
  <c r="P891" i="1" s="1"/>
  <c r="P879" i="1" a="1"/>
  <c r="P879" i="1" s="1"/>
  <c r="P871" i="1" a="1"/>
  <c r="P871" i="1" s="1"/>
  <c r="P859" i="1" a="1"/>
  <c r="P859" i="1" s="1"/>
  <c r="P855" i="1" a="1"/>
  <c r="P855" i="1" s="1"/>
  <c r="P843" i="1" a="1"/>
  <c r="P843" i="1" s="1"/>
  <c r="P839" i="1" a="1"/>
  <c r="P839" i="1" s="1"/>
  <c r="P827" i="1" a="1"/>
  <c r="P827" i="1" s="1"/>
  <c r="P823" i="1" a="1"/>
  <c r="P823" i="1" s="1"/>
  <c r="P815" i="1" a="1"/>
  <c r="P815" i="1" s="1"/>
  <c r="P807" i="1" a="1"/>
  <c r="P807" i="1" s="1"/>
  <c r="P799" i="1" a="1"/>
  <c r="P799" i="1" s="1"/>
  <c r="P791" i="1" a="1"/>
  <c r="P791" i="1" s="1"/>
  <c r="P783" i="1" a="1"/>
  <c r="P783" i="1" s="1"/>
  <c r="P775" i="1" a="1"/>
  <c r="P775" i="1" s="1"/>
  <c r="P767" i="1" a="1"/>
  <c r="P767" i="1" s="1"/>
  <c r="P759" i="1" a="1"/>
  <c r="P759" i="1" s="1"/>
  <c r="P751" i="1" a="1"/>
  <c r="P751" i="1" s="1"/>
  <c r="P743" i="1" a="1"/>
  <c r="P743" i="1" s="1"/>
  <c r="P735" i="1" a="1"/>
  <c r="P735" i="1" s="1"/>
  <c r="P727" i="1" a="1"/>
  <c r="P727" i="1" s="1"/>
  <c r="P715" i="1" a="1"/>
  <c r="P715" i="1" s="1"/>
  <c r="P707" i="1" a="1"/>
  <c r="P707" i="1" s="1"/>
  <c r="P699" i="1" a="1"/>
  <c r="P699" i="1" s="1"/>
  <c r="P1379" i="1" a="1"/>
  <c r="P1379" i="1" s="1"/>
  <c r="P1371" i="1" a="1"/>
  <c r="P1371" i="1" s="1"/>
  <c r="P1363" i="1" a="1"/>
  <c r="P1363" i="1" s="1"/>
  <c r="P1355" i="1" a="1"/>
  <c r="P1355" i="1" s="1"/>
  <c r="P1347" i="1" a="1"/>
  <c r="P1347" i="1" s="1"/>
  <c r="P1343" i="1" a="1"/>
  <c r="P1343" i="1" s="1"/>
  <c r="P1335" i="1" a="1"/>
  <c r="P1335" i="1" s="1"/>
  <c r="P1323" i="1" a="1"/>
  <c r="P1323" i="1" s="1"/>
  <c r="P1315" i="1" a="1"/>
  <c r="P1315" i="1" s="1"/>
  <c r="P1307" i="1" a="1"/>
  <c r="P1307" i="1" s="1"/>
  <c r="P1299" i="1" a="1"/>
  <c r="P1299" i="1" s="1"/>
  <c r="P1291" i="1" a="1"/>
  <c r="P1291" i="1" s="1"/>
  <c r="P1283" i="1" a="1"/>
  <c r="P1283" i="1" s="1"/>
  <c r="P1279" i="1" a="1"/>
  <c r="P1279" i="1" s="1"/>
  <c r="P1271" i="1" a="1"/>
  <c r="P1271" i="1" s="1"/>
  <c r="P1259" i="1" a="1"/>
  <c r="P1259" i="1" s="1"/>
  <c r="P1251" i="1" a="1"/>
  <c r="P1251" i="1" s="1"/>
  <c r="P1243" i="1" a="1"/>
  <c r="P1243" i="1" s="1"/>
  <c r="P1239" i="1" a="1"/>
  <c r="P1239" i="1" s="1"/>
  <c r="P1227" i="1" a="1"/>
  <c r="P1227" i="1" s="1"/>
  <c r="P1219" i="1" a="1"/>
  <c r="P1219" i="1" s="1"/>
  <c r="P1211" i="1" a="1"/>
  <c r="P1211" i="1" s="1"/>
  <c r="P1203" i="1" a="1"/>
  <c r="P1203" i="1" s="1"/>
  <c r="P1199" i="1" a="1"/>
  <c r="P1199" i="1" s="1"/>
  <c r="P1191" i="1" a="1"/>
  <c r="P1191" i="1" s="1"/>
  <c r="P1183" i="1" a="1"/>
  <c r="P1183" i="1" s="1"/>
  <c r="P1175" i="1" a="1"/>
  <c r="P1175" i="1" s="1"/>
  <c r="P1163" i="1" a="1"/>
  <c r="P1163" i="1" s="1"/>
  <c r="P1155" i="1" a="1"/>
  <c r="P1155" i="1" s="1"/>
  <c r="P1147" i="1" a="1"/>
  <c r="P1147" i="1" s="1"/>
  <c r="P1143" i="1" a="1"/>
  <c r="P1143" i="1" s="1"/>
  <c r="P1135" i="1" a="1"/>
  <c r="P1135" i="1" s="1"/>
  <c r="P1127" i="1" a="1"/>
  <c r="P1127" i="1" s="1"/>
  <c r="P1115" i="1" a="1"/>
  <c r="P1115" i="1" s="1"/>
  <c r="P1107" i="1" a="1"/>
  <c r="P1107" i="1" s="1"/>
  <c r="P1103" i="1" a="1"/>
  <c r="P1103" i="1" s="1"/>
  <c r="P1095" i="1" a="1"/>
  <c r="P1095" i="1" s="1"/>
  <c r="P1087" i="1" a="1"/>
  <c r="P1087" i="1" s="1"/>
  <c r="P1079" i="1" a="1"/>
  <c r="P1079" i="1" s="1"/>
  <c r="P1071" i="1" a="1"/>
  <c r="P1071" i="1" s="1"/>
  <c r="P1063" i="1" a="1"/>
  <c r="P1063" i="1" s="1"/>
  <c r="P1055" i="1" a="1"/>
  <c r="P1055" i="1" s="1"/>
  <c r="P1047" i="1" a="1"/>
  <c r="P1047" i="1" s="1"/>
  <c r="P1039" i="1" a="1"/>
  <c r="P1039" i="1" s="1"/>
  <c r="P1031" i="1" a="1"/>
  <c r="P1031" i="1" s="1"/>
  <c r="P1023" i="1" a="1"/>
  <c r="P1023" i="1" s="1"/>
  <c r="P1015" i="1" a="1"/>
  <c r="P1015" i="1" s="1"/>
  <c r="P1007" i="1" a="1"/>
  <c r="P1007" i="1" s="1"/>
  <c r="P1003" i="1" a="1"/>
  <c r="P1003" i="1" s="1"/>
  <c r="P995" i="1" a="1"/>
  <c r="P995" i="1" s="1"/>
  <c r="P987" i="1" a="1"/>
  <c r="P987" i="1" s="1"/>
  <c r="P979" i="1" a="1"/>
  <c r="P979" i="1" s="1"/>
  <c r="P975" i="1" a="1"/>
  <c r="P975" i="1" s="1"/>
  <c r="P967" i="1" a="1"/>
  <c r="P967" i="1" s="1"/>
  <c r="P959" i="1" a="1"/>
  <c r="P959" i="1" s="1"/>
  <c r="P955" i="1" a="1"/>
  <c r="P955" i="1" s="1"/>
  <c r="P947" i="1" a="1"/>
  <c r="P947" i="1" s="1"/>
  <c r="P939" i="1" a="1"/>
  <c r="P939" i="1" s="1"/>
  <c r="P931" i="1" a="1"/>
  <c r="P931" i="1" s="1"/>
  <c r="P923" i="1" a="1"/>
  <c r="P923" i="1" s="1"/>
  <c r="P915" i="1" a="1"/>
  <c r="P915" i="1" s="1"/>
  <c r="P907" i="1" a="1"/>
  <c r="P907" i="1" s="1"/>
  <c r="P899" i="1" a="1"/>
  <c r="P899" i="1" s="1"/>
  <c r="P887" i="1" a="1"/>
  <c r="P887" i="1" s="1"/>
  <c r="P883" i="1" a="1"/>
  <c r="P883" i="1" s="1"/>
  <c r="P875" i="1" a="1"/>
  <c r="P875" i="1" s="1"/>
  <c r="P867" i="1" a="1"/>
  <c r="P867" i="1" s="1"/>
  <c r="P863" i="1" a="1"/>
  <c r="P863" i="1" s="1"/>
  <c r="P851" i="1" a="1"/>
  <c r="P851" i="1" s="1"/>
  <c r="P847" i="1" a="1"/>
  <c r="P847" i="1" s="1"/>
  <c r="P835" i="1" a="1"/>
  <c r="P835" i="1" s="1"/>
  <c r="P831" i="1" a="1"/>
  <c r="P831" i="1" s="1"/>
  <c r="P819" i="1" a="1"/>
  <c r="P819" i="1" s="1"/>
  <c r="P811" i="1" a="1"/>
  <c r="P811" i="1" s="1"/>
  <c r="P803" i="1" a="1"/>
  <c r="P803" i="1" s="1"/>
  <c r="P795" i="1" a="1"/>
  <c r="P795" i="1" s="1"/>
  <c r="P787" i="1" a="1"/>
  <c r="P787" i="1" s="1"/>
  <c r="P779" i="1" a="1"/>
  <c r="P779" i="1" s="1"/>
  <c r="P771" i="1" a="1"/>
  <c r="P771" i="1" s="1"/>
  <c r="P763" i="1" a="1"/>
  <c r="P763" i="1" s="1"/>
  <c r="P755" i="1" a="1"/>
  <c r="P755" i="1" s="1"/>
  <c r="P747" i="1" a="1"/>
  <c r="P747" i="1" s="1"/>
  <c r="P739" i="1" a="1"/>
  <c r="P739" i="1" s="1"/>
  <c r="P731" i="1" a="1"/>
  <c r="P731" i="1" s="1"/>
  <c r="P723" i="1" a="1"/>
  <c r="P723" i="1" s="1"/>
  <c r="P719" i="1" a="1"/>
  <c r="P719" i="1" s="1"/>
  <c r="P711" i="1" a="1"/>
  <c r="P711" i="1" s="1"/>
  <c r="P703" i="1" a="1"/>
  <c r="P703" i="1" s="1"/>
  <c r="P695" i="1" a="1"/>
  <c r="P695" i="1" s="1"/>
  <c r="H15" i="1"/>
  <c r="P1380" i="1" a="1"/>
  <c r="P1380" i="1" s="1"/>
  <c r="P1376" i="1" a="1"/>
  <c r="P1376" i="1" s="1"/>
  <c r="P1372" i="1" a="1"/>
  <c r="P1372" i="1" s="1"/>
  <c r="P1368" i="1" a="1"/>
  <c r="P1368" i="1" s="1"/>
  <c r="P1364" i="1" a="1"/>
  <c r="P1364" i="1" s="1"/>
  <c r="P1360" i="1" a="1"/>
  <c r="P1360" i="1" s="1"/>
  <c r="P1356" i="1" a="1"/>
  <c r="P1356" i="1" s="1"/>
  <c r="P1352" i="1" a="1"/>
  <c r="P1352" i="1" s="1"/>
  <c r="P1348" i="1" a="1"/>
  <c r="P1348" i="1" s="1"/>
  <c r="P1344" i="1" a="1"/>
  <c r="P1344" i="1" s="1"/>
  <c r="P1340" i="1" a="1"/>
  <c r="P1340" i="1" s="1"/>
  <c r="P1336" i="1" a="1"/>
  <c r="P1336" i="1" s="1"/>
  <c r="P1332" i="1" a="1"/>
  <c r="P1332" i="1" s="1"/>
  <c r="P1328" i="1" a="1"/>
  <c r="P1328" i="1" s="1"/>
  <c r="P1324" i="1" a="1"/>
  <c r="P1324" i="1" s="1"/>
  <c r="P1320" i="1" a="1"/>
  <c r="P1320" i="1" s="1"/>
  <c r="P1316" i="1" a="1"/>
  <c r="P1316" i="1" s="1"/>
  <c r="P1312" i="1" a="1"/>
  <c r="P1312" i="1" s="1"/>
  <c r="P1308" i="1" a="1"/>
  <c r="P1308" i="1" s="1"/>
  <c r="P1304" i="1" a="1"/>
  <c r="P1304" i="1" s="1"/>
  <c r="P1300" i="1" a="1"/>
  <c r="P1300" i="1" s="1"/>
  <c r="P1296" i="1" a="1"/>
  <c r="P1296" i="1" s="1"/>
  <c r="P1292" i="1" a="1"/>
  <c r="P1292" i="1" s="1"/>
  <c r="P1288" i="1" a="1"/>
  <c r="P1288" i="1" s="1"/>
  <c r="P1284" i="1" a="1"/>
  <c r="P1284" i="1" s="1"/>
  <c r="P1280" i="1" a="1"/>
  <c r="P1280" i="1" s="1"/>
  <c r="P1276" i="1" a="1"/>
  <c r="P1276" i="1" s="1"/>
  <c r="P1272" i="1" a="1"/>
  <c r="P1272" i="1" s="1"/>
  <c r="P1268" i="1" a="1"/>
  <c r="P1268" i="1" s="1"/>
  <c r="P1264" i="1" a="1"/>
  <c r="P1264" i="1" s="1"/>
  <c r="P1260" i="1" a="1"/>
  <c r="P1260" i="1" s="1"/>
  <c r="P1256" i="1" a="1"/>
  <c r="P1256" i="1" s="1"/>
  <c r="P1252" i="1" a="1"/>
  <c r="P1252" i="1" s="1"/>
  <c r="P1248" i="1" a="1"/>
  <c r="P1248" i="1" s="1"/>
  <c r="P1244" i="1" a="1"/>
  <c r="P1244" i="1" s="1"/>
  <c r="P1240" i="1" a="1"/>
  <c r="P1240" i="1" s="1"/>
  <c r="P1236" i="1" a="1"/>
  <c r="P1236" i="1" s="1"/>
  <c r="P1232" i="1" a="1"/>
  <c r="P1232" i="1" s="1"/>
  <c r="P1228" i="1" a="1"/>
  <c r="P1228" i="1" s="1"/>
  <c r="P1224" i="1" a="1"/>
  <c r="P1224" i="1" s="1"/>
  <c r="P1220" i="1" a="1"/>
  <c r="P1220" i="1" s="1"/>
  <c r="P1216" i="1" a="1"/>
  <c r="P1216" i="1" s="1"/>
  <c r="P1212" i="1" a="1"/>
  <c r="P1212" i="1" s="1"/>
  <c r="P1208" i="1" a="1"/>
  <c r="P1208" i="1" s="1"/>
  <c r="P1204" i="1" a="1"/>
  <c r="P1204" i="1" s="1"/>
  <c r="P1200" i="1" a="1"/>
  <c r="P1200" i="1" s="1"/>
  <c r="P1196" i="1" a="1"/>
  <c r="P1196" i="1" s="1"/>
  <c r="P1192" i="1" a="1"/>
  <c r="P1192" i="1" s="1"/>
  <c r="P1188" i="1" a="1"/>
  <c r="P1188" i="1" s="1"/>
  <c r="P1184" i="1" a="1"/>
  <c r="P1184" i="1" s="1"/>
  <c r="P1180" i="1" a="1"/>
  <c r="P1180" i="1" s="1"/>
  <c r="P1176" i="1" a="1"/>
  <c r="P1176" i="1" s="1"/>
  <c r="P1172" i="1" a="1"/>
  <c r="P1172" i="1" s="1"/>
  <c r="P1168" i="1" a="1"/>
  <c r="P1168" i="1" s="1"/>
  <c r="P1164" i="1" a="1"/>
  <c r="P1164" i="1" s="1"/>
  <c r="P1160" i="1" a="1"/>
  <c r="P1160" i="1" s="1"/>
  <c r="P1156" i="1" a="1"/>
  <c r="P1156" i="1" s="1"/>
  <c r="P1152" i="1" a="1"/>
  <c r="P1152" i="1" s="1"/>
  <c r="P1148" i="1" a="1"/>
  <c r="P1148" i="1" s="1"/>
  <c r="P1144" i="1" a="1"/>
  <c r="P1144" i="1" s="1"/>
  <c r="P1140" i="1" a="1"/>
  <c r="P1140" i="1" s="1"/>
  <c r="P1136" i="1" a="1"/>
  <c r="P1136" i="1" s="1"/>
  <c r="P1132" i="1" a="1"/>
  <c r="P1132" i="1" s="1"/>
  <c r="P1128" i="1" a="1"/>
  <c r="P1128" i="1" s="1"/>
  <c r="P1124" i="1" a="1"/>
  <c r="P1124" i="1" s="1"/>
  <c r="P1120" i="1" a="1"/>
  <c r="P1120" i="1" s="1"/>
  <c r="P1116" i="1" a="1"/>
  <c r="P1116" i="1" s="1"/>
  <c r="P1112" i="1" a="1"/>
  <c r="P1112" i="1" s="1"/>
  <c r="P1108" i="1" a="1"/>
  <c r="P1108" i="1" s="1"/>
  <c r="P1104" i="1" a="1"/>
  <c r="P1104" i="1" s="1"/>
  <c r="P1100" i="1" a="1"/>
  <c r="P1100" i="1" s="1"/>
  <c r="P1096" i="1" a="1"/>
  <c r="P1096" i="1" s="1"/>
  <c r="P1092" i="1" a="1"/>
  <c r="P1092" i="1" s="1"/>
  <c r="P1088" i="1" a="1"/>
  <c r="P1088" i="1" s="1"/>
  <c r="P1084" i="1" a="1"/>
  <c r="P1084" i="1" s="1"/>
  <c r="P1080" i="1" a="1"/>
  <c r="P1080" i="1" s="1"/>
  <c r="P1076" i="1" a="1"/>
  <c r="P1076" i="1" s="1"/>
  <c r="P1072" i="1" a="1"/>
  <c r="P1072" i="1" s="1"/>
  <c r="P1068" i="1" a="1"/>
  <c r="P1068" i="1" s="1"/>
  <c r="P1064" i="1" a="1"/>
  <c r="P1064" i="1" s="1"/>
  <c r="P8" i="1" a="1"/>
  <c r="P8" i="1" s="1"/>
  <c r="P1382" i="1" a="1"/>
  <c r="P1382" i="1" s="1"/>
  <c r="P1378" i="1" a="1"/>
  <c r="P1378" i="1" s="1"/>
  <c r="P1374" i="1" a="1"/>
  <c r="P1374" i="1" s="1"/>
  <c r="P1370" i="1" a="1"/>
  <c r="P1370" i="1" s="1"/>
  <c r="P1366" i="1" a="1"/>
  <c r="P1366" i="1" s="1"/>
  <c r="P1362" i="1" a="1"/>
  <c r="P1362" i="1" s="1"/>
  <c r="P1358" i="1" a="1"/>
  <c r="P1358" i="1" s="1"/>
  <c r="P1354" i="1" a="1"/>
  <c r="P1354" i="1" s="1"/>
  <c r="P1350" i="1" a="1"/>
  <c r="P1350" i="1" s="1"/>
  <c r="P1346" i="1" a="1"/>
  <c r="P1346" i="1" s="1"/>
  <c r="P1342" i="1" a="1"/>
  <c r="P1342" i="1" s="1"/>
  <c r="P1338" i="1" a="1"/>
  <c r="P1338" i="1" s="1"/>
  <c r="P1334" i="1" a="1"/>
  <c r="P1334" i="1" s="1"/>
  <c r="P1330" i="1" a="1"/>
  <c r="P1330" i="1" s="1"/>
  <c r="P1326" i="1" a="1"/>
  <c r="P1326" i="1" s="1"/>
  <c r="P1322" i="1" a="1"/>
  <c r="P1322" i="1" s="1"/>
  <c r="P1318" i="1" a="1"/>
  <c r="P1318" i="1" s="1"/>
  <c r="P1314" i="1" a="1"/>
  <c r="P1314" i="1" s="1"/>
  <c r="P1310" i="1" a="1"/>
  <c r="P1310" i="1" s="1"/>
  <c r="P1306" i="1" a="1"/>
  <c r="P1306" i="1" s="1"/>
  <c r="P1302" i="1" a="1"/>
  <c r="P1302" i="1" s="1"/>
  <c r="P1298" i="1" a="1"/>
  <c r="P1298" i="1" s="1"/>
  <c r="P1294" i="1" a="1"/>
  <c r="P1294" i="1" s="1"/>
  <c r="P1290" i="1" a="1"/>
  <c r="P1290" i="1" s="1"/>
  <c r="P1286" i="1" a="1"/>
  <c r="P1286" i="1" s="1"/>
  <c r="P1282" i="1" a="1"/>
  <c r="P1282" i="1" s="1"/>
  <c r="P1278" i="1" a="1"/>
  <c r="P1278" i="1" s="1"/>
  <c r="P1274" i="1" a="1"/>
  <c r="P1274" i="1" s="1"/>
  <c r="P1270" i="1" a="1"/>
  <c r="P1270" i="1" s="1"/>
  <c r="P1266" i="1" a="1"/>
  <c r="P1266" i="1" s="1"/>
  <c r="P1262" i="1" a="1"/>
  <c r="P1262" i="1" s="1"/>
  <c r="P1258" i="1" a="1"/>
  <c r="P1258" i="1" s="1"/>
  <c r="P1254" i="1" a="1"/>
  <c r="P1254" i="1" s="1"/>
  <c r="P1250" i="1" a="1"/>
  <c r="P1250" i="1" s="1"/>
  <c r="P1246" i="1" a="1"/>
  <c r="P1246" i="1" s="1"/>
  <c r="P1242" i="1" a="1"/>
  <c r="P1242" i="1" s="1"/>
  <c r="P1238" i="1" a="1"/>
  <c r="P1238" i="1" s="1"/>
  <c r="P1234" i="1" a="1"/>
  <c r="P1234" i="1" s="1"/>
  <c r="P1230" i="1" a="1"/>
  <c r="P1230" i="1" s="1"/>
  <c r="P1226" i="1" a="1"/>
  <c r="P1226" i="1" s="1"/>
  <c r="P1222" i="1" a="1"/>
  <c r="P1222" i="1" s="1"/>
  <c r="P1218" i="1" a="1"/>
  <c r="P1218" i="1" s="1"/>
  <c r="P1214" i="1" a="1"/>
  <c r="P1214" i="1" s="1"/>
  <c r="P1210" i="1" a="1"/>
  <c r="P1210" i="1" s="1"/>
  <c r="P1206" i="1" a="1"/>
  <c r="P1206" i="1" s="1"/>
  <c r="P1202" i="1" a="1"/>
  <c r="P1202" i="1" s="1"/>
  <c r="P1198" i="1" a="1"/>
  <c r="P1198" i="1" s="1"/>
  <c r="P1194" i="1" a="1"/>
  <c r="P1194" i="1" s="1"/>
  <c r="P1190" i="1" a="1"/>
  <c r="P1190" i="1" s="1"/>
  <c r="P1186" i="1" a="1"/>
  <c r="P1186" i="1" s="1"/>
  <c r="P1182" i="1" a="1"/>
  <c r="P1182" i="1" s="1"/>
  <c r="P1178" i="1" a="1"/>
  <c r="P1178" i="1" s="1"/>
  <c r="P1174" i="1" a="1"/>
  <c r="P1174" i="1" s="1"/>
  <c r="P1170" i="1" a="1"/>
  <c r="P1170" i="1" s="1"/>
  <c r="P1166" i="1" a="1"/>
  <c r="P1166" i="1" s="1"/>
  <c r="P1162" i="1" a="1"/>
  <c r="P1162" i="1" s="1"/>
  <c r="P1158" i="1" a="1"/>
  <c r="P1158" i="1" s="1"/>
  <c r="P1154" i="1" a="1"/>
  <c r="P1154" i="1" s="1"/>
  <c r="P1150" i="1" a="1"/>
  <c r="P1150" i="1" s="1"/>
  <c r="P1146" i="1" a="1"/>
  <c r="P1146" i="1" s="1"/>
  <c r="P1142" i="1" a="1"/>
  <c r="P1142" i="1" s="1"/>
  <c r="P1138" i="1" a="1"/>
  <c r="P1138" i="1" s="1"/>
  <c r="P1134" i="1" a="1"/>
  <c r="P1134" i="1" s="1"/>
  <c r="P1130" i="1" a="1"/>
  <c r="P1130" i="1" s="1"/>
  <c r="P1126" i="1" a="1"/>
  <c r="P1126" i="1" s="1"/>
  <c r="P1122" i="1" a="1"/>
  <c r="P1122" i="1" s="1"/>
  <c r="P1118" i="1" a="1"/>
  <c r="P1118" i="1" s="1"/>
  <c r="P1114" i="1" a="1"/>
  <c r="P1114" i="1" s="1"/>
  <c r="P1110" i="1" a="1"/>
  <c r="P1110" i="1" s="1"/>
  <c r="P1106" i="1" a="1"/>
  <c r="P1106" i="1" s="1"/>
  <c r="P1102" i="1" a="1"/>
  <c r="P1102" i="1" s="1"/>
  <c r="P1098" i="1" a="1"/>
  <c r="P1098" i="1" s="1"/>
  <c r="P1094" i="1" a="1"/>
  <c r="P1094" i="1" s="1"/>
  <c r="P1090" i="1" a="1"/>
  <c r="P1090" i="1" s="1"/>
  <c r="P1086" i="1" a="1"/>
  <c r="P1086" i="1" s="1"/>
  <c r="P1082" i="1" a="1"/>
  <c r="P1082" i="1" s="1"/>
  <c r="P1078" i="1" a="1"/>
  <c r="P1078" i="1" s="1"/>
  <c r="P1074" i="1" a="1"/>
  <c r="P1074" i="1" s="1"/>
  <c r="P1070" i="1" a="1"/>
  <c r="P1070" i="1" s="1"/>
  <c r="P1066" i="1" a="1"/>
  <c r="P1066" i="1" s="1"/>
  <c r="P1062" i="1" a="1"/>
  <c r="P1062" i="1" s="1"/>
  <c r="P691" i="1" a="1"/>
  <c r="P691" i="1" s="1"/>
  <c r="P687" i="1" a="1"/>
  <c r="P687" i="1" s="1"/>
  <c r="P683" i="1" a="1"/>
  <c r="P683" i="1" s="1"/>
  <c r="P679" i="1" a="1"/>
  <c r="P679" i="1" s="1"/>
  <c r="P675" i="1" a="1"/>
  <c r="P675" i="1" s="1"/>
  <c r="P671" i="1" a="1"/>
  <c r="P671" i="1" s="1"/>
  <c r="P667" i="1" a="1"/>
  <c r="P667" i="1" s="1"/>
  <c r="P663" i="1" a="1"/>
  <c r="P663" i="1" s="1"/>
  <c r="P659" i="1" a="1"/>
  <c r="P659" i="1" s="1"/>
  <c r="P655" i="1" a="1"/>
  <c r="P655" i="1" s="1"/>
  <c r="P651" i="1" a="1"/>
  <c r="P651" i="1" s="1"/>
  <c r="P647" i="1" a="1"/>
  <c r="P647" i="1" s="1"/>
  <c r="P643" i="1" a="1"/>
  <c r="P643" i="1" s="1"/>
  <c r="P639" i="1" a="1"/>
  <c r="P639" i="1" s="1"/>
  <c r="P635" i="1" a="1"/>
  <c r="P635" i="1" s="1"/>
  <c r="P631" i="1" a="1"/>
  <c r="P631" i="1" s="1"/>
  <c r="P627" i="1" a="1"/>
  <c r="P627" i="1" s="1"/>
  <c r="P623" i="1" a="1"/>
  <c r="P623" i="1" s="1"/>
  <c r="P619" i="1" a="1"/>
  <c r="P619" i="1" s="1"/>
  <c r="P615" i="1" a="1"/>
  <c r="P615" i="1" s="1"/>
  <c r="P611" i="1" a="1"/>
  <c r="P611" i="1" s="1"/>
  <c r="P607" i="1" a="1"/>
  <c r="P607" i="1" s="1"/>
  <c r="P603" i="1" a="1"/>
  <c r="P603" i="1" s="1"/>
  <c r="P599" i="1" a="1"/>
  <c r="P599" i="1" s="1"/>
  <c r="P595" i="1" a="1"/>
  <c r="P595" i="1" s="1"/>
  <c r="P591" i="1" a="1"/>
  <c r="P591" i="1" s="1"/>
  <c r="P587" i="1" a="1"/>
  <c r="P587" i="1" s="1"/>
  <c r="P583" i="1" a="1"/>
  <c r="P583" i="1" s="1"/>
  <c r="P579" i="1" a="1"/>
  <c r="P579" i="1" s="1"/>
  <c r="P575" i="1" a="1"/>
  <c r="P575" i="1" s="1"/>
  <c r="P571" i="1" a="1"/>
  <c r="P571" i="1" s="1"/>
  <c r="P567" i="1" a="1"/>
  <c r="P567" i="1" s="1"/>
  <c r="P563" i="1" a="1"/>
  <c r="P563" i="1" s="1"/>
  <c r="P559" i="1" a="1"/>
  <c r="P559" i="1" s="1"/>
  <c r="P555" i="1" a="1"/>
  <c r="P555" i="1" s="1"/>
  <c r="P551" i="1" a="1"/>
  <c r="P551" i="1" s="1"/>
  <c r="P547" i="1" a="1"/>
  <c r="P547" i="1" s="1"/>
  <c r="P543" i="1" a="1"/>
  <c r="P543" i="1" s="1"/>
  <c r="P539" i="1" a="1"/>
  <c r="P539" i="1" s="1"/>
  <c r="P535" i="1" a="1"/>
  <c r="P535" i="1" s="1"/>
  <c r="P531" i="1" a="1"/>
  <c r="P531" i="1" s="1"/>
  <c r="P527" i="1" a="1"/>
  <c r="P527" i="1" s="1"/>
  <c r="P523" i="1" a="1"/>
  <c r="P523" i="1" s="1"/>
  <c r="P519" i="1" a="1"/>
  <c r="P519" i="1" s="1"/>
  <c r="P515" i="1" a="1"/>
  <c r="P515" i="1" s="1"/>
  <c r="P511" i="1" a="1"/>
  <c r="P511" i="1" s="1"/>
  <c r="P507" i="1" a="1"/>
  <c r="P507" i="1" s="1"/>
  <c r="P503" i="1" a="1"/>
  <c r="P503" i="1" s="1"/>
  <c r="P499" i="1" a="1"/>
  <c r="P499" i="1" s="1"/>
  <c r="P495" i="1" a="1"/>
  <c r="P495" i="1" s="1"/>
  <c r="P491" i="1" a="1"/>
  <c r="P491" i="1" s="1"/>
  <c r="P487" i="1" a="1"/>
  <c r="P487" i="1" s="1"/>
  <c r="P483" i="1" a="1"/>
  <c r="P483" i="1" s="1"/>
  <c r="P479" i="1" a="1"/>
  <c r="P479" i="1" s="1"/>
  <c r="P475" i="1" a="1"/>
  <c r="P475" i="1" s="1"/>
  <c r="P471" i="1" a="1"/>
  <c r="P471" i="1" s="1"/>
  <c r="P467" i="1" a="1"/>
  <c r="P467" i="1" s="1"/>
  <c r="P463" i="1" a="1"/>
  <c r="P463" i="1" s="1"/>
  <c r="P459" i="1" a="1"/>
  <c r="P459" i="1" s="1"/>
  <c r="P455" i="1" a="1"/>
  <c r="P455" i="1" s="1"/>
  <c r="P451" i="1" a="1"/>
  <c r="P451" i="1" s="1"/>
  <c r="P447" i="1" a="1"/>
  <c r="P447" i="1" s="1"/>
  <c r="P443" i="1" a="1"/>
  <c r="P443" i="1" s="1"/>
  <c r="P439" i="1" a="1"/>
  <c r="P439" i="1" s="1"/>
  <c r="P435" i="1" a="1"/>
  <c r="P435" i="1" s="1"/>
  <c r="P431" i="1" a="1"/>
  <c r="P431" i="1" s="1"/>
  <c r="P427" i="1" a="1"/>
  <c r="P427" i="1" s="1"/>
  <c r="P423" i="1" a="1"/>
  <c r="P423" i="1" s="1"/>
  <c r="P419" i="1" a="1"/>
  <c r="P419" i="1" s="1"/>
  <c r="P415" i="1" a="1"/>
  <c r="P415" i="1" s="1"/>
  <c r="P411" i="1" a="1"/>
  <c r="P411" i="1" s="1"/>
  <c r="P407" i="1" a="1"/>
  <c r="P407" i="1" s="1"/>
  <c r="P403" i="1" a="1"/>
  <c r="P403" i="1" s="1"/>
  <c r="P399" i="1" a="1"/>
  <c r="P399" i="1" s="1"/>
  <c r="P395" i="1" a="1"/>
  <c r="P395" i="1" s="1"/>
  <c r="P391" i="1" a="1"/>
  <c r="P391" i="1" s="1"/>
  <c r="P387" i="1" a="1"/>
  <c r="P387" i="1" s="1"/>
  <c r="P383" i="1" a="1"/>
  <c r="P383" i="1" s="1"/>
  <c r="P379" i="1" a="1"/>
  <c r="P379" i="1" s="1"/>
  <c r="P375" i="1" a="1"/>
  <c r="P375" i="1" s="1"/>
  <c r="P371" i="1" a="1"/>
  <c r="P371" i="1" s="1"/>
  <c r="P1060" i="1" a="1"/>
  <c r="P1060" i="1" s="1"/>
  <c r="P1056" i="1" a="1"/>
  <c r="P1056" i="1" s="1"/>
  <c r="P1052" i="1" a="1"/>
  <c r="P1052" i="1" s="1"/>
  <c r="P1048" i="1" a="1"/>
  <c r="P1048" i="1" s="1"/>
  <c r="P1044" i="1" a="1"/>
  <c r="P1044" i="1" s="1"/>
  <c r="P1040" i="1" a="1"/>
  <c r="P1040" i="1" s="1"/>
  <c r="P1036" i="1" a="1"/>
  <c r="P1036" i="1" s="1"/>
  <c r="P1032" i="1" a="1"/>
  <c r="P1032" i="1" s="1"/>
  <c r="P1028" i="1" a="1"/>
  <c r="P1028" i="1" s="1"/>
  <c r="P1024" i="1" a="1"/>
  <c r="P1024" i="1" s="1"/>
  <c r="P1020" i="1" a="1"/>
  <c r="P1020" i="1" s="1"/>
  <c r="P1016" i="1" a="1"/>
  <c r="P1016" i="1" s="1"/>
  <c r="P1012" i="1" a="1"/>
  <c r="P1012" i="1" s="1"/>
  <c r="P1008" i="1" a="1"/>
  <c r="P1008" i="1" s="1"/>
  <c r="P1004" i="1" a="1"/>
  <c r="P1004" i="1" s="1"/>
  <c r="P1000" i="1" a="1"/>
  <c r="P1000" i="1" s="1"/>
  <c r="P996" i="1" a="1"/>
  <c r="P996" i="1" s="1"/>
  <c r="P992" i="1" a="1"/>
  <c r="P992" i="1" s="1"/>
  <c r="P988" i="1" a="1"/>
  <c r="P988" i="1" s="1"/>
  <c r="P984" i="1" a="1"/>
  <c r="P984" i="1" s="1"/>
  <c r="P980" i="1" a="1"/>
  <c r="P980" i="1" s="1"/>
  <c r="P976" i="1" a="1"/>
  <c r="P976" i="1" s="1"/>
  <c r="P972" i="1" a="1"/>
  <c r="P972" i="1" s="1"/>
  <c r="P968" i="1" a="1"/>
  <c r="P968" i="1" s="1"/>
  <c r="P964" i="1" a="1"/>
  <c r="P964" i="1" s="1"/>
  <c r="P960" i="1" a="1"/>
  <c r="P960" i="1" s="1"/>
  <c r="P956" i="1" a="1"/>
  <c r="P956" i="1" s="1"/>
  <c r="P952" i="1" a="1"/>
  <c r="P952" i="1" s="1"/>
  <c r="P948" i="1" a="1"/>
  <c r="P948" i="1" s="1"/>
  <c r="P944" i="1" a="1"/>
  <c r="P944" i="1" s="1"/>
  <c r="P940" i="1" a="1"/>
  <c r="P940" i="1" s="1"/>
  <c r="P936" i="1" a="1"/>
  <c r="P936" i="1" s="1"/>
  <c r="P932" i="1" a="1"/>
  <c r="P932" i="1" s="1"/>
  <c r="P928" i="1" a="1"/>
  <c r="P928" i="1" s="1"/>
  <c r="P924" i="1" a="1"/>
  <c r="P924" i="1" s="1"/>
  <c r="P920" i="1" a="1"/>
  <c r="P920" i="1" s="1"/>
  <c r="P916" i="1" a="1"/>
  <c r="P916" i="1" s="1"/>
  <c r="P912" i="1" a="1"/>
  <c r="P912" i="1" s="1"/>
  <c r="P908" i="1" a="1"/>
  <c r="P908" i="1" s="1"/>
  <c r="P904" i="1" a="1"/>
  <c r="P904" i="1" s="1"/>
  <c r="P900" i="1" a="1"/>
  <c r="P900" i="1" s="1"/>
  <c r="P896" i="1" a="1"/>
  <c r="P896" i="1" s="1"/>
  <c r="P892" i="1" a="1"/>
  <c r="P892" i="1" s="1"/>
  <c r="P888" i="1" a="1"/>
  <c r="P888" i="1" s="1"/>
  <c r="P884" i="1" a="1"/>
  <c r="P884" i="1" s="1"/>
  <c r="P880" i="1" a="1"/>
  <c r="P880" i="1" s="1"/>
  <c r="P876" i="1" a="1"/>
  <c r="P876" i="1" s="1"/>
  <c r="P872" i="1" a="1"/>
  <c r="P872" i="1" s="1"/>
  <c r="P868" i="1" a="1"/>
  <c r="P868" i="1" s="1"/>
  <c r="P864" i="1" a="1"/>
  <c r="P864" i="1" s="1"/>
  <c r="P860" i="1" a="1"/>
  <c r="P860" i="1" s="1"/>
  <c r="P856" i="1" a="1"/>
  <c r="P856" i="1" s="1"/>
  <c r="P852" i="1" a="1"/>
  <c r="P852" i="1" s="1"/>
  <c r="P848" i="1" a="1"/>
  <c r="P848" i="1" s="1"/>
  <c r="P844" i="1" a="1"/>
  <c r="P844" i="1" s="1"/>
  <c r="P840" i="1" a="1"/>
  <c r="P840" i="1" s="1"/>
  <c r="P836" i="1" a="1"/>
  <c r="P836" i="1" s="1"/>
  <c r="P832" i="1" a="1"/>
  <c r="P832" i="1" s="1"/>
  <c r="P828" i="1" a="1"/>
  <c r="P828" i="1" s="1"/>
  <c r="P824" i="1" a="1"/>
  <c r="P824" i="1" s="1"/>
  <c r="P820" i="1" a="1"/>
  <c r="P820" i="1" s="1"/>
  <c r="P816" i="1" a="1"/>
  <c r="P816" i="1" s="1"/>
  <c r="P812" i="1" a="1"/>
  <c r="P812" i="1" s="1"/>
  <c r="P808" i="1" a="1"/>
  <c r="P808" i="1" s="1"/>
  <c r="P804" i="1" a="1"/>
  <c r="P804" i="1" s="1"/>
  <c r="P800" i="1" a="1"/>
  <c r="P800" i="1" s="1"/>
  <c r="P796" i="1" a="1"/>
  <c r="P796" i="1" s="1"/>
  <c r="P792" i="1" a="1"/>
  <c r="P792" i="1" s="1"/>
  <c r="P788" i="1" a="1"/>
  <c r="P788" i="1" s="1"/>
  <c r="P784" i="1" a="1"/>
  <c r="P784" i="1" s="1"/>
  <c r="P780" i="1" a="1"/>
  <c r="P780" i="1" s="1"/>
  <c r="P776" i="1" a="1"/>
  <c r="P776" i="1" s="1"/>
  <c r="P772" i="1" a="1"/>
  <c r="P772" i="1" s="1"/>
  <c r="P768" i="1" a="1"/>
  <c r="P768" i="1" s="1"/>
  <c r="P764" i="1" a="1"/>
  <c r="P764" i="1" s="1"/>
  <c r="P760" i="1" a="1"/>
  <c r="P760" i="1" s="1"/>
  <c r="P756" i="1" a="1"/>
  <c r="P756" i="1" s="1"/>
  <c r="P752" i="1" a="1"/>
  <c r="P752" i="1" s="1"/>
  <c r="P748" i="1" a="1"/>
  <c r="P748" i="1" s="1"/>
  <c r="P744" i="1" a="1"/>
  <c r="P744" i="1" s="1"/>
  <c r="P740" i="1" a="1"/>
  <c r="P740" i="1" s="1"/>
  <c r="P736" i="1" a="1"/>
  <c r="P736" i="1" s="1"/>
  <c r="P732" i="1" a="1"/>
  <c r="P732" i="1" s="1"/>
  <c r="P728" i="1" a="1"/>
  <c r="P728" i="1" s="1"/>
  <c r="P724" i="1" a="1"/>
  <c r="P724" i="1" s="1"/>
  <c r="P720" i="1" a="1"/>
  <c r="P720" i="1" s="1"/>
  <c r="P716" i="1" a="1"/>
  <c r="P716" i="1" s="1"/>
  <c r="P712" i="1" a="1"/>
  <c r="P712" i="1" s="1"/>
  <c r="P708" i="1" a="1"/>
  <c r="P708" i="1" s="1"/>
  <c r="P704" i="1" a="1"/>
  <c r="P704" i="1" s="1"/>
  <c r="P700" i="1" a="1"/>
  <c r="P700" i="1" s="1"/>
  <c r="P696" i="1" a="1"/>
  <c r="P696" i="1" s="1"/>
  <c r="P692" i="1" a="1"/>
  <c r="P692" i="1" s="1"/>
  <c r="P688" i="1" a="1"/>
  <c r="P688" i="1" s="1"/>
  <c r="P684" i="1" a="1"/>
  <c r="P684" i="1" s="1"/>
  <c r="P680" i="1" a="1"/>
  <c r="P680" i="1" s="1"/>
  <c r="P676" i="1" a="1"/>
  <c r="P676" i="1" s="1"/>
  <c r="P672" i="1" a="1"/>
  <c r="P672" i="1" s="1"/>
  <c r="P668" i="1" a="1"/>
  <c r="P668" i="1" s="1"/>
  <c r="P664" i="1" a="1"/>
  <c r="P664" i="1" s="1"/>
  <c r="P660" i="1" a="1"/>
  <c r="P660" i="1" s="1"/>
  <c r="P656" i="1" a="1"/>
  <c r="P656" i="1" s="1"/>
  <c r="P652" i="1" a="1"/>
  <c r="P652" i="1" s="1"/>
  <c r="P648" i="1" a="1"/>
  <c r="P648" i="1" s="1"/>
  <c r="P644" i="1" a="1"/>
  <c r="P644" i="1" s="1"/>
  <c r="P640" i="1" a="1"/>
  <c r="P640" i="1" s="1"/>
  <c r="P636" i="1" a="1"/>
  <c r="P636" i="1" s="1"/>
  <c r="P632" i="1" a="1"/>
  <c r="P632" i="1" s="1"/>
  <c r="P628" i="1" a="1"/>
  <c r="P628" i="1" s="1"/>
  <c r="P624" i="1" a="1"/>
  <c r="P624" i="1" s="1"/>
  <c r="P620" i="1" a="1"/>
  <c r="P620" i="1" s="1"/>
  <c r="P616" i="1" a="1"/>
  <c r="P616" i="1" s="1"/>
  <c r="P612" i="1" a="1"/>
  <c r="P612" i="1" s="1"/>
  <c r="P608" i="1" a="1"/>
  <c r="P608" i="1" s="1"/>
  <c r="P604" i="1" a="1"/>
  <c r="P604" i="1" s="1"/>
  <c r="P600" i="1" a="1"/>
  <c r="P600" i="1" s="1"/>
  <c r="P596" i="1" a="1"/>
  <c r="P596" i="1" s="1"/>
  <c r="P592" i="1" a="1"/>
  <c r="P592" i="1" s="1"/>
  <c r="P588" i="1" a="1"/>
  <c r="P588" i="1" s="1"/>
  <c r="P584" i="1" a="1"/>
  <c r="P584" i="1" s="1"/>
  <c r="P580" i="1" a="1"/>
  <c r="P580" i="1" s="1"/>
  <c r="P576" i="1" a="1"/>
  <c r="P576" i="1" s="1"/>
  <c r="P572" i="1" a="1"/>
  <c r="P572" i="1" s="1"/>
  <c r="P568" i="1" a="1"/>
  <c r="P568" i="1" s="1"/>
  <c r="P564" i="1" a="1"/>
  <c r="P564" i="1" s="1"/>
  <c r="P560" i="1" a="1"/>
  <c r="P560" i="1" s="1"/>
  <c r="P556" i="1" a="1"/>
  <c r="P556" i="1" s="1"/>
  <c r="P552" i="1" a="1"/>
  <c r="P552" i="1" s="1"/>
  <c r="P548" i="1" a="1"/>
  <c r="P548" i="1" s="1"/>
  <c r="P544" i="1" a="1"/>
  <c r="P544" i="1" s="1"/>
  <c r="P540" i="1" a="1"/>
  <c r="P540" i="1" s="1"/>
  <c r="P536" i="1" a="1"/>
  <c r="P536" i="1" s="1"/>
  <c r="P532" i="1" a="1"/>
  <c r="P532" i="1" s="1"/>
  <c r="P528" i="1" a="1"/>
  <c r="P528" i="1" s="1"/>
  <c r="P524" i="1" a="1"/>
  <c r="P524" i="1" s="1"/>
  <c r="P520" i="1" a="1"/>
  <c r="P520" i="1" s="1"/>
  <c r="P516" i="1" a="1"/>
  <c r="P516" i="1" s="1"/>
  <c r="P512" i="1" a="1"/>
  <c r="P512" i="1" s="1"/>
  <c r="P508" i="1" a="1"/>
  <c r="P508" i="1" s="1"/>
  <c r="P504" i="1" a="1"/>
  <c r="P504" i="1" s="1"/>
  <c r="P500" i="1" a="1"/>
  <c r="P500" i="1" s="1"/>
  <c r="P496" i="1" a="1"/>
  <c r="P496" i="1" s="1"/>
  <c r="P492" i="1" a="1"/>
  <c r="P492" i="1" s="1"/>
  <c r="P488" i="1" a="1"/>
  <c r="P488" i="1" s="1"/>
  <c r="P484" i="1" a="1"/>
  <c r="P484" i="1" s="1"/>
  <c r="P480" i="1" a="1"/>
  <c r="P480" i="1" s="1"/>
  <c r="P476" i="1" a="1"/>
  <c r="P476" i="1" s="1"/>
  <c r="P472" i="1" a="1"/>
  <c r="P472" i="1" s="1"/>
  <c r="P468" i="1" a="1"/>
  <c r="P468" i="1" s="1"/>
  <c r="P464" i="1" a="1"/>
  <c r="P464" i="1" s="1"/>
  <c r="P460" i="1" a="1"/>
  <c r="P460" i="1" s="1"/>
  <c r="P456" i="1" a="1"/>
  <c r="P456" i="1" s="1"/>
  <c r="P452" i="1" a="1"/>
  <c r="P452" i="1" s="1"/>
  <c r="P448" i="1" a="1"/>
  <c r="P448" i="1" s="1"/>
  <c r="P444" i="1" a="1"/>
  <c r="P444" i="1" s="1"/>
  <c r="P440" i="1" a="1"/>
  <c r="P440" i="1" s="1"/>
  <c r="P436" i="1" a="1"/>
  <c r="P436" i="1" s="1"/>
  <c r="P432" i="1" a="1"/>
  <c r="P432" i="1" s="1"/>
  <c r="P428" i="1" a="1"/>
  <c r="P428" i="1" s="1"/>
  <c r="P424" i="1" a="1"/>
  <c r="P424" i="1" s="1"/>
  <c r="P420" i="1" a="1"/>
  <c r="P420" i="1" s="1"/>
  <c r="P416" i="1" a="1"/>
  <c r="P416" i="1" s="1"/>
  <c r="P412" i="1" a="1"/>
  <c r="P412" i="1" s="1"/>
  <c r="P408" i="1" a="1"/>
  <c r="P408" i="1" s="1"/>
  <c r="P404" i="1" a="1"/>
  <c r="P404" i="1" s="1"/>
  <c r="P400" i="1" a="1"/>
  <c r="P400" i="1" s="1"/>
  <c r="P396" i="1" a="1"/>
  <c r="P396" i="1" s="1"/>
  <c r="P392" i="1" a="1"/>
  <c r="P392" i="1" s="1"/>
  <c r="P388" i="1" a="1"/>
  <c r="P388" i="1" s="1"/>
  <c r="P384" i="1" a="1"/>
  <c r="P384" i="1" s="1"/>
  <c r="P1058" i="1" a="1"/>
  <c r="P1058" i="1" s="1"/>
  <c r="P1054" i="1" a="1"/>
  <c r="P1054" i="1" s="1"/>
  <c r="P1050" i="1" a="1"/>
  <c r="P1050" i="1" s="1"/>
  <c r="P1046" i="1" a="1"/>
  <c r="P1046" i="1" s="1"/>
  <c r="P1042" i="1" a="1"/>
  <c r="P1042" i="1" s="1"/>
  <c r="P1038" i="1" a="1"/>
  <c r="P1038" i="1" s="1"/>
  <c r="P1034" i="1" a="1"/>
  <c r="P1034" i="1" s="1"/>
  <c r="P1030" i="1" a="1"/>
  <c r="P1030" i="1" s="1"/>
  <c r="P1026" i="1" a="1"/>
  <c r="P1026" i="1" s="1"/>
  <c r="P1022" i="1" a="1"/>
  <c r="P1022" i="1" s="1"/>
  <c r="P1018" i="1" a="1"/>
  <c r="P1018" i="1" s="1"/>
  <c r="P1014" i="1" a="1"/>
  <c r="P1014" i="1" s="1"/>
  <c r="P1010" i="1" a="1"/>
  <c r="P1010" i="1" s="1"/>
  <c r="P1006" i="1" a="1"/>
  <c r="P1006" i="1" s="1"/>
  <c r="P1002" i="1" a="1"/>
  <c r="P1002" i="1" s="1"/>
  <c r="P998" i="1" a="1"/>
  <c r="P998" i="1" s="1"/>
  <c r="P994" i="1" a="1"/>
  <c r="P994" i="1" s="1"/>
  <c r="P990" i="1" a="1"/>
  <c r="P990" i="1" s="1"/>
  <c r="P986" i="1" a="1"/>
  <c r="P986" i="1" s="1"/>
  <c r="P982" i="1" a="1"/>
  <c r="P982" i="1" s="1"/>
  <c r="P978" i="1" a="1"/>
  <c r="P978" i="1" s="1"/>
  <c r="P974" i="1" a="1"/>
  <c r="P974" i="1" s="1"/>
  <c r="P970" i="1" a="1"/>
  <c r="P970" i="1" s="1"/>
  <c r="P966" i="1" a="1"/>
  <c r="P966" i="1" s="1"/>
  <c r="P962" i="1" a="1"/>
  <c r="P962" i="1" s="1"/>
  <c r="P958" i="1" a="1"/>
  <c r="P958" i="1" s="1"/>
  <c r="P954" i="1" a="1"/>
  <c r="P954" i="1" s="1"/>
  <c r="P950" i="1" a="1"/>
  <c r="P950" i="1" s="1"/>
  <c r="P946" i="1" a="1"/>
  <c r="P946" i="1" s="1"/>
  <c r="P942" i="1" a="1"/>
  <c r="P942" i="1" s="1"/>
  <c r="P938" i="1" a="1"/>
  <c r="P938" i="1" s="1"/>
  <c r="P934" i="1" a="1"/>
  <c r="P934" i="1" s="1"/>
  <c r="P930" i="1" a="1"/>
  <c r="P930" i="1" s="1"/>
  <c r="P926" i="1" a="1"/>
  <c r="P926" i="1" s="1"/>
  <c r="P922" i="1" a="1"/>
  <c r="P922" i="1" s="1"/>
  <c r="P918" i="1" a="1"/>
  <c r="P918" i="1" s="1"/>
  <c r="P914" i="1" a="1"/>
  <c r="P914" i="1" s="1"/>
  <c r="P910" i="1" a="1"/>
  <c r="P910" i="1" s="1"/>
  <c r="P906" i="1" a="1"/>
  <c r="P906" i="1" s="1"/>
  <c r="P902" i="1" a="1"/>
  <c r="P902" i="1" s="1"/>
  <c r="P898" i="1" a="1"/>
  <c r="P898" i="1" s="1"/>
  <c r="P894" i="1" a="1"/>
  <c r="P894" i="1" s="1"/>
  <c r="P890" i="1" a="1"/>
  <c r="P890" i="1" s="1"/>
  <c r="P886" i="1" a="1"/>
  <c r="P886" i="1" s="1"/>
  <c r="P882" i="1" a="1"/>
  <c r="P882" i="1" s="1"/>
  <c r="P878" i="1" a="1"/>
  <c r="P878" i="1" s="1"/>
  <c r="P874" i="1" a="1"/>
  <c r="P874" i="1" s="1"/>
  <c r="P870" i="1" a="1"/>
  <c r="P870" i="1" s="1"/>
  <c r="P866" i="1" a="1"/>
  <c r="P866" i="1" s="1"/>
  <c r="P862" i="1" a="1"/>
  <c r="P862" i="1" s="1"/>
  <c r="P858" i="1" a="1"/>
  <c r="P858" i="1" s="1"/>
  <c r="P854" i="1" a="1"/>
  <c r="P854" i="1" s="1"/>
  <c r="P850" i="1" a="1"/>
  <c r="P850" i="1" s="1"/>
  <c r="P846" i="1" a="1"/>
  <c r="P846" i="1" s="1"/>
  <c r="P842" i="1" a="1"/>
  <c r="P842" i="1" s="1"/>
  <c r="P838" i="1" a="1"/>
  <c r="P838" i="1" s="1"/>
  <c r="P834" i="1" a="1"/>
  <c r="P834" i="1" s="1"/>
  <c r="P830" i="1" a="1"/>
  <c r="P830" i="1" s="1"/>
  <c r="P826" i="1" a="1"/>
  <c r="P826" i="1" s="1"/>
  <c r="P822" i="1" a="1"/>
  <c r="P822" i="1" s="1"/>
  <c r="P818" i="1" a="1"/>
  <c r="P818" i="1" s="1"/>
  <c r="P814" i="1" a="1"/>
  <c r="P814" i="1" s="1"/>
  <c r="P810" i="1" a="1"/>
  <c r="P810" i="1" s="1"/>
  <c r="P806" i="1" a="1"/>
  <c r="P806" i="1" s="1"/>
  <c r="P802" i="1" a="1"/>
  <c r="P802" i="1" s="1"/>
  <c r="P798" i="1" a="1"/>
  <c r="P798" i="1" s="1"/>
  <c r="P794" i="1" a="1"/>
  <c r="P794" i="1" s="1"/>
  <c r="P790" i="1" a="1"/>
  <c r="P790" i="1" s="1"/>
  <c r="P786" i="1" a="1"/>
  <c r="P786" i="1" s="1"/>
  <c r="P782" i="1" a="1"/>
  <c r="P782" i="1" s="1"/>
  <c r="P778" i="1" a="1"/>
  <c r="P778" i="1" s="1"/>
  <c r="P774" i="1" a="1"/>
  <c r="P774" i="1" s="1"/>
  <c r="P770" i="1" a="1"/>
  <c r="P770" i="1" s="1"/>
  <c r="P766" i="1" a="1"/>
  <c r="P766" i="1" s="1"/>
  <c r="P762" i="1" a="1"/>
  <c r="P762" i="1" s="1"/>
  <c r="P758" i="1" a="1"/>
  <c r="P758" i="1" s="1"/>
  <c r="P754" i="1" a="1"/>
  <c r="P754" i="1" s="1"/>
  <c r="P750" i="1" a="1"/>
  <c r="P750" i="1" s="1"/>
  <c r="P746" i="1" a="1"/>
  <c r="P746" i="1" s="1"/>
  <c r="P742" i="1" a="1"/>
  <c r="P742" i="1" s="1"/>
  <c r="P738" i="1" a="1"/>
  <c r="P738" i="1" s="1"/>
  <c r="P734" i="1" a="1"/>
  <c r="P734" i="1" s="1"/>
  <c r="P730" i="1" a="1"/>
  <c r="P730" i="1" s="1"/>
  <c r="P726" i="1" a="1"/>
  <c r="P726" i="1" s="1"/>
  <c r="P722" i="1" a="1"/>
  <c r="P722" i="1" s="1"/>
  <c r="P718" i="1" a="1"/>
  <c r="P718" i="1" s="1"/>
  <c r="P714" i="1" a="1"/>
  <c r="P714" i="1" s="1"/>
  <c r="P710" i="1" a="1"/>
  <c r="P710" i="1" s="1"/>
  <c r="P706" i="1" a="1"/>
  <c r="P706" i="1" s="1"/>
  <c r="P702" i="1" a="1"/>
  <c r="P702" i="1" s="1"/>
  <c r="P698" i="1" a="1"/>
  <c r="P698" i="1" s="1"/>
  <c r="P694" i="1" a="1"/>
  <c r="P694" i="1" s="1"/>
  <c r="P690" i="1" a="1"/>
  <c r="P690" i="1" s="1"/>
  <c r="P686" i="1" a="1"/>
  <c r="P686" i="1" s="1"/>
  <c r="P682" i="1" a="1"/>
  <c r="P682" i="1" s="1"/>
  <c r="P678" i="1" a="1"/>
  <c r="P678" i="1" s="1"/>
  <c r="P674" i="1" a="1"/>
  <c r="P674" i="1" s="1"/>
  <c r="P670" i="1" a="1"/>
  <c r="P670" i="1" s="1"/>
  <c r="P666" i="1" a="1"/>
  <c r="P666" i="1" s="1"/>
  <c r="P662" i="1" a="1"/>
  <c r="P662" i="1" s="1"/>
  <c r="P658" i="1" a="1"/>
  <c r="P658" i="1" s="1"/>
  <c r="P654" i="1" a="1"/>
  <c r="P654" i="1" s="1"/>
  <c r="P650" i="1" a="1"/>
  <c r="P650" i="1" s="1"/>
  <c r="P646" i="1" a="1"/>
  <c r="P646" i="1" s="1"/>
  <c r="P642" i="1" a="1"/>
  <c r="P642" i="1" s="1"/>
  <c r="P638" i="1" a="1"/>
  <c r="P638" i="1" s="1"/>
  <c r="P634" i="1" a="1"/>
  <c r="P634" i="1" s="1"/>
  <c r="P630" i="1" a="1"/>
  <c r="P630" i="1" s="1"/>
  <c r="P626" i="1" a="1"/>
  <c r="P626" i="1" s="1"/>
  <c r="P622" i="1" a="1"/>
  <c r="P622" i="1" s="1"/>
  <c r="P618" i="1" a="1"/>
  <c r="P618" i="1" s="1"/>
  <c r="P614" i="1" a="1"/>
  <c r="P614" i="1" s="1"/>
  <c r="P610" i="1" a="1"/>
  <c r="P610" i="1" s="1"/>
  <c r="P606" i="1" a="1"/>
  <c r="P606" i="1" s="1"/>
  <c r="P602" i="1" a="1"/>
  <c r="P602" i="1" s="1"/>
  <c r="P598" i="1" a="1"/>
  <c r="P598" i="1" s="1"/>
  <c r="P594" i="1" a="1"/>
  <c r="P594" i="1" s="1"/>
  <c r="P590" i="1" a="1"/>
  <c r="P590" i="1" s="1"/>
  <c r="P586" i="1" a="1"/>
  <c r="P586" i="1" s="1"/>
  <c r="P582" i="1" a="1"/>
  <c r="P582" i="1" s="1"/>
  <c r="P578" i="1" a="1"/>
  <c r="P578" i="1" s="1"/>
  <c r="P574" i="1" a="1"/>
  <c r="P574" i="1" s="1"/>
  <c r="P570" i="1" a="1"/>
  <c r="P570" i="1" s="1"/>
  <c r="P566" i="1" a="1"/>
  <c r="P566" i="1" s="1"/>
  <c r="P562" i="1" a="1"/>
  <c r="P562" i="1" s="1"/>
  <c r="P558" i="1" a="1"/>
  <c r="P558" i="1" s="1"/>
  <c r="P554" i="1" a="1"/>
  <c r="P554" i="1" s="1"/>
  <c r="P550" i="1" a="1"/>
  <c r="P550" i="1" s="1"/>
  <c r="P546" i="1" a="1"/>
  <c r="P546" i="1" s="1"/>
  <c r="P542" i="1" a="1"/>
  <c r="P542" i="1" s="1"/>
  <c r="P538" i="1" a="1"/>
  <c r="P538" i="1" s="1"/>
  <c r="P534" i="1" a="1"/>
  <c r="P534" i="1" s="1"/>
  <c r="P530" i="1" a="1"/>
  <c r="P530" i="1" s="1"/>
  <c r="P526" i="1" a="1"/>
  <c r="P526" i="1" s="1"/>
  <c r="P522" i="1" a="1"/>
  <c r="P522" i="1" s="1"/>
  <c r="P518" i="1" a="1"/>
  <c r="P518" i="1" s="1"/>
  <c r="P514" i="1" a="1"/>
  <c r="P514" i="1" s="1"/>
  <c r="P510" i="1" a="1"/>
  <c r="P510" i="1" s="1"/>
  <c r="P506" i="1" a="1"/>
  <c r="P506" i="1" s="1"/>
  <c r="P502" i="1" a="1"/>
  <c r="P502" i="1" s="1"/>
  <c r="P498" i="1" a="1"/>
  <c r="P498" i="1" s="1"/>
  <c r="P494" i="1" a="1"/>
  <c r="P494" i="1" s="1"/>
  <c r="P490" i="1" a="1"/>
  <c r="P490" i="1" s="1"/>
  <c r="P486" i="1" a="1"/>
  <c r="P486" i="1" s="1"/>
  <c r="P482" i="1" a="1"/>
  <c r="P482" i="1" s="1"/>
  <c r="P478" i="1" a="1"/>
  <c r="P478" i="1" s="1"/>
  <c r="P474" i="1" a="1"/>
  <c r="P474" i="1" s="1"/>
  <c r="P470" i="1" a="1"/>
  <c r="P470" i="1" s="1"/>
  <c r="P466" i="1" a="1"/>
  <c r="P466" i="1" s="1"/>
  <c r="P462" i="1" a="1"/>
  <c r="P462" i="1" s="1"/>
  <c r="P458" i="1" a="1"/>
  <c r="P458" i="1" s="1"/>
  <c r="P454" i="1" a="1"/>
  <c r="P454" i="1" s="1"/>
  <c r="P450" i="1" a="1"/>
  <c r="P450" i="1" s="1"/>
  <c r="P446" i="1" a="1"/>
  <c r="P446" i="1" s="1"/>
  <c r="P442" i="1" a="1"/>
  <c r="P442" i="1" s="1"/>
  <c r="P438" i="1" a="1"/>
  <c r="P438" i="1" s="1"/>
  <c r="P434" i="1" a="1"/>
  <c r="P434" i="1" s="1"/>
  <c r="P430" i="1" a="1"/>
  <c r="P430" i="1" s="1"/>
  <c r="P426" i="1" a="1"/>
  <c r="P426" i="1" s="1"/>
  <c r="P422" i="1" a="1"/>
  <c r="P422" i="1" s="1"/>
  <c r="P418" i="1" a="1"/>
  <c r="P418" i="1" s="1"/>
  <c r="P414" i="1" a="1"/>
  <c r="P414" i="1" s="1"/>
  <c r="P410" i="1" a="1"/>
  <c r="P410" i="1" s="1"/>
  <c r="P406" i="1" a="1"/>
  <c r="P406" i="1" s="1"/>
  <c r="P402" i="1" a="1"/>
  <c r="P402" i="1" s="1"/>
  <c r="P398" i="1" a="1"/>
  <c r="P398" i="1" s="1"/>
  <c r="P394" i="1" a="1"/>
  <c r="P394" i="1" s="1"/>
  <c r="P390" i="1" a="1"/>
  <c r="P390" i="1" s="1"/>
  <c r="P386" i="1" a="1"/>
  <c r="P386" i="1" s="1"/>
  <c r="P382" i="1" a="1"/>
  <c r="P382" i="1" s="1"/>
  <c r="P378" i="1" a="1"/>
  <c r="P378" i="1" s="1"/>
  <c r="P374" i="1" a="1"/>
  <c r="P374" i="1" s="1"/>
  <c r="P370" i="1" a="1"/>
  <c r="P370" i="1" s="1"/>
  <c r="P366" i="1" a="1"/>
  <c r="P366" i="1" s="1"/>
  <c r="P362" i="1" a="1"/>
  <c r="P362" i="1" s="1"/>
  <c r="P358" i="1" a="1"/>
  <c r="P358" i="1" s="1"/>
  <c r="P354" i="1" a="1"/>
  <c r="P354" i="1" s="1"/>
  <c r="P350" i="1" a="1"/>
  <c r="P350" i="1" s="1"/>
  <c r="P346" i="1" a="1"/>
  <c r="P346" i="1" s="1"/>
  <c r="P342" i="1" a="1"/>
  <c r="P342" i="1" s="1"/>
  <c r="P338" i="1" a="1"/>
  <c r="P338" i="1" s="1"/>
  <c r="P334" i="1" a="1"/>
  <c r="P334" i="1" s="1"/>
  <c r="P330" i="1" a="1"/>
  <c r="P330" i="1" s="1"/>
  <c r="P326" i="1" a="1"/>
  <c r="P326" i="1" s="1"/>
  <c r="P322" i="1" a="1"/>
  <c r="P322" i="1" s="1"/>
  <c r="P318" i="1" a="1"/>
  <c r="P318" i="1" s="1"/>
  <c r="P314" i="1" a="1"/>
  <c r="P314" i="1" s="1"/>
  <c r="P310" i="1" a="1"/>
  <c r="P310" i="1" s="1"/>
  <c r="P306" i="1" a="1"/>
  <c r="P306" i="1" s="1"/>
  <c r="P302" i="1" a="1"/>
  <c r="P302" i="1" s="1"/>
  <c r="P298" i="1" a="1"/>
  <c r="P298" i="1" s="1"/>
  <c r="P294" i="1" a="1"/>
  <c r="P294" i="1" s="1"/>
  <c r="P290" i="1" a="1"/>
  <c r="P290" i="1" s="1"/>
  <c r="P286" i="1" a="1"/>
  <c r="P286" i="1" s="1"/>
  <c r="P282" i="1" a="1"/>
  <c r="P282" i="1" s="1"/>
  <c r="P278" i="1" a="1"/>
  <c r="P278" i="1" s="1"/>
  <c r="P274" i="1" a="1"/>
  <c r="P274" i="1" s="1"/>
  <c r="P270" i="1" a="1"/>
  <c r="P270" i="1" s="1"/>
  <c r="P266" i="1" a="1"/>
  <c r="P266" i="1" s="1"/>
  <c r="P262" i="1" a="1"/>
  <c r="P262" i="1" s="1"/>
  <c r="P258" i="1" a="1"/>
  <c r="P258" i="1" s="1"/>
  <c r="P254" i="1" a="1"/>
  <c r="P254" i="1" s="1"/>
  <c r="P250" i="1" a="1"/>
  <c r="P250" i="1" s="1"/>
  <c r="P246" i="1" a="1"/>
  <c r="P246" i="1" s="1"/>
  <c r="P242" i="1" a="1"/>
  <c r="P242" i="1" s="1"/>
  <c r="P238" i="1" a="1"/>
  <c r="P238" i="1" s="1"/>
  <c r="P234" i="1" a="1"/>
  <c r="P234" i="1" s="1"/>
  <c r="P230" i="1" a="1"/>
  <c r="P230" i="1" s="1"/>
  <c r="P226" i="1" a="1"/>
  <c r="P226" i="1" s="1"/>
  <c r="P222" i="1" a="1"/>
  <c r="P222" i="1" s="1"/>
  <c r="P218" i="1" a="1"/>
  <c r="P218" i="1" s="1"/>
  <c r="P214" i="1" a="1"/>
  <c r="P214" i="1" s="1"/>
  <c r="P210" i="1" a="1"/>
  <c r="P210" i="1" s="1"/>
  <c r="P206" i="1" a="1"/>
  <c r="P206" i="1" s="1"/>
  <c r="P202" i="1" a="1"/>
  <c r="P202" i="1" s="1"/>
  <c r="P198" i="1" a="1"/>
  <c r="P198" i="1" s="1"/>
  <c r="P194" i="1" a="1"/>
  <c r="P194" i="1" s="1"/>
  <c r="P190" i="1" a="1"/>
  <c r="P190" i="1" s="1"/>
  <c r="P186" i="1" a="1"/>
  <c r="P186" i="1" s="1"/>
  <c r="P182" i="1" a="1"/>
  <c r="P182" i="1" s="1"/>
  <c r="P178" i="1" a="1"/>
  <c r="P178" i="1" s="1"/>
  <c r="P174" i="1" a="1"/>
  <c r="P174" i="1" s="1"/>
  <c r="P170" i="1" a="1"/>
  <c r="P170" i="1" s="1"/>
  <c r="P166" i="1" a="1"/>
  <c r="P166" i="1" s="1"/>
  <c r="P162" i="1" a="1"/>
  <c r="P162" i="1" s="1"/>
  <c r="P158" i="1" a="1"/>
  <c r="P158" i="1" s="1"/>
  <c r="P154" i="1" a="1"/>
  <c r="P154" i="1" s="1"/>
  <c r="P150" i="1" a="1"/>
  <c r="P150" i="1" s="1"/>
  <c r="P146" i="1" a="1"/>
  <c r="P146" i="1" s="1"/>
  <c r="P142" i="1" a="1"/>
  <c r="P142" i="1" s="1"/>
  <c r="P138" i="1" a="1"/>
  <c r="P138" i="1" s="1"/>
  <c r="P134" i="1" a="1"/>
  <c r="P134" i="1" s="1"/>
  <c r="P130" i="1" a="1"/>
  <c r="P130" i="1" s="1"/>
  <c r="P126" i="1" a="1"/>
  <c r="P126" i="1" s="1"/>
  <c r="P122" i="1" a="1"/>
  <c r="P122" i="1" s="1"/>
  <c r="P118" i="1" a="1"/>
  <c r="P118" i="1" s="1"/>
  <c r="P114" i="1" a="1"/>
  <c r="P114" i="1" s="1"/>
  <c r="P110" i="1" a="1"/>
  <c r="P110" i="1" s="1"/>
  <c r="P106" i="1" a="1"/>
  <c r="P106" i="1" s="1"/>
  <c r="P102" i="1" a="1"/>
  <c r="P102" i="1" s="1"/>
  <c r="P98" i="1" a="1"/>
  <c r="P98" i="1" s="1"/>
  <c r="P94" i="1" a="1"/>
  <c r="P94" i="1" s="1"/>
  <c r="P90" i="1" a="1"/>
  <c r="P90" i="1" s="1"/>
  <c r="P86" i="1" a="1"/>
  <c r="P86" i="1" s="1"/>
  <c r="P82" i="1" a="1"/>
  <c r="P82" i="1" s="1"/>
  <c r="P78" i="1" a="1"/>
  <c r="P78" i="1" s="1"/>
  <c r="P74" i="1" a="1"/>
  <c r="P74" i="1" s="1"/>
  <c r="P70" i="1" a="1"/>
  <c r="P70" i="1" s="1"/>
  <c r="P66" i="1" a="1"/>
  <c r="P66" i="1" s="1"/>
  <c r="P380" i="1" a="1"/>
  <c r="P380" i="1" s="1"/>
  <c r="P376" i="1" a="1"/>
  <c r="P376" i="1" s="1"/>
  <c r="P372" i="1" a="1"/>
  <c r="P372" i="1" s="1"/>
  <c r="P368" i="1" a="1"/>
  <c r="P368" i="1" s="1"/>
  <c r="P364" i="1" a="1"/>
  <c r="P364" i="1" s="1"/>
  <c r="P360" i="1" a="1"/>
  <c r="P360" i="1" s="1"/>
  <c r="P356" i="1" a="1"/>
  <c r="P356" i="1" s="1"/>
  <c r="P352" i="1" a="1"/>
  <c r="P352" i="1" s="1"/>
  <c r="P348" i="1" a="1"/>
  <c r="P348" i="1" s="1"/>
  <c r="P344" i="1" a="1"/>
  <c r="P344" i="1" s="1"/>
  <c r="P340" i="1" a="1"/>
  <c r="P340" i="1" s="1"/>
  <c r="P336" i="1" a="1"/>
  <c r="P336" i="1" s="1"/>
  <c r="P332" i="1" a="1"/>
  <c r="P332" i="1" s="1"/>
  <c r="P328" i="1" a="1"/>
  <c r="P328" i="1" s="1"/>
  <c r="P324" i="1" a="1"/>
  <c r="P324" i="1" s="1"/>
  <c r="P320" i="1" a="1"/>
  <c r="P320" i="1" s="1"/>
  <c r="P316" i="1" a="1"/>
  <c r="P316" i="1" s="1"/>
  <c r="P312" i="1" a="1"/>
  <c r="P312" i="1" s="1"/>
  <c r="P308" i="1" a="1"/>
  <c r="P308" i="1" s="1"/>
  <c r="P304" i="1" a="1"/>
  <c r="P304" i="1" s="1"/>
  <c r="P300" i="1" a="1"/>
  <c r="P300" i="1" s="1"/>
  <c r="P296" i="1" a="1"/>
  <c r="P296" i="1" s="1"/>
  <c r="P292" i="1" a="1"/>
  <c r="P292" i="1" s="1"/>
  <c r="P288" i="1" a="1"/>
  <c r="P288" i="1" s="1"/>
  <c r="P284" i="1" a="1"/>
  <c r="P284" i="1" s="1"/>
  <c r="P280" i="1" a="1"/>
  <c r="P280" i="1" s="1"/>
  <c r="P276" i="1" a="1"/>
  <c r="P276" i="1" s="1"/>
  <c r="P272" i="1" a="1"/>
  <c r="P272" i="1" s="1"/>
  <c r="P268" i="1" a="1"/>
  <c r="P268" i="1" s="1"/>
  <c r="P264" i="1" a="1"/>
  <c r="P264" i="1" s="1"/>
  <c r="P260" i="1" a="1"/>
  <c r="P260" i="1" s="1"/>
  <c r="P256" i="1" a="1"/>
  <c r="P256" i="1" s="1"/>
  <c r="P252" i="1" a="1"/>
  <c r="P252" i="1" s="1"/>
  <c r="P248" i="1" a="1"/>
  <c r="P248" i="1" s="1"/>
  <c r="P244" i="1" a="1"/>
  <c r="P244" i="1" s="1"/>
  <c r="P240" i="1" a="1"/>
  <c r="P240" i="1" s="1"/>
  <c r="P236" i="1" a="1"/>
  <c r="P236" i="1" s="1"/>
  <c r="P232" i="1" a="1"/>
  <c r="P232" i="1" s="1"/>
  <c r="P228" i="1" a="1"/>
  <c r="P228" i="1" s="1"/>
  <c r="P224" i="1" a="1"/>
  <c r="P224" i="1" s="1"/>
  <c r="P220" i="1" a="1"/>
  <c r="P220" i="1" s="1"/>
  <c r="P216" i="1" a="1"/>
  <c r="P216" i="1" s="1"/>
  <c r="P212" i="1" a="1"/>
  <c r="P212" i="1" s="1"/>
  <c r="P208" i="1" a="1"/>
  <c r="P208" i="1" s="1"/>
  <c r="P204" i="1" a="1"/>
  <c r="P204" i="1" s="1"/>
  <c r="P200" i="1" a="1"/>
  <c r="P200" i="1" s="1"/>
  <c r="P196" i="1" a="1"/>
  <c r="P196" i="1" s="1"/>
  <c r="P192" i="1" a="1"/>
  <c r="P192" i="1" s="1"/>
  <c r="P188" i="1" a="1"/>
  <c r="P188" i="1" s="1"/>
  <c r="P184" i="1" a="1"/>
  <c r="P184" i="1" s="1"/>
  <c r="P180" i="1" a="1"/>
  <c r="P180" i="1" s="1"/>
  <c r="P176" i="1" a="1"/>
  <c r="P176" i="1" s="1"/>
  <c r="P172" i="1" a="1"/>
  <c r="P172" i="1" s="1"/>
  <c r="P168" i="1" a="1"/>
  <c r="P168" i="1" s="1"/>
  <c r="P164" i="1" a="1"/>
  <c r="P164" i="1" s="1"/>
  <c r="P160" i="1" a="1"/>
  <c r="P160" i="1" s="1"/>
  <c r="P156" i="1" a="1"/>
  <c r="P156" i="1" s="1"/>
  <c r="P152" i="1" a="1"/>
  <c r="P152" i="1" s="1"/>
  <c r="P148" i="1" a="1"/>
  <c r="P148" i="1" s="1"/>
  <c r="P144" i="1" a="1"/>
  <c r="P144" i="1" s="1"/>
  <c r="P140" i="1" a="1"/>
  <c r="P140" i="1" s="1"/>
  <c r="P136" i="1" a="1"/>
  <c r="P136" i="1" s="1"/>
  <c r="P132" i="1" a="1"/>
  <c r="P132" i="1" s="1"/>
  <c r="P128" i="1" a="1"/>
  <c r="P128" i="1" s="1"/>
  <c r="P124" i="1" a="1"/>
  <c r="P124" i="1" s="1"/>
  <c r="P120" i="1" a="1"/>
  <c r="P120" i="1" s="1"/>
  <c r="P116" i="1" a="1"/>
  <c r="P116" i="1" s="1"/>
  <c r="P112" i="1" a="1"/>
  <c r="P112" i="1" s="1"/>
  <c r="P108" i="1" a="1"/>
  <c r="P108" i="1" s="1"/>
  <c r="P104" i="1" a="1"/>
  <c r="P104" i="1" s="1"/>
  <c r="P100" i="1" a="1"/>
  <c r="P100" i="1" s="1"/>
  <c r="P96" i="1" a="1"/>
  <c r="P96" i="1" s="1"/>
  <c r="P92" i="1" a="1"/>
  <c r="P92" i="1" s="1"/>
  <c r="P88" i="1" a="1"/>
  <c r="P88" i="1" s="1"/>
  <c r="P84" i="1" a="1"/>
  <c r="P84" i="1" s="1"/>
  <c r="P80" i="1" a="1"/>
  <c r="P80" i="1" s="1"/>
  <c r="P76" i="1" a="1"/>
  <c r="P76" i="1" s="1"/>
  <c r="P72" i="1" a="1"/>
  <c r="P72" i="1" s="1"/>
  <c r="P68" i="1" a="1"/>
  <c r="P68" i="1" s="1"/>
  <c r="P64" i="1" a="1"/>
  <c r="P64" i="1" s="1"/>
  <c r="P60" i="1" a="1"/>
  <c r="P60" i="1" s="1"/>
  <c r="P56" i="1" a="1"/>
  <c r="P56" i="1" s="1"/>
  <c r="P52" i="1" a="1"/>
  <c r="P52" i="1" s="1"/>
  <c r="P48" i="1" a="1"/>
  <c r="P48" i="1" s="1"/>
  <c r="P44" i="1" a="1"/>
  <c r="P44" i="1" s="1"/>
  <c r="P40" i="1" a="1"/>
  <c r="P40" i="1" s="1"/>
  <c r="P36" i="1" a="1"/>
  <c r="P36" i="1" s="1"/>
  <c r="P32" i="1" a="1"/>
  <c r="P32" i="1" s="1"/>
  <c r="P28" i="1" a="1"/>
  <c r="P28" i="1" s="1"/>
  <c r="P24" i="1" a="1"/>
  <c r="P24" i="1" s="1"/>
  <c r="P20" i="1" a="1"/>
  <c r="P20" i="1" s="1"/>
  <c r="P16" i="1" a="1"/>
  <c r="P16" i="1" s="1"/>
  <c r="P12" i="1" a="1"/>
  <c r="P12" i="1" s="1"/>
  <c r="P9" i="1" a="1"/>
  <c r="P9" i="1" s="1"/>
  <c r="P62" i="1" a="1"/>
  <c r="P62" i="1" s="1"/>
  <c r="P58" i="1" a="1"/>
  <c r="P58" i="1" s="1"/>
  <c r="P54" i="1" a="1"/>
  <c r="P54" i="1" s="1"/>
  <c r="P50" i="1" a="1"/>
  <c r="P50" i="1" s="1"/>
  <c r="P46" i="1" a="1"/>
  <c r="P46" i="1" s="1"/>
  <c r="P42" i="1" a="1"/>
  <c r="P42" i="1" s="1"/>
  <c r="P38" i="1" a="1"/>
  <c r="P38" i="1" s="1"/>
  <c r="P34" i="1" a="1"/>
  <c r="P34" i="1" s="1"/>
  <c r="P30" i="1" a="1"/>
  <c r="P30" i="1" s="1"/>
  <c r="P26" i="1" a="1"/>
  <c r="P26" i="1" s="1"/>
  <c r="P22" i="1" a="1"/>
  <c r="P22" i="1" s="1"/>
  <c r="P18" i="1" a="1"/>
  <c r="P18" i="1" s="1"/>
  <c r="P14" i="1" a="1"/>
  <c r="P14" i="1" s="1"/>
  <c r="H16" i="1"/>
  <c r="P10" i="1" a="1"/>
  <c r="P10" i="1" s="1"/>
  <c r="P367" i="1" a="1"/>
  <c r="P367" i="1" s="1"/>
  <c r="P363" i="1" a="1"/>
  <c r="P363" i="1" s="1"/>
  <c r="P359" i="1" a="1"/>
  <c r="P359" i="1" s="1"/>
  <c r="P355" i="1" a="1"/>
  <c r="P355" i="1" s="1"/>
  <c r="P351" i="1" a="1"/>
  <c r="P351" i="1" s="1"/>
  <c r="P347" i="1" a="1"/>
  <c r="P347" i="1" s="1"/>
  <c r="P343" i="1" a="1"/>
  <c r="P343" i="1" s="1"/>
  <c r="P339" i="1" a="1"/>
  <c r="P339" i="1" s="1"/>
  <c r="P335" i="1" a="1"/>
  <c r="P335" i="1" s="1"/>
  <c r="P331" i="1" a="1"/>
  <c r="P331" i="1" s="1"/>
  <c r="P327" i="1" a="1"/>
  <c r="P327" i="1" s="1"/>
  <c r="P323" i="1" a="1"/>
  <c r="P323" i="1" s="1"/>
  <c r="P319" i="1" a="1"/>
  <c r="P319" i="1" s="1"/>
  <c r="P315" i="1" a="1"/>
  <c r="P315" i="1" s="1"/>
  <c r="P311" i="1" a="1"/>
  <c r="P311" i="1" s="1"/>
  <c r="P307" i="1" a="1"/>
  <c r="P307" i="1" s="1"/>
  <c r="P303" i="1" a="1"/>
  <c r="P303" i="1" s="1"/>
  <c r="P299" i="1" a="1"/>
  <c r="P299" i="1" s="1"/>
  <c r="P295" i="1" a="1"/>
  <c r="P295" i="1" s="1"/>
  <c r="P291" i="1" a="1"/>
  <c r="P291" i="1" s="1"/>
  <c r="P287" i="1" a="1"/>
  <c r="P287" i="1" s="1"/>
  <c r="P283" i="1" a="1"/>
  <c r="P283" i="1" s="1"/>
  <c r="P279" i="1" a="1"/>
  <c r="P279" i="1" s="1"/>
  <c r="P275" i="1" a="1"/>
  <c r="P275" i="1" s="1"/>
  <c r="P271" i="1" a="1"/>
  <c r="P271" i="1" s="1"/>
  <c r="P267" i="1" a="1"/>
  <c r="P267" i="1" s="1"/>
  <c r="P263" i="1" a="1"/>
  <c r="P263" i="1" s="1"/>
  <c r="P259" i="1" a="1"/>
  <c r="P259" i="1" s="1"/>
  <c r="P255" i="1" a="1"/>
  <c r="P255" i="1" s="1"/>
  <c r="P251" i="1" a="1"/>
  <c r="P251" i="1" s="1"/>
  <c r="P247" i="1" a="1"/>
  <c r="P247" i="1" s="1"/>
  <c r="P243" i="1" a="1"/>
  <c r="P243" i="1" s="1"/>
  <c r="P239" i="1" a="1"/>
  <c r="P239" i="1" s="1"/>
  <c r="P235" i="1" a="1"/>
  <c r="P235" i="1" s="1"/>
  <c r="P231" i="1" a="1"/>
  <c r="P231" i="1" s="1"/>
  <c r="P227" i="1" a="1"/>
  <c r="P227" i="1" s="1"/>
  <c r="P223" i="1" a="1"/>
  <c r="P223" i="1" s="1"/>
  <c r="P219" i="1" a="1"/>
  <c r="P219" i="1" s="1"/>
  <c r="P215" i="1" a="1"/>
  <c r="P215" i="1" s="1"/>
  <c r="P211" i="1" a="1"/>
  <c r="P211" i="1" s="1"/>
  <c r="P207" i="1" a="1"/>
  <c r="P207" i="1" s="1"/>
  <c r="P203" i="1" a="1"/>
  <c r="P203" i="1" s="1"/>
  <c r="P199" i="1" a="1"/>
  <c r="P199" i="1" s="1"/>
  <c r="P195" i="1" a="1"/>
  <c r="P195" i="1" s="1"/>
  <c r="P191" i="1" a="1"/>
  <c r="P191" i="1" s="1"/>
  <c r="P187" i="1" a="1"/>
  <c r="P187" i="1" s="1"/>
  <c r="P183" i="1" a="1"/>
  <c r="P183" i="1" s="1"/>
  <c r="P179" i="1" a="1"/>
  <c r="P179" i="1" s="1"/>
  <c r="P175" i="1" a="1"/>
  <c r="P175" i="1" s="1"/>
  <c r="P171" i="1" a="1"/>
  <c r="P171" i="1" s="1"/>
  <c r="P167" i="1" a="1"/>
  <c r="P167" i="1" s="1"/>
  <c r="P163" i="1" a="1"/>
  <c r="P163" i="1" s="1"/>
  <c r="P159" i="1" a="1"/>
  <c r="P159" i="1" s="1"/>
  <c r="P155" i="1" a="1"/>
  <c r="P155" i="1" s="1"/>
  <c r="P151" i="1" a="1"/>
  <c r="P151" i="1" s="1"/>
  <c r="P147" i="1" a="1"/>
  <c r="P147" i="1" s="1"/>
  <c r="P143" i="1" a="1"/>
  <c r="P143" i="1" s="1"/>
  <c r="P139" i="1" a="1"/>
  <c r="P139" i="1" s="1"/>
  <c r="P135" i="1" a="1"/>
  <c r="P135" i="1" s="1"/>
  <c r="P131" i="1" a="1"/>
  <c r="P131" i="1" s="1"/>
  <c r="P127" i="1" a="1"/>
  <c r="P127" i="1" s="1"/>
  <c r="P123" i="1" a="1"/>
  <c r="P123" i="1" s="1"/>
  <c r="P119" i="1" a="1"/>
  <c r="P119" i="1" s="1"/>
  <c r="P115" i="1" a="1"/>
  <c r="P115" i="1" s="1"/>
  <c r="P111" i="1" a="1"/>
  <c r="P111" i="1" s="1"/>
  <c r="P107" i="1" a="1"/>
  <c r="P107" i="1" s="1"/>
  <c r="P103" i="1" a="1"/>
  <c r="P103" i="1" s="1"/>
  <c r="P99" i="1" a="1"/>
  <c r="P99" i="1" s="1"/>
  <c r="P95" i="1" a="1"/>
  <c r="P95" i="1" s="1"/>
  <c r="P91" i="1" a="1"/>
  <c r="P91" i="1" s="1"/>
  <c r="P87" i="1" a="1"/>
  <c r="P87" i="1" s="1"/>
  <c r="P83" i="1" a="1"/>
  <c r="P83" i="1" s="1"/>
  <c r="P79" i="1" a="1"/>
  <c r="P79" i="1" s="1"/>
  <c r="P75" i="1" a="1"/>
  <c r="P75" i="1" s="1"/>
  <c r="P71" i="1" a="1"/>
  <c r="P71" i="1" s="1"/>
  <c r="P67" i="1" a="1"/>
  <c r="P67" i="1" s="1"/>
  <c r="P63" i="1" a="1"/>
  <c r="P63" i="1" s="1"/>
  <c r="P59" i="1" a="1"/>
  <c r="P59" i="1" s="1"/>
  <c r="P55" i="1" a="1"/>
  <c r="P55" i="1" s="1"/>
  <c r="P51" i="1" a="1"/>
  <c r="P51" i="1" s="1"/>
  <c r="P47" i="1" a="1"/>
  <c r="P47" i="1" s="1"/>
  <c r="P43" i="1" a="1"/>
  <c r="P43" i="1" s="1"/>
  <c r="P39" i="1" a="1"/>
  <c r="P39" i="1" s="1"/>
  <c r="P35" i="1" a="1"/>
  <c r="P35" i="1" s="1"/>
  <c r="P31" i="1" a="1"/>
  <c r="P31" i="1" s="1"/>
  <c r="P27" i="1" a="1"/>
  <c r="P27" i="1" s="1"/>
  <c r="P23" i="1" a="1"/>
  <c r="P23" i="1" s="1"/>
  <c r="P19" i="1" a="1"/>
  <c r="P19" i="1" s="1"/>
  <c r="P15" i="1" a="1"/>
  <c r="P15" i="1" s="1"/>
  <c r="P11" i="1" a="1"/>
  <c r="P11" i="1" s="1"/>
  <c r="I17" i="1"/>
  <c r="L16" i="3" s="1"/>
  <c r="L17" i="3" s="1"/>
  <c r="H31" i="1"/>
  <c r="I32" i="1"/>
  <c r="H30" i="1"/>
  <c r="K11" i="1" s="1" a="1"/>
  <c r="K11" i="1" s="1"/>
  <c r="I31" i="1"/>
  <c r="J32" i="1"/>
  <c r="H32" i="1"/>
  <c r="I30" i="1"/>
  <c r="J31" i="1"/>
  <c r="J30" i="1"/>
  <c r="I16" i="1"/>
  <c r="L13" i="3" s="1"/>
  <c r="L14" i="3" s="1"/>
  <c r="H17" i="1"/>
  <c r="H24" i="1"/>
  <c r="I25" i="1"/>
  <c r="H23" i="1"/>
  <c r="I24" i="1"/>
  <c r="J25" i="1"/>
  <c r="I23" i="1"/>
  <c r="J24" i="1"/>
  <c r="J23" i="1"/>
  <c r="H25" i="1"/>
  <c r="D8" i="3"/>
  <c r="D8" i="2"/>
  <c r="J22" i="1"/>
  <c r="J29" i="1" s="1"/>
  <c r="I22" i="1"/>
  <c r="H22" i="1"/>
  <c r="H29" i="1" s="1"/>
  <c r="K10" i="1" l="1"/>
  <c r="D8" i="4"/>
  <c r="L21" i="3"/>
  <c r="H18" i="1"/>
  <c r="I18" i="1"/>
  <c r="L19" i="3" s="1"/>
  <c r="G23" i="1" a="1"/>
  <c r="G23" i="1" s="1"/>
  <c r="G30" i="1" s="1"/>
  <c r="I29" i="1"/>
  <c r="K12" i="1"/>
  <c r="C10" i="5"/>
  <c r="C11" i="5"/>
  <c r="E11" i="5"/>
  <c r="E10" i="5"/>
  <c r="O20" i="4"/>
  <c r="E12" i="5" s="1"/>
  <c r="G25" i="1" l="1"/>
  <c r="G32" i="1" s="1"/>
  <c r="G24" i="1"/>
  <c r="G31" i="1" s="1"/>
  <c r="D10" i="5"/>
  <c r="D11" i="5"/>
  <c r="D9" i="5"/>
  <c r="E9" i="5"/>
  <c r="O21" i="4"/>
  <c r="O22" i="4" s="1"/>
  <c r="L20" i="2"/>
  <c r="C12" i="5" s="1"/>
  <c r="C9" i="5"/>
  <c r="L22" i="2" l="1"/>
  <c r="L20" i="3"/>
  <c r="D12" i="5" s="1"/>
  <c r="L2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wpaiva</author>
  </authors>
  <commentList>
    <comment ref="C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Tasa de interés</t>
        </r>
      </text>
    </comment>
    <comment ref="D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Precio de Acción</t>
        </r>
      </text>
    </comment>
    <comment ref="E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Tipo de Cambio</t>
        </r>
      </text>
    </comment>
    <comment ref="M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Tasa de interés</t>
        </r>
      </text>
    </comment>
    <comment ref="N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Precio de Acción</t>
        </r>
      </text>
    </comment>
    <comment ref="O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Tipo de Cambio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wpaiva</author>
  </authors>
  <commentList>
    <comment ref="E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Tasa de interés</t>
        </r>
      </text>
    </comment>
    <comment ref="F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Precio de Acción</t>
        </r>
      </text>
    </comment>
    <comment ref="G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Tipo de Cambio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wpaiva</author>
  </authors>
  <commentList>
    <comment ref="E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Tasa de interés</t>
        </r>
      </text>
    </comment>
    <comment ref="F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Precio de Acción</t>
        </r>
      </text>
    </comment>
    <comment ref="G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Tipo de Cambio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wpaiva</author>
  </authors>
  <commentList>
    <comment ref="D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Tasa de interés</t>
        </r>
      </text>
    </comment>
    <comment ref="E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Precio de Acción</t>
        </r>
      </text>
    </comment>
    <comment ref="F7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Tipo de Cambio</t>
        </r>
      </text>
    </comment>
    <comment ref="H7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Tasa de interés</t>
        </r>
      </text>
    </comment>
    <comment ref="I7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Precio de Acción</t>
        </r>
      </text>
    </comment>
    <comment ref="J7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wpaiva:</t>
        </r>
        <r>
          <rPr>
            <sz val="9"/>
            <color indexed="81"/>
            <rFont val="Tahoma"/>
            <family val="2"/>
          </rPr>
          <t xml:space="preserve">
Factor Tipo de Cambio</t>
        </r>
      </text>
    </comment>
  </commentList>
</comments>
</file>

<file path=xl/sharedStrings.xml><?xml version="1.0" encoding="utf-8"?>
<sst xmlns="http://schemas.openxmlformats.org/spreadsheetml/2006/main" count="204" uniqueCount="120">
  <si>
    <t>Ejercicio N° 01: Estadísticas, características de los Datos y repaso Markowitz</t>
  </si>
  <si>
    <t>Fecha</t>
  </si>
  <si>
    <t>Composición del Portafolio</t>
  </si>
  <si>
    <t xml:space="preserve"># Días en un año :  </t>
  </si>
  <si>
    <t>Factor TI</t>
  </si>
  <si>
    <t>Factor PA</t>
  </si>
  <si>
    <t>Factor TC</t>
  </si>
  <si>
    <t>Portafolio</t>
  </si>
  <si>
    <t xml:space="preserve">Valor del Portfolio =  </t>
  </si>
  <si>
    <t>u.m.</t>
  </si>
  <si>
    <t xml:space="preserve">Composición de cartera :  </t>
  </si>
  <si>
    <t xml:space="preserve">Factor TI =  </t>
  </si>
  <si>
    <t xml:space="preserve">Factor PA =  </t>
  </si>
  <si>
    <t xml:space="preserve">Factor TC =  </t>
  </si>
  <si>
    <t xml:space="preserve">Número de observaciones :  </t>
  </si>
  <si>
    <t>Prom. Diario</t>
  </si>
  <si>
    <t>Volat. Diario</t>
  </si>
  <si>
    <t xml:space="preserve">Portafolio =  </t>
  </si>
  <si>
    <t>Matriz de Correlación</t>
  </si>
  <si>
    <t>Ejercicio N° 02: Valor en Riesgo - Método Histórico</t>
  </si>
  <si>
    <t>Posición</t>
  </si>
  <si>
    <t>Percentil</t>
  </si>
  <si>
    <t xml:space="preserve">Alpha =  </t>
  </si>
  <si>
    <t xml:space="preserve">VaR (%) =  </t>
  </si>
  <si>
    <t xml:space="preserve">VaR (u.m.) =  </t>
  </si>
  <si>
    <t xml:space="preserve">D_VaR (u.m.) =  </t>
  </si>
  <si>
    <t xml:space="preserve">U_VaR (u.m.) =  </t>
  </si>
  <si>
    <t xml:space="preserve">Efecto Divers. =  </t>
  </si>
  <si>
    <t>Ejercicio N° 03: Valor en Riesgo - Método Paramétrico</t>
  </si>
  <si>
    <t xml:space="preserve">z norm estandar =  </t>
  </si>
  <si>
    <t>Ejercicio N° 04: Valor en Riesgo - Método Montecarlo</t>
  </si>
  <si>
    <r>
      <t>N</t>
    </r>
    <r>
      <rPr>
        <b/>
        <sz val="11"/>
        <color theme="0"/>
        <rFont val="Calibri"/>
        <family val="2"/>
      </rPr>
      <t>~</t>
    </r>
    <r>
      <rPr>
        <b/>
        <sz val="11"/>
        <color theme="0"/>
        <rFont val="Calibri"/>
        <family val="2"/>
        <scheme val="minor"/>
      </rPr>
      <t>(</t>
    </r>
    <r>
      <rPr>
        <b/>
        <sz val="11"/>
        <color theme="0"/>
        <rFont val="Calibri"/>
        <family val="2"/>
      </rPr>
      <t>µ,σ)</t>
    </r>
  </si>
  <si>
    <t>Ejercicio N° 05: Valor en Riesgo - Comparativo</t>
  </si>
  <si>
    <t>VaR Hist</t>
  </si>
  <si>
    <t>VaR Param</t>
  </si>
  <si>
    <t>VaR Mont</t>
  </si>
  <si>
    <t xml:space="preserve">Factor TI :  </t>
  </si>
  <si>
    <t xml:space="preserve">Factor PA :  </t>
  </si>
  <si>
    <t xml:space="preserve">Factor TC :  </t>
  </si>
  <si>
    <t xml:space="preserve">Portafolio :  </t>
  </si>
  <si>
    <t>Retorno del Portafolio</t>
  </si>
  <si>
    <t>Retorno ordenado del Portafolio</t>
  </si>
  <si>
    <t>VaR = mu + Z * Std</t>
  </si>
  <si>
    <t>mu</t>
  </si>
  <si>
    <t>std</t>
  </si>
  <si>
    <t>niveles</t>
  </si>
  <si>
    <t>retorno</t>
  </si>
  <si>
    <t>Matriz de Covarianza</t>
  </si>
  <si>
    <t>E[Rp]</t>
  </si>
  <si>
    <t>V[Rp]</t>
  </si>
  <si>
    <t>Sharpe</t>
  </si>
  <si>
    <t>maximizar</t>
  </si>
  <si>
    <t>a</t>
  </si>
  <si>
    <t>b</t>
  </si>
  <si>
    <t>c</t>
  </si>
  <si>
    <t>Ganancia</t>
  </si>
  <si>
    <t>Riesgo</t>
  </si>
  <si>
    <t>2. solo minimizar riesgo (minminzar V(Rp))</t>
  </si>
  <si>
    <t>1. solo maximizar ganancias (maximizar E[Rp])</t>
  </si>
  <si>
    <t>3. maximizar ganancia y a su vez reducir riesgo (max E[Rp] / V[Rp])</t>
  </si>
  <si>
    <t>Elthon y gruber 13 edicion INVESTMENT</t>
  </si>
  <si>
    <t>paper de colombia sobre "markowitz estocastico"</t>
  </si>
  <si>
    <t>Tiempo</t>
  </si>
  <si>
    <t>Monto / Numero</t>
  </si>
  <si>
    <t>Prob (1%, 99%) - maximo o minimo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</si>
  <si>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</si>
  <si>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</si>
  <si>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</si>
  <si>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</si>
  <si>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</si>
  <si>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</si>
  <si>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</si>
  <si>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</si>
  <si>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</si>
  <si>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</si>
  <si>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Retorno diario (dia2 / dia 1 - 1)</t>
  </si>
  <si>
    <t>VaR diario</t>
  </si>
  <si>
    <t>Retorno cada 10 días (día 10 / día 1 -1 )</t>
  </si>
  <si>
    <t>1 día</t>
  </si>
  <si>
    <t>10 días</t>
  </si>
  <si>
    <t>VaR diario x raiz (10)</t>
  </si>
  <si>
    <t>VaR a 10 días</t>
  </si>
  <si>
    <t>si se cumple normalidad 100%</t>
  </si>
  <si>
    <t>VaR 1 día</t>
  </si>
  <si>
    <t>VaR a 6 meses</t>
  </si>
  <si>
    <t>VaR 1d x raiz (180) = VaR 6 meses</t>
  </si>
  <si>
    <t>mu = 15%</t>
  </si>
  <si>
    <t>std = 40%</t>
  </si>
  <si>
    <t>M = 1,000,0000</t>
  </si>
  <si>
    <t>anual</t>
  </si>
  <si>
    <t>días</t>
  </si>
  <si>
    <t>VaR = -15% + 40% * (2.33)</t>
  </si>
  <si>
    <t>VaR = N^(-1) [ alpha ; mu; std]</t>
  </si>
  <si>
    <t>T x VaR = N^(-1) [alpha; mu x T ; std x Raiz(T) ]</t>
  </si>
  <si>
    <t>VaR = mu + z * std</t>
  </si>
  <si>
    <t>VaR (T días) = mu x T + z * std * Raiz(T)</t>
  </si>
  <si>
    <t>VaR = -15% (20/250) + 40% raiz(20/250) * (2.33)</t>
  </si>
  <si>
    <t>relativo</t>
  </si>
  <si>
    <t>monetario</t>
  </si>
  <si>
    <t>Undiversified VaR</t>
  </si>
  <si>
    <t>Diversified VaR</t>
  </si>
  <si>
    <t>alpha</t>
  </si>
  <si>
    <t>Desagregado</t>
  </si>
  <si>
    <t>Formula directa</t>
  </si>
  <si>
    <t>VaR</t>
  </si>
  <si>
    <t>param</t>
  </si>
  <si>
    <t>hist</t>
  </si>
  <si>
    <t>MC</t>
  </si>
  <si>
    <t>.</t>
  </si>
  <si>
    <t>VaR al 10%</t>
  </si>
  <si>
    <t>supremo = minimo de las cotas superiores</t>
  </si>
  <si>
    <t>infimo el maximo de las cotas inferiores</t>
  </si>
  <si>
    <t>positivo</t>
  </si>
  <si>
    <t>negativo</t>
  </si>
  <si>
    <t>VaR = inf [x, ,,,,}</t>
  </si>
  <si>
    <t>VaR = mu + std * z</t>
  </si>
  <si>
    <t>VaR = percentil (data ; alpha)</t>
  </si>
  <si>
    <t>historico</t>
  </si>
  <si>
    <t>w.paiva.r@gmail.com</t>
  </si>
  <si>
    <t>Este es un modelo de Markowitz tradicional (1952), si se desea un mejor modelo de carteras usar Markowitz prospectivo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</si>
</sst>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%"/>
    <numFmt numFmtId="165" formatCode="_ * #,##0.00_ ;_ * \-#,##0.00_ ;_ * &quot;-&quot;??_ ;_ @_ "/>
    <numFmt numFmtId="166" formatCode="_ * #,##0_ ;_ * \-#,##0_ ;_ * &quot;-&quot;??_ ;_ @_ "/>
    <numFmt numFmtId="167" formatCode="0.000%"/>
    <numFmt numFmtId="168" formatCode="_ * #,##0.0000_ ;_ * \-#,##0.0000_ ;_ * &quot;-&quot;??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</font>
    <font>
      <b/>
      <u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gradientFill>
        <stop position="0">
          <color rgb="FFFFE8AF"/>
        </stop>
        <stop position="0.5">
          <color theme="2"/>
        </stop>
        <stop position="1">
          <color rgb="FFFFE8AF"/>
        </stop>
      </gradient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lightGray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Font="1" applyAlignment="1" applyProtection="1">
      <alignment horizontal="center"/>
      <protection locked="0"/>
    </xf>
    <xf numFmtId="10" fontId="0" fillId="0" borderId="0" xfId="0" applyNumberFormat="1" applyFont="1" applyAlignment="1" applyProtection="1">
      <alignment horizontal="center"/>
      <protection locked="0"/>
    </xf>
    <xf numFmtId="164" fontId="0" fillId="0" borderId="0" xfId="2" applyNumberFormat="1" applyFont="1" applyAlignment="1" applyProtection="1">
      <alignment horizontal="center"/>
      <protection locked="0"/>
    </xf>
    <xf numFmtId="165" fontId="0" fillId="0" borderId="0" xfId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166" fontId="0" fillId="4" borderId="7" xfId="1" applyNumberFormat="1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14" fontId="0" fillId="0" borderId="7" xfId="0" applyNumberFormat="1" applyFont="1" applyBorder="1" applyAlignment="1" applyProtection="1">
      <alignment horizontal="center"/>
      <protection locked="0"/>
    </xf>
    <xf numFmtId="10" fontId="0" fillId="4" borderId="7" xfId="2" applyNumberFormat="1" applyFont="1" applyFill="1" applyBorder="1" applyAlignment="1" applyProtection="1">
      <alignment horizontal="right"/>
      <protection locked="0"/>
    </xf>
    <xf numFmtId="165" fontId="0" fillId="4" borderId="7" xfId="1" applyFont="1" applyFill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left"/>
      <protection locked="0"/>
    </xf>
    <xf numFmtId="165" fontId="4" fillId="0" borderId="0" xfId="0" applyNumberFormat="1" applyFont="1" applyAlignment="1" applyProtection="1">
      <alignment horizontal="center"/>
    </xf>
    <xf numFmtId="10" fontId="0" fillId="6" borderId="7" xfId="2" applyNumberFormat="1" applyFont="1" applyFill="1" applyBorder="1" applyAlignment="1" applyProtection="1">
      <alignment horizontal="right"/>
    </xf>
    <xf numFmtId="10" fontId="0" fillId="0" borderId="0" xfId="2" applyNumberFormat="1" applyFont="1" applyBorder="1" applyAlignment="1" applyProtection="1">
      <alignment horizontal="right"/>
      <protection locked="0"/>
    </xf>
    <xf numFmtId="166" fontId="0" fillId="6" borderId="7" xfId="1" applyNumberFormat="1" applyFont="1" applyFill="1" applyBorder="1" applyAlignment="1" applyProtection="1">
      <alignment horizontal="center"/>
    </xf>
    <xf numFmtId="0" fontId="6" fillId="3" borderId="7" xfId="0" applyFont="1" applyFill="1" applyBorder="1" applyAlignment="1" applyProtection="1">
      <alignment horizontal="center" vertical="center"/>
      <protection locked="0"/>
    </xf>
    <xf numFmtId="167" fontId="0" fillId="6" borderId="7" xfId="2" applyNumberFormat="1" applyFont="1" applyFill="1" applyBorder="1" applyAlignment="1" applyProtection="1">
      <alignment horizontal="right"/>
    </xf>
    <xf numFmtId="0" fontId="7" fillId="0" borderId="0" xfId="0" applyFont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right"/>
    </xf>
    <xf numFmtId="168" fontId="0" fillId="6" borderId="7" xfId="1" applyNumberFormat="1" applyFont="1" applyFill="1" applyBorder="1" applyAlignment="1" applyProtection="1">
      <alignment horizontal="center"/>
    </xf>
    <xf numFmtId="0" fontId="0" fillId="0" borderId="0" xfId="0" applyFont="1" applyProtection="1">
      <protection locked="0"/>
    </xf>
    <xf numFmtId="165" fontId="0" fillId="0" borderId="0" xfId="1" applyFont="1" applyProtection="1">
      <protection locked="0"/>
    </xf>
    <xf numFmtId="0" fontId="2" fillId="7" borderId="11" xfId="0" applyFont="1" applyFill="1" applyBorder="1" applyAlignment="1" applyProtection="1">
      <alignment horizontal="center"/>
      <protection locked="0"/>
    </xf>
    <xf numFmtId="0" fontId="2" fillId="7" borderId="10" xfId="0" applyFont="1" applyFill="1" applyBorder="1" applyAlignment="1" applyProtection="1">
      <alignment horizontal="center"/>
      <protection locked="0"/>
    </xf>
    <xf numFmtId="10" fontId="0" fillId="4" borderId="7" xfId="2" applyNumberFormat="1" applyFont="1" applyFill="1" applyBorder="1" applyProtection="1">
      <protection locked="0"/>
    </xf>
    <xf numFmtId="14" fontId="0" fillId="0" borderId="7" xfId="0" applyNumberFormat="1" applyFont="1" applyBorder="1" applyAlignment="1" applyProtection="1">
      <alignment horizontal="center"/>
    </xf>
    <xf numFmtId="0" fontId="0" fillId="0" borderId="7" xfId="0" applyFont="1" applyBorder="1" applyProtection="1">
      <protection locked="0"/>
    </xf>
    <xf numFmtId="10" fontId="0" fillId="0" borderId="7" xfId="2" applyNumberFormat="1" applyFont="1" applyBorder="1" applyProtection="1"/>
    <xf numFmtId="167" fontId="0" fillId="0" borderId="0" xfId="2" applyNumberFormat="1" applyFont="1" applyProtection="1">
      <protection locked="0"/>
    </xf>
    <xf numFmtId="0" fontId="0" fillId="0" borderId="7" xfId="0" applyFont="1" applyBorder="1" applyAlignment="1" applyProtection="1">
      <alignment horizontal="right"/>
      <protection locked="0"/>
    </xf>
    <xf numFmtId="165" fontId="0" fillId="6" borderId="7" xfId="1" applyFont="1" applyFill="1" applyBorder="1" applyProtection="1"/>
    <xf numFmtId="0" fontId="0" fillId="0" borderId="10" xfId="0" applyFont="1" applyBorder="1" applyAlignment="1" applyProtection="1">
      <alignment horizontal="right"/>
      <protection locked="0"/>
    </xf>
    <xf numFmtId="165" fontId="0" fillId="6" borderId="7" xfId="0" applyNumberFormat="1" applyFont="1" applyFill="1" applyBorder="1" applyProtection="1"/>
    <xf numFmtId="0" fontId="2" fillId="3" borderId="7" xfId="0" applyFont="1" applyFill="1" applyBorder="1" applyAlignment="1" applyProtection="1">
      <alignment horizontal="right"/>
      <protection locked="0"/>
    </xf>
    <xf numFmtId="0" fontId="2" fillId="3" borderId="8" xfId="0" applyFont="1" applyFill="1" applyBorder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10" fontId="3" fillId="8" borderId="7" xfId="2" applyNumberFormat="1" applyFont="1" applyFill="1" applyBorder="1" applyAlignment="1" applyProtection="1">
      <alignment horizontal="right" vertical="center"/>
    </xf>
    <xf numFmtId="0" fontId="0" fillId="5" borderId="8" xfId="0" applyFont="1" applyFill="1" applyBorder="1" applyAlignment="1" applyProtection="1">
      <protection locked="0"/>
    </xf>
    <xf numFmtId="10" fontId="0" fillId="9" borderId="7" xfId="2" applyNumberFormat="1" applyFont="1" applyFill="1" applyBorder="1" applyAlignment="1" applyProtection="1">
      <alignment horizontal="right"/>
    </xf>
    <xf numFmtId="0" fontId="12" fillId="7" borderId="8" xfId="0" applyFont="1" applyFill="1" applyBorder="1" applyAlignment="1" applyProtection="1">
      <alignment horizontal="center" vertical="center"/>
      <protection locked="0"/>
    </xf>
    <xf numFmtId="0" fontId="12" fillId="7" borderId="12" xfId="0" applyFont="1" applyFill="1" applyBorder="1" applyAlignment="1" applyProtection="1">
      <alignment horizontal="center" vertical="center"/>
      <protection locked="0"/>
    </xf>
    <xf numFmtId="0" fontId="12" fillId="7" borderId="10" xfId="0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right"/>
      <protection locked="0"/>
    </xf>
    <xf numFmtId="165" fontId="0" fillId="6" borderId="7" xfId="0" applyNumberFormat="1" applyFont="1" applyFill="1" applyBorder="1" applyAlignment="1" applyProtection="1">
      <alignment horizontal="right"/>
    </xf>
    <xf numFmtId="165" fontId="0" fillId="6" borderId="0" xfId="0" applyNumberFormat="1" applyFont="1" applyFill="1" applyProtection="1"/>
    <xf numFmtId="10" fontId="14" fillId="4" borderId="7" xfId="2" applyNumberFormat="1" applyFont="1" applyFill="1" applyBorder="1" applyAlignment="1" applyProtection="1">
      <alignment horizontal="right"/>
      <protection locked="0"/>
    </xf>
    <xf numFmtId="164" fontId="0" fillId="0" borderId="7" xfId="2" applyNumberFormat="1" applyFont="1" applyBorder="1" applyAlignment="1" applyProtection="1">
      <alignment horizontal="center"/>
      <protection locked="0"/>
    </xf>
    <xf numFmtId="166" fontId="0" fillId="0" borderId="0" xfId="1" applyNumberFormat="1" applyFont="1" applyBorder="1" applyAlignment="1" applyProtection="1">
      <alignment horizontal="right"/>
    </xf>
    <xf numFmtId="168" fontId="14" fillId="0" borderId="7" xfId="1" applyNumberFormat="1" applyFont="1" applyBorder="1" applyAlignment="1" applyProtection="1">
      <alignment horizontal="center"/>
      <protection locked="0"/>
    </xf>
    <xf numFmtId="10" fontId="0" fillId="10" borderId="0" xfId="0" applyNumberFormat="1" applyFont="1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9" fontId="0" fillId="0" borderId="7" xfId="0" applyNumberFormat="1" applyBorder="1"/>
    <xf numFmtId="9" fontId="0" fillId="0" borderId="0" xfId="0" applyNumberFormat="1" applyAlignment="1">
      <alignment horizontal="center"/>
    </xf>
    <xf numFmtId="9" fontId="0" fillId="10" borderId="7" xfId="0" applyNumberFormat="1" applyFill="1" applyBorder="1" applyAlignment="1">
      <alignment horizontal="center"/>
    </xf>
    <xf numFmtId="0" fontId="14" fillId="0" borderId="0" xfId="0" applyFont="1"/>
    <xf numFmtId="167" fontId="15" fillId="6" borderId="7" xfId="2" applyNumberFormat="1" applyFont="1" applyFill="1" applyBorder="1" applyAlignment="1" applyProtection="1">
      <alignment horizontal="right"/>
    </xf>
    <xf numFmtId="0" fontId="0" fillId="0" borderId="0" xfId="0" applyFont="1" applyAlignment="1" applyProtection="1">
      <alignment horizontal="left"/>
      <protection locked="0"/>
    </xf>
    <xf numFmtId="165" fontId="0" fillId="6" borderId="7" xfId="1" applyNumberFormat="1" applyFont="1" applyFill="1" applyBorder="1" applyProtection="1"/>
    <xf numFmtId="10" fontId="14" fillId="6" borderId="7" xfId="2" applyNumberFormat="1" applyFont="1" applyFill="1" applyBorder="1" applyAlignment="1" applyProtection="1">
      <alignment horizontal="right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0" fillId="10" borderId="0" xfId="0" applyFont="1" applyFill="1" applyProtection="1">
      <protection locked="0"/>
    </xf>
    <xf numFmtId="0" fontId="14" fillId="0" borderId="10" xfId="0" applyFont="1" applyBorder="1" applyAlignment="1" applyProtection="1">
      <alignment horizontal="right"/>
      <protection locked="0"/>
    </xf>
    <xf numFmtId="9" fontId="0" fillId="0" borderId="0" xfId="0" applyNumberFormat="1" applyFont="1" applyProtection="1">
      <protection locked="0"/>
    </xf>
    <xf numFmtId="10" fontId="0" fillId="0" borderId="0" xfId="2" applyNumberFormat="1" applyFont="1" applyProtection="1">
      <protection locked="0"/>
    </xf>
    <xf numFmtId="2" fontId="0" fillId="0" borderId="7" xfId="0" applyNumberFormat="1" applyFont="1" applyBorder="1" applyProtection="1">
      <protection locked="0"/>
    </xf>
    <xf numFmtId="2" fontId="13" fillId="0" borderId="7" xfId="0" applyNumberFormat="1" applyFont="1" applyBorder="1" applyProtection="1">
      <protection locked="0"/>
    </xf>
    <xf numFmtId="9" fontId="0" fillId="0" borderId="0" xfId="0" applyNumberFormat="1" applyFont="1" applyAlignment="1" applyProtection="1">
      <alignment horizontal="center"/>
      <protection locked="0"/>
    </xf>
    <xf numFmtId="2" fontId="14" fillId="0" borderId="7" xfId="0" applyNumberFormat="1" applyFont="1" applyBorder="1" applyProtection="1">
      <protection locked="0"/>
    </xf>
    <xf numFmtId="0" fontId="17" fillId="0" borderId="0" xfId="3" applyFont="1" applyProtection="1">
      <protection locked="0"/>
    </xf>
    <xf numFmtId="10" fontId="0" fillId="10" borderId="7" xfId="2" applyNumberFormat="1" applyFont="1" applyFill="1" applyBorder="1" applyAlignment="1" applyProtection="1">
      <alignment horizontal="right"/>
    </xf>
    <xf numFmtId="165" fontId="0" fillId="4" borderId="7" xfId="1" applyFont="1" applyFill="1" applyBorder="1" applyAlignment="1" applyProtection="1">
      <alignment horizontal="center"/>
      <protection locked="0"/>
    </xf>
    <xf numFmtId="10" fontId="0" fillId="5" borderId="8" xfId="2" applyNumberFormat="1" applyFont="1" applyFill="1" applyBorder="1" applyAlignment="1" applyProtection="1">
      <alignment horizontal="center"/>
      <protection locked="0"/>
    </xf>
    <xf numFmtId="10" fontId="0" fillId="5" borderId="9" xfId="2" applyNumberFormat="1" applyFont="1" applyFill="1" applyBorder="1" applyAlignment="1" applyProtection="1">
      <alignment horizontal="center"/>
      <protection locked="0"/>
    </xf>
    <xf numFmtId="10" fontId="0" fillId="5" borderId="10" xfId="2" applyNumberFormat="1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0" fontId="0" fillId="5" borderId="7" xfId="0" applyFont="1" applyFill="1" applyBorder="1" applyAlignment="1" applyProtection="1">
      <alignment horizontal="center"/>
      <protection locked="0"/>
    </xf>
  </cellXfs>
  <cellStyles count="4">
    <cellStyle name="Hipervínculo" xfId="3" builtinId="8"/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493059</xdr:colOff>
      <xdr:row>5</xdr:row>
      <xdr:rowOff>33617</xdr:rowOff>
    </xdr:from>
    <xdr:to>
      <xdr:col>20</xdr:col>
      <xdr:colOff>89647</xdr:colOff>
      <xdr:row>10</xdr:row>
      <xdr:rowOff>26894</xdr:rowOff>
    </xdr:to>
    <xdr:sp macro="" textlink="">
      <xdr:nvSpPr>
        <xdr:cNvPr id="2" name="7 Llamada de nub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04259" y="930088"/>
          <a:ext cx="2061882" cy="889747"/>
        </a:xfrm>
        <a:prstGeom prst="cloudCallout">
          <a:avLst>
            <a:gd name="adj1" fmla="val -98234"/>
            <a:gd name="adj2" fmla="val 128862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>
              <a:solidFill>
                <a:sysClr val="windowText" lastClr="000000"/>
              </a:solidFill>
            </a:rPr>
            <a:t>¿Distr.</a:t>
          </a:r>
          <a:r>
            <a:rPr lang="es-PE" sz="1100" baseline="0">
              <a:solidFill>
                <a:sysClr val="windowText" lastClr="000000"/>
              </a:solidFill>
            </a:rPr>
            <a:t> Real vs. </a:t>
          </a:r>
          <a:r>
            <a:rPr lang="es-PE" sz="1100">
              <a:solidFill>
                <a:sysClr val="windowText" lastClr="000000"/>
              </a:solidFill>
            </a:rPr>
            <a:t>Distr. Teórica?</a:t>
          </a:r>
        </a:p>
      </xdr:txBody>
    </xdr:sp>
    <xdr:clientData/>
  </xdr:twoCellAnchor>
  <xdr:twoCellAnchor>
    <xdr:from>
      <xdr:col>17</xdr:col>
      <xdr:colOff>708212</xdr:colOff>
      <xdr:row>14</xdr:row>
      <xdr:rowOff>170329</xdr:rowOff>
    </xdr:from>
    <xdr:to>
      <xdr:col>20</xdr:col>
      <xdr:colOff>304800</xdr:colOff>
      <xdr:row>19</xdr:row>
      <xdr:rowOff>163606</xdr:rowOff>
    </xdr:to>
    <xdr:sp macro="" textlink="">
      <xdr:nvSpPr>
        <xdr:cNvPr id="3" name="7 Llamada de nub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119412" y="2680447"/>
          <a:ext cx="2061882" cy="889747"/>
        </a:xfrm>
        <a:prstGeom prst="cloudCallout">
          <a:avLst>
            <a:gd name="adj1" fmla="val -113886"/>
            <a:gd name="adj2" fmla="val 1803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>
              <a:solidFill>
                <a:sysClr val="windowText" lastClr="000000"/>
              </a:solidFill>
            </a:rPr>
            <a:t>¿Retorno continuo o discreto?</a:t>
          </a:r>
        </a:p>
      </xdr:txBody>
    </xdr:sp>
    <xdr:clientData/>
  </xdr:twoCellAnchor>
  <xdr:twoCellAnchor editAs="oneCell">
    <xdr:from>
      <xdr:col>16</xdr:col>
      <xdr:colOff>616323</xdr:colOff>
      <xdr:row>21</xdr:row>
      <xdr:rowOff>156882</xdr:rowOff>
    </xdr:from>
    <xdr:to>
      <xdr:col>24</xdr:col>
      <xdr:colOff>629577</xdr:colOff>
      <xdr:row>36</xdr:row>
      <xdr:rowOff>67235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8323" y="4157382"/>
          <a:ext cx="6210107" cy="2767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593912</xdr:colOff>
      <xdr:row>6</xdr:row>
      <xdr:rowOff>134470</xdr:rowOff>
    </xdr:from>
    <xdr:to>
      <xdr:col>7</xdr:col>
      <xdr:colOff>347382</xdr:colOff>
      <xdr:row>25</xdr:row>
      <xdr:rowOff>33618</xdr:rowOff>
    </xdr:to>
    <xdr:sp macro="" textlink="">
      <xdr:nvSpPr>
        <xdr:cNvPr id="2" name="Multiplicar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78772" y="1231750"/>
          <a:ext cx="4462630" cy="3373868"/>
        </a:xfrm>
        <a:prstGeom prst="mathMultiply">
          <a:avLst/>
        </a:prstGeom>
        <a:solidFill>
          <a:srgbClr val="00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oneCellAnchor>
    <xdr:from>
      <xdr:col>9</xdr:col>
      <xdr:colOff>468685</xdr:colOff>
      <xdr:row>3</xdr:row>
      <xdr:rowOff>184335</xdr:rowOff>
    </xdr:from>
    <xdr:ext cx="1869142" cy="311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3 CuadroTexto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7326685" y="755835"/>
              <a:ext cx="1869142" cy="31149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0" i="1">
                        <a:latin typeface="Cambria Math"/>
                      </a:rPr>
                      <m:t>𝑉𝑎𝑅</m:t>
                    </m:r>
                    <m:d>
                      <m:dPr>
                        <m:ctrlPr>
                          <a:rPr lang="es-PE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PE" sz="1400" b="0" i="1">
                            <a:latin typeface="Cambria Math"/>
                          </a:rPr>
                          <m:t>%</m:t>
                        </m:r>
                      </m:e>
                    </m:d>
                    <m:r>
                      <a:rPr lang="es-PE" sz="1400" b="0" i="1">
                        <a:latin typeface="Cambria Math"/>
                      </a:rPr>
                      <m:t>=</m:t>
                    </m:r>
                    <m:r>
                      <a:rPr lang="es-PE" sz="1400" b="0" i="1">
                        <a:latin typeface="Cambria Math"/>
                      </a:rPr>
                      <m:t>𝑧</m:t>
                    </m:r>
                    <m:r>
                      <a:rPr lang="es-PE" sz="1400" b="0" i="0">
                        <a:latin typeface="Cambria Math"/>
                      </a:rPr>
                      <m:t>∗</m:t>
                    </m:r>
                    <m:r>
                      <m:rPr>
                        <m:sty m:val="p"/>
                      </m:rPr>
                      <a:rPr lang="el-GR" sz="1400" b="0" i="1">
                        <a:latin typeface="Cambria Math"/>
                        <a:ea typeface="Cambria Math"/>
                      </a:rPr>
                      <m:t>σ</m:t>
                    </m:r>
                  </m:oMath>
                </m:oMathPara>
              </a14:m>
              <a:endParaRPr lang="es-PE" sz="1400"/>
            </a:p>
          </xdr:txBody>
        </xdr:sp>
      </mc:Choice>
      <mc:Fallback xmlns="">
        <xdr:sp macro="" textlink="">
          <xdr:nvSpPr>
            <xdr:cNvPr id="3" name="3 CuadroTexto">
              <a:extLst>
                <a:ext uri="{FF2B5EF4-FFF2-40B4-BE49-F238E27FC236}">
                  <a16:creationId xmlns:a16="http://schemas.microsoft.com/office/drawing/2014/main" id="{48E97160-A511-4BD5-B49A-62FA3F7D713C}"/>
                </a:ext>
              </a:extLst>
            </xdr:cNvPr>
            <xdr:cNvSpPr txBox="1"/>
          </xdr:nvSpPr>
          <xdr:spPr>
            <a:xfrm>
              <a:off x="7326685" y="755835"/>
              <a:ext cx="1869142" cy="31149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s-PE" sz="1400" b="0" i="0">
                  <a:latin typeface="Cambria Math"/>
                </a:rPr>
                <a:t>𝑉𝑎𝑅</a:t>
              </a:r>
              <a:r>
                <a:rPr lang="es-PE" sz="1400" b="0" i="0">
                  <a:latin typeface="Cambria Math" panose="02040503050406030204" pitchFamily="18" charset="0"/>
                </a:rPr>
                <a:t>(</a:t>
              </a:r>
              <a:r>
                <a:rPr lang="es-PE" sz="1400" b="0" i="0">
                  <a:latin typeface="Cambria Math"/>
                </a:rPr>
                <a:t>%</a:t>
              </a:r>
              <a:r>
                <a:rPr lang="es-PE" sz="1400" b="0" i="0">
                  <a:latin typeface="Cambria Math" panose="02040503050406030204" pitchFamily="18" charset="0"/>
                </a:rPr>
                <a:t>)</a:t>
              </a:r>
              <a:r>
                <a:rPr lang="es-PE" sz="1400" b="0" i="0">
                  <a:latin typeface="Cambria Math"/>
                </a:rPr>
                <a:t>=𝑧∗</a:t>
              </a:r>
              <a:r>
                <a:rPr lang="el-GR" sz="1400" b="0" i="0">
                  <a:latin typeface="Cambria Math"/>
                  <a:ea typeface="Cambria Math"/>
                </a:rPr>
                <a:t>σ</a:t>
              </a:r>
              <a:endParaRPr lang="es-PE" sz="1400"/>
            </a:p>
          </xdr:txBody>
        </xdr:sp>
      </mc:Fallback>
    </mc:AlternateContent>
    <xdr:clientData/>
  </xdr:oneCellAnchor>
  <xdr:oneCellAnchor>
    <xdr:from>
      <xdr:col>12</xdr:col>
      <xdr:colOff>672352</xdr:colOff>
      <xdr:row>6</xdr:row>
      <xdr:rowOff>156882</xdr:rowOff>
    </xdr:from>
    <xdr:ext cx="2476500" cy="311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10 CuadroTexto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10563112" y="1254162"/>
              <a:ext cx="2476500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0" i="1">
                        <a:latin typeface="Cambria Math"/>
                      </a:rPr>
                      <m:t>𝑉𝑎𝑅</m:t>
                    </m:r>
                    <m:d>
                      <m:dPr>
                        <m:ctrlPr>
                          <a:rPr lang="es-PE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PE" sz="1400" b="0" i="1">
                            <a:latin typeface="Cambria Math"/>
                          </a:rPr>
                          <m:t>𝑢</m:t>
                        </m:r>
                        <m:r>
                          <a:rPr lang="es-PE" sz="1400" b="0" i="1">
                            <a:latin typeface="Cambria Math"/>
                          </a:rPr>
                          <m:t>.</m:t>
                        </m:r>
                        <m:r>
                          <a:rPr lang="es-PE" sz="1400" b="0" i="1">
                            <a:latin typeface="Cambria Math"/>
                          </a:rPr>
                          <m:t>𝑚</m:t>
                        </m:r>
                        <m:r>
                          <a:rPr lang="es-PE" sz="1400" b="0" i="1">
                            <a:latin typeface="Cambria Math"/>
                          </a:rPr>
                          <m:t>.</m:t>
                        </m:r>
                      </m:e>
                    </m:d>
                    <m:r>
                      <a:rPr lang="es-PE" sz="1400" b="0" i="1">
                        <a:latin typeface="Cambria Math"/>
                      </a:rPr>
                      <m:t>=</m:t>
                    </m:r>
                    <m:r>
                      <a:rPr lang="es-PE" sz="1400" b="0" i="1">
                        <a:latin typeface="Cambria Math"/>
                      </a:rPr>
                      <m:t>𝑃</m:t>
                    </m:r>
                    <m:r>
                      <a:rPr lang="es-PE" sz="1400" b="0" i="1">
                        <a:latin typeface="Cambria Math"/>
                      </a:rPr>
                      <m:t>∗</m:t>
                    </m:r>
                    <m:r>
                      <a:rPr lang="es-PE" sz="1400" b="0" i="1">
                        <a:latin typeface="Cambria Math"/>
                      </a:rPr>
                      <m:t>𝑧</m:t>
                    </m:r>
                    <m:r>
                      <a:rPr lang="es-PE" sz="1400" b="0" i="0">
                        <a:latin typeface="Cambria Math"/>
                      </a:rPr>
                      <m:t>∗</m:t>
                    </m:r>
                    <m:r>
                      <m:rPr>
                        <m:sty m:val="p"/>
                      </m:rPr>
                      <a:rPr lang="el-GR" sz="1400" b="0" i="1">
                        <a:latin typeface="Cambria Math"/>
                        <a:ea typeface="Cambria Math"/>
                      </a:rPr>
                      <m:t>σ</m:t>
                    </m:r>
                  </m:oMath>
                </m:oMathPara>
              </a14:m>
              <a:endParaRPr lang="es-PE" sz="1400"/>
            </a:p>
          </xdr:txBody>
        </xdr:sp>
      </mc:Choice>
      <mc:Fallback xmlns="">
        <xdr:sp macro="" textlink="">
          <xdr:nvSpPr>
            <xdr:cNvPr id="4" name="10 CuadroTexto">
              <a:extLst>
                <a:ext uri="{FF2B5EF4-FFF2-40B4-BE49-F238E27FC236}">
                  <a16:creationId xmlns:a16="http://schemas.microsoft.com/office/drawing/2014/main" id="{0E49903D-A082-4142-A2C0-C49CCAE1269B}"/>
                </a:ext>
              </a:extLst>
            </xdr:cNvPr>
            <xdr:cNvSpPr txBox="1"/>
          </xdr:nvSpPr>
          <xdr:spPr>
            <a:xfrm>
              <a:off x="10563112" y="1254162"/>
              <a:ext cx="2476500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s-PE" sz="1400" b="0" i="0">
                  <a:latin typeface="Cambria Math"/>
                </a:rPr>
                <a:t>𝑉𝑎𝑅</a:t>
              </a:r>
              <a:r>
                <a:rPr lang="es-PE" sz="1400" b="0" i="0">
                  <a:latin typeface="Cambria Math" panose="02040503050406030204" pitchFamily="18" charset="0"/>
                </a:rPr>
                <a:t>(</a:t>
              </a:r>
              <a:r>
                <a:rPr lang="es-PE" sz="1400" b="0" i="0">
                  <a:latin typeface="Cambria Math"/>
                </a:rPr>
                <a:t>𝑢.𝑚.</a:t>
              </a:r>
              <a:r>
                <a:rPr lang="es-PE" sz="1400" b="0" i="0">
                  <a:latin typeface="Cambria Math" panose="02040503050406030204" pitchFamily="18" charset="0"/>
                </a:rPr>
                <a:t>)</a:t>
              </a:r>
              <a:r>
                <a:rPr lang="es-PE" sz="1400" b="0" i="0">
                  <a:latin typeface="Cambria Math"/>
                </a:rPr>
                <a:t>=𝑃∗𝑧∗</a:t>
              </a:r>
              <a:r>
                <a:rPr lang="el-GR" sz="1400" b="0" i="0">
                  <a:latin typeface="Cambria Math"/>
                  <a:ea typeface="Cambria Math"/>
                </a:rPr>
                <a:t>σ</a:t>
              </a:r>
              <a:endParaRPr lang="es-PE" sz="1400"/>
            </a:p>
          </xdr:txBody>
        </xdr:sp>
      </mc:Fallback>
    </mc:AlternateContent>
    <xdr:clientData/>
  </xdr:oneCellAnchor>
  <xdr:oneCellAnchor>
    <xdr:from>
      <xdr:col>9</xdr:col>
      <xdr:colOff>269874</xdr:colOff>
      <xdr:row>1</xdr:row>
      <xdr:rowOff>134937</xdr:rowOff>
    </xdr:from>
    <xdr:ext cx="2333625" cy="311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3 CuadroTexto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7127874" y="325437"/>
              <a:ext cx="2333625" cy="311496"/>
            </a:xfrm>
            <a:prstGeom prst="rect">
              <a:avLst/>
            </a:prstGeom>
            <a:solidFill>
              <a:srgbClr val="FF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0" i="1">
                        <a:latin typeface="Cambria Math"/>
                      </a:rPr>
                      <m:t>𝑉𝑎𝑅</m:t>
                    </m:r>
                    <m:d>
                      <m:dPr>
                        <m:ctrlPr>
                          <a:rPr lang="es-PE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PE" sz="1400" b="0" i="1">
                            <a:latin typeface="Cambria Math"/>
                          </a:rPr>
                          <m:t>%</m:t>
                        </m:r>
                      </m:e>
                    </m:d>
                    <m:r>
                      <a:rPr lang="es-PE" sz="1400" b="0" i="1">
                        <a:latin typeface="Cambria Math"/>
                      </a:rPr>
                      <m:t>=</m:t>
                    </m:r>
                    <m:r>
                      <a:rPr lang="es-PE" sz="1400" b="0" i="1">
                        <a:latin typeface="Cambria Math" panose="02040503050406030204" pitchFamily="18" charset="0"/>
                      </a:rPr>
                      <m:t>𝑚𝑢</m:t>
                    </m:r>
                    <m:r>
                      <a:rPr lang="es-PE" sz="1400" b="0" i="1">
                        <a:latin typeface="Cambria Math" panose="02040503050406030204" pitchFamily="18" charset="0"/>
                      </a:rPr>
                      <m:t>+ </m:t>
                    </m:r>
                    <m:r>
                      <a:rPr lang="es-PE" sz="1400" b="0" i="1">
                        <a:latin typeface="Cambria Math"/>
                      </a:rPr>
                      <m:t>𝑧</m:t>
                    </m:r>
                    <m:r>
                      <a:rPr lang="es-PE" sz="1400" b="0" i="0">
                        <a:latin typeface="Cambria Math"/>
                      </a:rPr>
                      <m:t>∗</m:t>
                    </m:r>
                    <m:r>
                      <m:rPr>
                        <m:sty m:val="p"/>
                      </m:rPr>
                      <a:rPr lang="el-GR" sz="1400" b="0" i="1">
                        <a:latin typeface="Cambria Math"/>
                        <a:ea typeface="Cambria Math"/>
                      </a:rPr>
                      <m:t>σ</m:t>
                    </m:r>
                  </m:oMath>
                </m:oMathPara>
              </a14:m>
              <a:endParaRPr lang="es-PE" sz="1400"/>
            </a:p>
          </xdr:txBody>
        </xdr:sp>
      </mc:Choice>
      <mc:Fallback xmlns="">
        <xdr:sp macro="" textlink="">
          <xdr:nvSpPr>
            <xdr:cNvPr id="5" name="3 CuadroTexto">
              <a:extLst>
                <a:ext uri="{FF2B5EF4-FFF2-40B4-BE49-F238E27FC236}">
                  <a16:creationId xmlns:a16="http://schemas.microsoft.com/office/drawing/2014/main" id="{48E97160-A511-4BD5-B49A-62FA3F7D713C}"/>
                </a:ext>
              </a:extLst>
            </xdr:cNvPr>
            <xdr:cNvSpPr txBox="1"/>
          </xdr:nvSpPr>
          <xdr:spPr>
            <a:xfrm>
              <a:off x="7127874" y="325437"/>
              <a:ext cx="2333625" cy="311496"/>
            </a:xfrm>
            <a:prstGeom prst="rect">
              <a:avLst/>
            </a:prstGeom>
            <a:solidFill>
              <a:srgbClr val="FF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s-PE" sz="1400" b="0" i="0">
                  <a:latin typeface="Cambria Math"/>
                </a:rPr>
                <a:t>𝑉𝑎𝑅</a:t>
              </a:r>
              <a:r>
                <a:rPr lang="es-PE" sz="1400" b="0" i="0">
                  <a:latin typeface="Cambria Math" panose="02040503050406030204" pitchFamily="18" charset="0"/>
                </a:rPr>
                <a:t>(</a:t>
              </a:r>
              <a:r>
                <a:rPr lang="es-PE" sz="1400" b="0" i="0">
                  <a:latin typeface="Cambria Math"/>
                </a:rPr>
                <a:t>%</a:t>
              </a:r>
              <a:r>
                <a:rPr lang="es-PE" sz="1400" b="0" i="0">
                  <a:latin typeface="Cambria Math" panose="02040503050406030204" pitchFamily="18" charset="0"/>
                </a:rPr>
                <a:t>)</a:t>
              </a:r>
              <a:r>
                <a:rPr lang="es-PE" sz="1400" b="0" i="0">
                  <a:latin typeface="Cambria Math"/>
                </a:rPr>
                <a:t>=</a:t>
              </a:r>
              <a:r>
                <a:rPr lang="es-PE" sz="1400" b="0" i="0">
                  <a:latin typeface="Cambria Math" panose="02040503050406030204" pitchFamily="18" charset="0"/>
                </a:rPr>
                <a:t>𝑚𝑢+ </a:t>
              </a:r>
              <a:r>
                <a:rPr lang="es-PE" sz="1400" b="0" i="0">
                  <a:latin typeface="Cambria Math"/>
                </a:rPr>
                <a:t>𝑧∗</a:t>
              </a:r>
              <a:r>
                <a:rPr lang="el-GR" sz="1400" b="0" i="0">
                  <a:latin typeface="Cambria Math"/>
                  <a:ea typeface="Cambria Math"/>
                </a:rPr>
                <a:t>σ</a:t>
              </a:r>
              <a:endParaRPr lang="es-PE" sz="1400"/>
            </a:p>
          </xdr:txBody>
        </xdr:sp>
      </mc:Fallback>
    </mc:AlternateContent>
    <xdr:clientData/>
  </xdr:oneCellAnchor>
  <xdr:twoCellAnchor editAs="oneCell">
    <xdr:from>
      <xdr:col>10</xdr:col>
      <xdr:colOff>563563</xdr:colOff>
      <xdr:row>24</xdr:row>
      <xdr:rowOff>85476</xdr:rowOff>
    </xdr:from>
    <xdr:to>
      <xdr:col>18</xdr:col>
      <xdr:colOff>539751</xdr:colOff>
      <xdr:row>35</xdr:row>
      <xdr:rowOff>19049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83563" y="4657476"/>
          <a:ext cx="8310563" cy="20290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392206</xdr:colOff>
      <xdr:row>1</xdr:row>
      <xdr:rowOff>89647</xdr:rowOff>
    </xdr:from>
    <xdr:to>
      <xdr:col>15</xdr:col>
      <xdr:colOff>0</xdr:colOff>
      <xdr:row>5</xdr:row>
      <xdr:rowOff>11206</xdr:rowOff>
    </xdr:to>
    <xdr:sp macro="" textlink="">
      <xdr:nvSpPr>
        <xdr:cNvPr id="2" name="2 Llamada de nub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595386" y="272527"/>
          <a:ext cx="2042160" cy="653079"/>
        </a:xfrm>
        <a:prstGeom prst="cloudCallout">
          <a:avLst>
            <a:gd name="adj1" fmla="val -121963"/>
            <a:gd name="adj2" fmla="val 5673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>
              <a:solidFill>
                <a:sysClr val="windowText" lastClr="000000"/>
              </a:solidFill>
            </a:rPr>
            <a:t>¿Generador</a:t>
          </a:r>
        </a:p>
        <a:p>
          <a:pPr algn="ctr"/>
          <a:r>
            <a:rPr lang="es-PE" sz="1100">
              <a:solidFill>
                <a:sysClr val="windowText" lastClr="000000"/>
              </a:solidFill>
            </a:rPr>
            <a:t>Aleatorio?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689328</xdr:colOff>
      <xdr:row>2</xdr:row>
      <xdr:rowOff>54327</xdr:rowOff>
    </xdr:from>
    <xdr:ext cx="1477712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5261328" y="1197327"/>
              <a:ext cx="1477712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100" b="0" i="1">
                        <a:latin typeface="Cambria Math" panose="02040503050406030204" pitchFamily="18" charset="0"/>
                      </a:rPr>
                      <m:t>𝑉𝑎𝑅</m:t>
                    </m:r>
                    <m:r>
                      <a:rPr lang="es-P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es-P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P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</m:t>
                        </m:r>
                      </m:e>
                      <m:sup>
                        <m:r>
                          <a:rPr lang="es-P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[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;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𝑚𝑢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;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𝑠𝑡𝑑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5261328" y="1197327"/>
              <a:ext cx="1477712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PE" sz="1100" b="0" i="0">
                  <a:latin typeface="Cambria Math" panose="02040503050406030204" pitchFamily="18" charset="0"/>
                </a:rPr>
                <a:t>𝑉𝑎𝑅= </a:t>
              </a:r>
              <a:r>
                <a:rPr lang="es-P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𝑁^(−1) [𝛼;𝑚𝑢;𝑠𝑡𝑑]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6</xdr:col>
      <xdr:colOff>673806</xdr:colOff>
      <xdr:row>3</xdr:row>
      <xdr:rowOff>81139</xdr:rowOff>
    </xdr:from>
    <xdr:ext cx="1068498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5245806" y="652639"/>
              <a:ext cx="1068498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100" b="0" i="1">
                        <a:latin typeface="Cambria Math" panose="02040503050406030204" pitchFamily="18" charset="0"/>
                      </a:rPr>
                      <m:t>𝑉𝑎𝑅</m:t>
                    </m:r>
                    <m:r>
                      <a:rPr lang="es-P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es-P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P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s-P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[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;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5245806" y="652639"/>
              <a:ext cx="1068498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PE" sz="1100" b="0" i="0">
                  <a:latin typeface="Cambria Math" panose="02040503050406030204" pitchFamily="18" charset="0"/>
                </a:rPr>
                <a:t>𝑉𝑎𝑅= </a:t>
              </a:r>
              <a:r>
                <a:rPr lang="es-P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𝑇^(−1) [𝛼;𝑣]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6</xdr:col>
      <xdr:colOff>663222</xdr:colOff>
      <xdr:row>4</xdr:row>
      <xdr:rowOff>91722</xdr:rowOff>
    </xdr:from>
    <xdr:ext cx="1613519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5235222" y="853722"/>
              <a:ext cx="1613519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100" b="0" i="1">
                        <a:latin typeface="Cambria Math" panose="02040503050406030204" pitchFamily="18" charset="0"/>
                      </a:rPr>
                      <m:t>𝑉𝑎𝑅</m:t>
                    </m:r>
                    <m:r>
                      <a:rPr lang="es-P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es-P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P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𝐵</m:t>
                        </m:r>
                      </m:e>
                      <m:sup>
                        <m:r>
                          <a:rPr lang="es-P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[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;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;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𝑚𝑢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;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𝑠𝑡𝑑</m:t>
                    </m:r>
                    <m:r>
                      <a:rPr lang="es-P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5235222" y="853722"/>
              <a:ext cx="1613519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PE" sz="1100" b="0" i="0">
                  <a:latin typeface="Cambria Math" panose="02040503050406030204" pitchFamily="18" charset="0"/>
                </a:rPr>
                <a:t>𝑉𝑎𝑅= </a:t>
              </a:r>
              <a:r>
                <a:rPr lang="es-P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𝐵^(−1) [𝛼;𝛽;𝑚𝑢;𝑠𝑡𝑑]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6</xdr:col>
      <xdr:colOff>627944</xdr:colOff>
      <xdr:row>5</xdr:row>
      <xdr:rowOff>186973</xdr:rowOff>
    </xdr:from>
    <xdr:ext cx="1825756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5199944" y="1139473"/>
              <a:ext cx="1825756" cy="179665"/>
            </a:xfrm>
            <a:prstGeom prst="rect">
              <a:avLst/>
            </a:prstGeom>
            <a:solidFill>
              <a:schemeClr val="accent6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100" b="1" i="1">
                        <a:latin typeface="Cambria Math" panose="02040503050406030204" pitchFamily="18" charset="0"/>
                      </a:rPr>
                      <m:t>𝑽𝒂𝑹</m:t>
                    </m:r>
                    <m:r>
                      <a:rPr lang="es-PE" sz="1100" b="1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es-PE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PE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𝑭</m:t>
                        </m:r>
                      </m:e>
                      <m:sup>
                        <m:r>
                          <a:rPr lang="es-PE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PE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sup>
                    </m:sSup>
                    <m:r>
                      <a:rPr lang="es-PE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[</m:t>
                    </m:r>
                    <m:r>
                      <a:rPr lang="es-PE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𝜶</m:t>
                    </m:r>
                    <m:r>
                      <a:rPr lang="es-PE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;</m:t>
                    </m:r>
                    <m:r>
                      <a:rPr lang="es-PE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𝒑𝒂𝒓</m:t>
                    </m:r>
                    <m:r>
                      <a:rPr lang="es-PE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á</m:t>
                    </m:r>
                    <m:r>
                      <a:rPr lang="es-PE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𝒎𝒆𝒕𝒓𝒐𝒔</m:t>
                    </m:r>
                    <m:r>
                      <a:rPr lang="es-PE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PE" sz="1100" b="1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5199944" y="1139473"/>
              <a:ext cx="1825756" cy="179665"/>
            </a:xfrm>
            <a:prstGeom prst="rect">
              <a:avLst/>
            </a:prstGeom>
            <a:solidFill>
              <a:schemeClr val="accent6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PE" sz="1100" b="1" i="0">
                  <a:latin typeface="Cambria Math" panose="02040503050406030204" pitchFamily="18" charset="0"/>
                </a:rPr>
                <a:t>𝑽𝒂𝑹= </a:t>
              </a:r>
              <a:r>
                <a:rPr lang="es-PE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𝑭^(−𝟏) [</a:t>
              </a:r>
              <a:r>
                <a:rPr lang="es-PE" sz="11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𝜶</a:t>
              </a:r>
              <a:r>
                <a:rPr lang="es-PE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;𝒑𝒂𝒓á𝒎𝒆𝒕𝒓𝒐𝒔]</a:t>
              </a:r>
              <a:endParaRPr lang="es-PE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mailto:w.paiva.r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P1383"/>
  <sheetViews>
    <sheetView showGridLines="0" topLeftCell="A13" zoomScale="120" zoomScaleNormal="120" workbookViewId="0">
      <selection activeCell="I1" sqref="I1"/>
    </sheetView>
  </sheetViews>
  <sheetFormatPr baseColWidth="10" defaultColWidth="11.42578125" defaultRowHeight="15" x14ac:dyDescent="0.25"/>
  <cols>
    <col min="1" max="8" width="11.42578125" style="1"/>
    <col min="9" max="10" width="11.42578125" style="1" customWidth="1"/>
    <col min="11" max="11" width="11.140625" style="1" customWidth="1"/>
    <col min="12" max="12" width="11.42578125" style="1"/>
    <col min="13" max="13" width="10.85546875" style="1" customWidth="1"/>
    <col min="14" max="19" width="11.42578125" style="1"/>
    <col min="20" max="20" width="13" style="1" customWidth="1"/>
    <col min="21" max="16384" width="11.42578125" style="1"/>
  </cols>
  <sheetData>
    <row r="1" spans="1:16" x14ac:dyDescent="0.25">
      <c r="K1" s="59" t="s">
        <v>60</v>
      </c>
    </row>
    <row r="2" spans="1:16" x14ac:dyDescent="0.25">
      <c r="B2" s="78" t="s">
        <v>0</v>
      </c>
      <c r="C2" s="79"/>
      <c r="D2" s="79"/>
      <c r="E2" s="79"/>
      <c r="F2" s="79"/>
      <c r="G2" s="79"/>
      <c r="H2" s="79"/>
      <c r="I2" s="80"/>
      <c r="K2" s="59" t="s">
        <v>61</v>
      </c>
      <c r="M2" s="2"/>
    </row>
    <row r="3" spans="1:16" x14ac:dyDescent="0.25">
      <c r="B3" s="81"/>
      <c r="C3" s="82"/>
      <c r="D3" s="82"/>
      <c r="E3" s="82"/>
      <c r="F3" s="82"/>
      <c r="G3" s="82"/>
      <c r="H3" s="82"/>
      <c r="I3" s="83"/>
      <c r="K3" s="59" t="s">
        <v>119</v>
      </c>
      <c r="M3" s="2"/>
      <c r="O3" s="3"/>
    </row>
    <row r="4" spans="1:16" x14ac:dyDescent="0.25">
      <c r="D4" s="1" t="s">
        <v>45</v>
      </c>
      <c r="M4" s="2"/>
      <c r="N4" s="1" t="s">
        <v>46</v>
      </c>
    </row>
    <row r="5" spans="1:16" x14ac:dyDescent="0.25">
      <c r="A5" s="4"/>
      <c r="B5" s="84" t="s">
        <v>1</v>
      </c>
      <c r="C5" s="85" t="s">
        <v>2</v>
      </c>
      <c r="D5" s="86"/>
      <c r="E5" s="87"/>
      <c r="H5" s="5" t="s">
        <v>3</v>
      </c>
      <c r="I5" s="6">
        <v>252</v>
      </c>
      <c r="L5" s="84" t="s">
        <v>1</v>
      </c>
      <c r="M5" s="85" t="s">
        <v>40</v>
      </c>
      <c r="N5" s="86"/>
      <c r="O5" s="87"/>
    </row>
    <row r="6" spans="1:16" x14ac:dyDescent="0.25">
      <c r="A6" s="4"/>
      <c r="B6" s="84"/>
      <c r="C6" s="7" t="s">
        <v>4</v>
      </c>
      <c r="D6" s="8" t="s">
        <v>5</v>
      </c>
      <c r="E6" s="8" t="s">
        <v>6</v>
      </c>
      <c r="L6" s="84"/>
      <c r="M6" s="7" t="s">
        <v>4</v>
      </c>
      <c r="N6" s="8" t="s">
        <v>5</v>
      </c>
      <c r="O6" s="8" t="s">
        <v>6</v>
      </c>
      <c r="P6" s="8" t="s">
        <v>7</v>
      </c>
    </row>
    <row r="7" spans="1:16" x14ac:dyDescent="0.25">
      <c r="A7" s="4"/>
      <c r="B7" s="9">
        <v>35299</v>
      </c>
      <c r="C7" s="10">
        <v>6.6539998054999994E-2</v>
      </c>
      <c r="D7" s="11">
        <v>670.68</v>
      </c>
      <c r="E7" s="11">
        <v>0.76493851844292993</v>
      </c>
      <c r="H7" s="5" t="s">
        <v>8</v>
      </c>
      <c r="I7" s="74">
        <v>100000000</v>
      </c>
      <c r="J7" s="74"/>
      <c r="K7" s="12" t="s">
        <v>9</v>
      </c>
      <c r="L7" s="9">
        <v>35299</v>
      </c>
      <c r="M7" s="75"/>
      <c r="N7" s="76"/>
      <c r="O7" s="76"/>
      <c r="P7" s="77"/>
    </row>
    <row r="8" spans="1:16" x14ac:dyDescent="0.25">
      <c r="A8" s="4"/>
      <c r="B8" s="9">
        <v>35300</v>
      </c>
      <c r="C8" s="10">
        <v>6.6326799392999999E-2</v>
      </c>
      <c r="D8" s="11">
        <v>667.03</v>
      </c>
      <c r="E8" s="11">
        <v>0.76059221067941185</v>
      </c>
      <c r="H8" s="5" t="s">
        <v>10</v>
      </c>
      <c r="I8" s="13"/>
      <c r="L8" s="9">
        <v>35300</v>
      </c>
      <c r="M8" s="14">
        <f>C8/C7-1</f>
        <v>-3.2040677522078287E-3</v>
      </c>
      <c r="N8" s="14">
        <f t="shared" ref="N8:O8" si="0">D8/D7-1</f>
        <v>-5.4422377288722013E-3</v>
      </c>
      <c r="O8" s="14">
        <f t="shared" si="0"/>
        <v>-5.6819047004786905E-3</v>
      </c>
      <c r="P8" s="14">
        <f t="array" ref="P8">MMULT(M8:O8,$I$9:$I$11)</f>
        <v>-5.6172046618407599E-3</v>
      </c>
    </row>
    <row r="9" spans="1:16" x14ac:dyDescent="0.25">
      <c r="A9" s="4"/>
      <c r="B9" s="9">
        <v>35303</v>
      </c>
      <c r="C9" s="10">
        <v>6.7271089554000005E-2</v>
      </c>
      <c r="D9" s="11">
        <v>663.88</v>
      </c>
      <c r="E9" s="11">
        <v>0.75593836752576082</v>
      </c>
      <c r="H9" s="1" t="s">
        <v>11</v>
      </c>
      <c r="I9" s="48">
        <v>0</v>
      </c>
      <c r="J9" s="15"/>
      <c r="L9" s="9">
        <v>35303</v>
      </c>
      <c r="M9" s="14">
        <f t="shared" ref="M9:M72" si="1">C9/C8-1</f>
        <v>1.4236932426135773E-2</v>
      </c>
      <c r="N9" s="14">
        <f t="shared" ref="N9:N72" si="2">D9/D8-1</f>
        <v>-4.7224262776786041E-3</v>
      </c>
      <c r="O9" s="14">
        <f t="shared" ref="O9:O72" si="3">E9/E8-1</f>
        <v>-6.118709984544668E-3</v>
      </c>
      <c r="P9" s="14">
        <f t="array" ref="P9">MMULT(M9:O9,$I$9:$I$11)</f>
        <v>-5.7417718975892535E-3</v>
      </c>
    </row>
    <row r="10" spans="1:16" x14ac:dyDescent="0.25">
      <c r="A10" s="4"/>
      <c r="B10" s="9">
        <v>35304</v>
      </c>
      <c r="C10" s="10">
        <v>6.7005510330000004E-2</v>
      </c>
      <c r="D10" s="11">
        <v>666.4</v>
      </c>
      <c r="E10" s="11">
        <v>0.75563228633346391</v>
      </c>
      <c r="H10" s="1" t="s">
        <v>12</v>
      </c>
      <c r="I10" s="48">
        <v>0.26995809311665298</v>
      </c>
      <c r="J10" s="15" t="s">
        <v>48</v>
      </c>
      <c r="K10" s="49">
        <f>SUMPRODUCT(I9:I11,H15:H17)</f>
        <v>3.3855096432830386E-4</v>
      </c>
      <c r="L10" s="9">
        <v>35304</v>
      </c>
      <c r="M10" s="14">
        <f t="shared" si="1"/>
        <v>-3.9478953850868859E-3</v>
      </c>
      <c r="N10" s="14">
        <f t="shared" si="2"/>
        <v>3.795866722901664E-3</v>
      </c>
      <c r="O10" s="14">
        <f t="shared" si="3"/>
        <v>-4.0490231141299127E-4</v>
      </c>
      <c r="P10" s="14">
        <f t="array" ref="P10">MMULT(M10:O10,$I$9:$I$11)</f>
        <v>7.2912928671407687E-4</v>
      </c>
    </row>
    <row r="11" spans="1:16" x14ac:dyDescent="0.25">
      <c r="A11" s="4"/>
      <c r="B11" s="9">
        <v>35305</v>
      </c>
      <c r="C11" s="10">
        <v>6.7153058052000003E-2</v>
      </c>
      <c r="D11" s="11">
        <v>664.81</v>
      </c>
      <c r="E11" s="11">
        <v>0.75476238268121931</v>
      </c>
      <c r="H11" s="1" t="s">
        <v>13</v>
      </c>
      <c r="I11" s="48">
        <v>0.73004190688334702</v>
      </c>
      <c r="J11" s="15" t="s">
        <v>49</v>
      </c>
      <c r="K11" s="49" t="e">
        <f t="array" aca="1" ref="K11" ca="1">SQRT(MMULT(MMULT(TRANSPOSE(I9:I11),H30:J32),I9:I11))</f>
        <v>#NAME?</v>
      </c>
      <c r="L11" s="9">
        <v>35305</v>
      </c>
      <c r="M11" s="14">
        <f t="shared" si="1"/>
        <v>2.2020237033242296E-3</v>
      </c>
      <c r="N11" s="14">
        <f t="shared" si="2"/>
        <v>-2.3859543817527085E-3</v>
      </c>
      <c r="O11" s="14">
        <f t="shared" si="3"/>
        <v>-1.1512261558669357E-3</v>
      </c>
      <c r="P11" s="14">
        <f t="array" ref="P11">MMULT(M11:O11,$I$9:$I$11)</f>
        <v>-1.4845510332443669E-3</v>
      </c>
    </row>
    <row r="12" spans="1:16" x14ac:dyDescent="0.25">
      <c r="A12" s="4"/>
      <c r="B12" s="9">
        <v>35306</v>
      </c>
      <c r="C12" s="10">
        <v>6.7802262306000005E-2</v>
      </c>
      <c r="D12" s="11">
        <v>657.4</v>
      </c>
      <c r="E12" s="11">
        <v>0.75691068561602981</v>
      </c>
      <c r="H12" s="5" t="s">
        <v>14</v>
      </c>
      <c r="I12" s="16">
        <f>COUNT(B7:B1383)</f>
        <v>1377</v>
      </c>
      <c r="J12" s="50" t="s">
        <v>50</v>
      </c>
      <c r="K12" s="51" t="e">
        <f ca="1">K10/K11</f>
        <v>#NAME?</v>
      </c>
      <c r="L12" s="9">
        <v>35306</v>
      </c>
      <c r="M12" s="14">
        <f t="shared" si="1"/>
        <v>9.6675307548510503E-3</v>
      </c>
      <c r="N12" s="14">
        <f t="shared" si="2"/>
        <v>-1.1146041726207478E-2</v>
      </c>
      <c r="O12" s="14">
        <f t="shared" si="3"/>
        <v>2.8463301617907E-3</v>
      </c>
      <c r="P12" s="14">
        <f t="array" ref="P12">MMULT(M12:O12,$I$9:$I$11)</f>
        <v>-9.3102387127234985E-4</v>
      </c>
    </row>
    <row r="13" spans="1:16" x14ac:dyDescent="0.25">
      <c r="A13" s="4"/>
      <c r="B13" s="9">
        <v>35307</v>
      </c>
      <c r="C13" s="10">
        <v>6.8628520966000001E-2</v>
      </c>
      <c r="D13" s="11">
        <v>651.99</v>
      </c>
      <c r="E13" s="11">
        <v>0.75568259057830434</v>
      </c>
      <c r="H13" s="1" t="s">
        <v>43</v>
      </c>
      <c r="I13" s="1" t="s">
        <v>44</v>
      </c>
      <c r="J13"/>
      <c r="K13" s="5" t="s">
        <v>51</v>
      </c>
      <c r="L13" s="9">
        <v>35307</v>
      </c>
      <c r="M13" s="14">
        <f t="shared" si="1"/>
        <v>1.2186299275251056E-2</v>
      </c>
      <c r="N13" s="14">
        <f t="shared" si="2"/>
        <v>-8.2293885001520906E-3</v>
      </c>
      <c r="O13" s="14">
        <f t="shared" si="3"/>
        <v>-1.6225098430548979E-3</v>
      </c>
      <c r="P13" s="14">
        <f t="array" ref="P13">MMULT(M13:O13,$I$9:$I$11)</f>
        <v>-3.4060902067779694E-3</v>
      </c>
    </row>
    <row r="14" spans="1:16" x14ac:dyDescent="0.25">
      <c r="A14" s="4"/>
      <c r="B14" s="9">
        <v>35310</v>
      </c>
      <c r="C14" s="10">
        <v>6.8628520966000001E-2</v>
      </c>
      <c r="D14" s="11">
        <v>651.99</v>
      </c>
      <c r="E14" s="11">
        <v>0.76033658319829911</v>
      </c>
      <c r="H14" s="17" t="s">
        <v>15</v>
      </c>
      <c r="I14" s="17" t="s">
        <v>16</v>
      </c>
      <c r="K14" s="52">
        <f>SUM(I9:I11)</f>
        <v>1</v>
      </c>
      <c r="L14" s="9">
        <v>35310</v>
      </c>
      <c r="M14" s="14">
        <f t="shared" si="1"/>
        <v>0</v>
      </c>
      <c r="N14" s="14">
        <f t="shared" si="2"/>
        <v>0</v>
      </c>
      <c r="O14" s="14">
        <f t="shared" si="3"/>
        <v>6.1586606308254854E-3</v>
      </c>
      <c r="P14" s="14">
        <f t="array" ref="P14">MMULT(M14:O14,$I$9:$I$11)</f>
        <v>4.4960803507752339E-3</v>
      </c>
    </row>
    <row r="15" spans="1:16" ht="15.75" x14ac:dyDescent="0.25">
      <c r="A15" s="4"/>
      <c r="B15" s="9">
        <v>35311</v>
      </c>
      <c r="C15" s="10">
        <v>6.8303909302000004E-2</v>
      </c>
      <c r="D15" s="11">
        <v>654.72</v>
      </c>
      <c r="E15" s="11">
        <v>0.75905785921902102</v>
      </c>
      <c r="G15" s="5" t="s">
        <v>11</v>
      </c>
      <c r="H15" s="58">
        <f>AVERAGE(M8:M1383)</f>
        <v>-1.9085775563315845E-4</v>
      </c>
      <c r="I15" s="18">
        <f>STDEV(M8:M1383)</f>
        <v>1.031186001662099E-2</v>
      </c>
      <c r="L15" s="9">
        <v>35311</v>
      </c>
      <c r="M15" s="14">
        <f t="shared" si="1"/>
        <v>-4.7299819292451195E-3</v>
      </c>
      <c r="N15" s="14">
        <f t="shared" si="2"/>
        <v>4.1871807849813703E-3</v>
      </c>
      <c r="O15" s="14">
        <f t="shared" si="3"/>
        <v>-1.6817867343686954E-3</v>
      </c>
      <c r="P15" s="14">
        <f t="array" ref="P15">MMULT(M15:O15,$I$9:$I$11)</f>
        <v>-9.7411454281378512E-5</v>
      </c>
    </row>
    <row r="16" spans="1:16" x14ac:dyDescent="0.25">
      <c r="A16" s="4"/>
      <c r="B16" s="9">
        <v>35312</v>
      </c>
      <c r="C16" s="10">
        <v>6.8618679047000003E-2</v>
      </c>
      <c r="D16" s="11">
        <v>655.61</v>
      </c>
      <c r="E16" s="11">
        <v>0.7579844640620873</v>
      </c>
      <c r="G16" s="5" t="s">
        <v>12</v>
      </c>
      <c r="H16" s="18">
        <f>AVERAGE(N8:N1383)</f>
        <v>4.5846833972492388E-4</v>
      </c>
      <c r="I16" s="18">
        <f>STDEV(N8:N1383)</f>
        <v>1.2180054358986777E-2</v>
      </c>
      <c r="L16" s="9">
        <v>35312</v>
      </c>
      <c r="M16" s="14">
        <f t="shared" si="1"/>
        <v>4.608370856319155E-3</v>
      </c>
      <c r="N16" s="14">
        <f t="shared" si="2"/>
        <v>1.3593597262950841E-3</v>
      </c>
      <c r="O16" s="14">
        <f t="shared" si="3"/>
        <v>-1.4141150689594983E-3</v>
      </c>
      <c r="P16" s="14">
        <f t="array" ref="P16">MMULT(M16:O16,$I$9:$I$11)</f>
        <v>-6.6539310192547177E-4</v>
      </c>
    </row>
    <row r="17" spans="1:16" x14ac:dyDescent="0.25">
      <c r="A17" s="4"/>
      <c r="B17" s="9">
        <v>35313</v>
      </c>
      <c r="C17" s="10">
        <v>6.9071149825999989E-2</v>
      </c>
      <c r="D17" s="11">
        <v>649.44000000000005</v>
      </c>
      <c r="E17" s="11">
        <v>0.75926300707285499</v>
      </c>
      <c r="G17" s="5" t="s">
        <v>13</v>
      </c>
      <c r="H17" s="18">
        <f>AVERAGE(O8:O1383)</f>
        <v>2.9420739214649735E-4</v>
      </c>
      <c r="I17" s="18">
        <f>STDEV(O8:O1383)</f>
        <v>6.1782893595806561E-3</v>
      </c>
      <c r="L17" s="9">
        <v>35313</v>
      </c>
      <c r="M17" s="14">
        <f t="shared" si="1"/>
        <v>6.5939884778323243E-3</v>
      </c>
      <c r="N17" s="14">
        <f t="shared" si="2"/>
        <v>-9.4110828083768805E-3</v>
      </c>
      <c r="O17" s="14">
        <f t="shared" si="3"/>
        <v>1.6867667760838145E-3</v>
      </c>
      <c r="P17" s="14">
        <f t="array" ref="P17">MMULT(M17:O17,$I$9:$I$11)</f>
        <v>-1.3091875354326345E-3</v>
      </c>
    </row>
    <row r="18" spans="1:16" x14ac:dyDescent="0.25">
      <c r="A18" s="4"/>
      <c r="B18" s="9">
        <v>35314</v>
      </c>
      <c r="C18" s="10">
        <v>6.8579339981000006E-2</v>
      </c>
      <c r="D18" s="11">
        <v>655.68</v>
      </c>
      <c r="E18" s="11">
        <v>0.76115487896115408</v>
      </c>
      <c r="G18" s="5" t="s">
        <v>17</v>
      </c>
      <c r="H18" s="18">
        <f>AVERAGE(P8:P1383)</f>
        <v>3.3855096432830435E-4</v>
      </c>
      <c r="I18" s="18">
        <f>STDEV(P8:P1383)</f>
        <v>5.9545354626222933E-3</v>
      </c>
      <c r="L18" s="9">
        <v>35314</v>
      </c>
      <c r="M18" s="14">
        <f t="shared" si="1"/>
        <v>-7.1203367287053787E-3</v>
      </c>
      <c r="N18" s="14">
        <f t="shared" si="2"/>
        <v>9.6082779009607489E-3</v>
      </c>
      <c r="O18" s="14">
        <f t="shared" si="3"/>
        <v>2.4917214070427907E-3</v>
      </c>
      <c r="P18" s="14">
        <f t="array" ref="P18">MMULT(M18:O18,$I$9:$I$11)</f>
        <v>4.4128934276978157E-3</v>
      </c>
    </row>
    <row r="19" spans="1:16" x14ac:dyDescent="0.25">
      <c r="A19" s="4"/>
      <c r="B19" s="9">
        <v>35317</v>
      </c>
      <c r="C19" s="10">
        <v>6.8225231171000003E-2</v>
      </c>
      <c r="D19" s="11">
        <v>663.76</v>
      </c>
      <c r="E19" s="11">
        <v>0.76284220151135185</v>
      </c>
      <c r="L19" s="9">
        <v>35317</v>
      </c>
      <c r="M19" s="14">
        <f t="shared" si="1"/>
        <v>-5.1634910761478858E-3</v>
      </c>
      <c r="N19" s="14">
        <f t="shared" si="2"/>
        <v>1.2323084431429931E-2</v>
      </c>
      <c r="O19" s="14">
        <f t="shared" si="3"/>
        <v>2.2167926618308353E-3</v>
      </c>
      <c r="P19" s="14">
        <f t="array" ref="P19">MMULT(M19:O19,$I$9:$I$11)</f>
        <v>4.945067916432332E-3</v>
      </c>
    </row>
    <row r="20" spans="1:16" x14ac:dyDescent="0.25">
      <c r="A20" s="4"/>
      <c r="B20" s="9">
        <v>35318</v>
      </c>
      <c r="C20" s="10">
        <v>6.8648190498E-2</v>
      </c>
      <c r="D20" s="11">
        <v>663.81</v>
      </c>
      <c r="E20" s="11">
        <v>0.7711260161196819</v>
      </c>
      <c r="G20" s="19" t="s">
        <v>18</v>
      </c>
      <c r="L20" s="9">
        <v>35318</v>
      </c>
      <c r="M20" s="14">
        <f t="shared" si="1"/>
        <v>6.1994561211509147E-3</v>
      </c>
      <c r="N20" s="14">
        <f t="shared" si="2"/>
        <v>7.5328431963228581E-5</v>
      </c>
      <c r="O20" s="14">
        <f t="shared" si="3"/>
        <v>1.0859145694768868E-2</v>
      </c>
      <c r="P20" s="14">
        <f t="array" ref="P20">MMULT(M20:O20,$I$9:$I$11)</f>
        <v>7.9479669499834121E-3</v>
      </c>
    </row>
    <row r="21" spans="1:16" x14ac:dyDescent="0.25">
      <c r="A21" s="4"/>
      <c r="B21" s="9">
        <v>35319</v>
      </c>
      <c r="C21" s="10">
        <v>6.8618679047000003E-2</v>
      </c>
      <c r="D21" s="11">
        <v>667.28</v>
      </c>
      <c r="E21" s="11">
        <v>0.77204693204248009</v>
      </c>
      <c r="L21" s="9">
        <v>35319</v>
      </c>
      <c r="M21" s="14">
        <f t="shared" si="1"/>
        <v>-4.2989408440208265E-4</v>
      </c>
      <c r="N21" s="14">
        <f t="shared" si="2"/>
        <v>5.2273994064566676E-3</v>
      </c>
      <c r="O21" s="14">
        <f t="shared" si="3"/>
        <v>1.1942482856852621E-3</v>
      </c>
      <c r="P21" s="14">
        <f t="array" ref="P21">MMULT(M21:O21,$I$9:$I$11)</f>
        <v>2.2830300715000022E-3</v>
      </c>
    </row>
    <row r="22" spans="1:16" x14ac:dyDescent="0.25">
      <c r="A22" s="4"/>
      <c r="B22" s="9">
        <v>35320</v>
      </c>
      <c r="C22" s="10">
        <v>6.8117017746E-2</v>
      </c>
      <c r="D22" s="11">
        <v>671.15</v>
      </c>
      <c r="E22" s="11">
        <v>0.77327394638502212</v>
      </c>
      <c r="H22" s="20" t="str">
        <f>C6</f>
        <v>Factor TI</v>
      </c>
      <c r="I22" s="20" t="str">
        <f>D6</f>
        <v>Factor PA</v>
      </c>
      <c r="J22" s="20" t="str">
        <f>E6</f>
        <v>Factor TC</v>
      </c>
      <c r="L22" s="9">
        <v>35320</v>
      </c>
      <c r="M22" s="14">
        <f t="shared" si="1"/>
        <v>-7.3108562853038128E-3</v>
      </c>
      <c r="N22" s="14">
        <f t="shared" si="2"/>
        <v>5.799664308835828E-3</v>
      </c>
      <c r="O22" s="14">
        <f t="shared" si="3"/>
        <v>1.5893001987532518E-3</v>
      </c>
      <c r="P22" s="14">
        <f t="array" ref="P22">MMULT(M22:O22,$I$9:$I$11)</f>
        <v>2.7259220652379379E-3</v>
      </c>
    </row>
    <row r="23" spans="1:16" x14ac:dyDescent="0.25">
      <c r="A23" s="4"/>
      <c r="B23" s="9">
        <v>35321</v>
      </c>
      <c r="C23" s="10">
        <v>6.665140152E-2</v>
      </c>
      <c r="D23" s="11">
        <v>680.54</v>
      </c>
      <c r="E23" s="11">
        <v>0.7733756784400051</v>
      </c>
      <c r="G23" s="21" t="str">
        <f t="array" ref="G23:G25">TRANSPOSE(H22:J22)</f>
        <v>Factor TI</v>
      </c>
      <c r="H23" s="22" t="e">
        <f t="array" aca="1" ref="H23:J25" ca="1">CorrMatrix(M8:O1383)</f>
        <v>#NAME?</v>
      </c>
      <c r="I23" s="22" t="e">
        <f ca="1"/>
        <v>#NAME?</v>
      </c>
      <c r="J23" s="22" t="e">
        <f ca="1"/>
        <v>#NAME?</v>
      </c>
      <c r="L23" s="9">
        <v>35321</v>
      </c>
      <c r="M23" s="14">
        <f t="shared" si="1"/>
        <v>-2.1516153738043831E-2</v>
      </c>
      <c r="N23" s="14">
        <f t="shared" si="2"/>
        <v>1.3990911122699901E-2</v>
      </c>
      <c r="O23" s="14">
        <f t="shared" si="3"/>
        <v>1.315601740605743E-4</v>
      </c>
      <c r="P23" s="14">
        <f t="array" ref="P23">MMULT(M23:O23,$I$9:$I$11)</f>
        <v>3.8730041279897219E-3</v>
      </c>
    </row>
    <row r="24" spans="1:16" x14ac:dyDescent="0.25">
      <c r="A24" s="4"/>
      <c r="B24" s="9">
        <v>35324</v>
      </c>
      <c r="C24" s="10">
        <v>6.6612057686000009E-2</v>
      </c>
      <c r="D24" s="11">
        <v>683.98</v>
      </c>
      <c r="E24" s="11">
        <v>0.77189305658672169</v>
      </c>
      <c r="G24" s="21" t="str">
        <v>Factor PA</v>
      </c>
      <c r="H24" s="22" t="e">
        <f ca="1"/>
        <v>#NAME?</v>
      </c>
      <c r="I24" s="22" t="e">
        <f ca="1"/>
        <v>#NAME?</v>
      </c>
      <c r="J24" s="22" t="e">
        <f ca="1"/>
        <v>#NAME?</v>
      </c>
      <c r="L24" s="9">
        <v>35324</v>
      </c>
      <c r="M24" s="14">
        <f t="shared" si="1"/>
        <v>-5.9029267356347503E-4</v>
      </c>
      <c r="N24" s="14">
        <f t="shared" si="2"/>
        <v>5.0548094160520751E-3</v>
      </c>
      <c r="O24" s="14">
        <f t="shared" si="3"/>
        <v>-1.9170784582649425E-3</v>
      </c>
      <c r="P24" s="14">
        <f t="array" ref="P24">MMULT(M24:O24,$I$9:$I$11)</f>
        <v>-3.4960902291205406E-5</v>
      </c>
    </row>
    <row r="25" spans="1:16" x14ac:dyDescent="0.25">
      <c r="A25" s="4"/>
      <c r="B25" s="9">
        <v>35325</v>
      </c>
      <c r="C25" s="10">
        <v>6.7379288672999998E-2</v>
      </c>
      <c r="D25" s="11">
        <v>682.94</v>
      </c>
      <c r="E25" s="11">
        <v>0.77434772301706623</v>
      </c>
      <c r="G25" s="21" t="str">
        <v>Factor TC</v>
      </c>
      <c r="H25" s="22" t="e">
        <f ca="1"/>
        <v>#NAME?</v>
      </c>
      <c r="I25" s="22" t="e">
        <f ca="1"/>
        <v>#NAME?</v>
      </c>
      <c r="J25" s="22" t="e">
        <f ca="1"/>
        <v>#NAME?</v>
      </c>
      <c r="L25" s="9">
        <v>35325</v>
      </c>
      <c r="M25" s="14">
        <f t="shared" si="1"/>
        <v>1.1517899516279906E-2</v>
      </c>
      <c r="N25" s="14">
        <f t="shared" si="2"/>
        <v>-1.5205122956810646E-3</v>
      </c>
      <c r="O25" s="14">
        <f t="shared" si="3"/>
        <v>3.1800602549774126E-3</v>
      </c>
      <c r="P25" s="14">
        <f t="array" ref="P25">MMULT(M25:O25,$I$9:$I$11)</f>
        <v>1.9111026526451684E-3</v>
      </c>
    </row>
    <row r="26" spans="1:16" x14ac:dyDescent="0.25">
      <c r="A26" s="4"/>
      <c r="B26" s="9">
        <v>35326</v>
      </c>
      <c r="C26" s="10">
        <v>6.7576022148000001E-2</v>
      </c>
      <c r="D26" s="11">
        <v>681.47</v>
      </c>
      <c r="E26" s="11">
        <v>0.77133071847648349</v>
      </c>
      <c r="L26" s="9">
        <v>35326</v>
      </c>
      <c r="M26" s="14">
        <f t="shared" si="1"/>
        <v>2.9197915097438631E-3</v>
      </c>
      <c r="N26" s="14">
        <f t="shared" si="2"/>
        <v>-2.1524584883005904E-3</v>
      </c>
      <c r="O26" s="14">
        <f t="shared" si="3"/>
        <v>-3.8961883026241706E-3</v>
      </c>
      <c r="P26" s="14">
        <f t="array" ref="P26">MMULT(M26:O26,$I$9:$I$11)</f>
        <v>-3.4254543270387213E-3</v>
      </c>
    </row>
    <row r="27" spans="1:16" x14ac:dyDescent="0.25">
      <c r="A27" s="4"/>
      <c r="B27" s="9">
        <v>35327</v>
      </c>
      <c r="C27" s="10">
        <v>6.7939968109000007E-2</v>
      </c>
      <c r="D27" s="11">
        <v>683</v>
      </c>
      <c r="E27" s="11">
        <v>0.77419414378734652</v>
      </c>
      <c r="G27" s="19" t="s">
        <v>47</v>
      </c>
      <c r="L27" s="9">
        <v>35327</v>
      </c>
      <c r="M27" s="14">
        <f t="shared" si="1"/>
        <v>5.3857263187662152E-3</v>
      </c>
      <c r="N27" s="14">
        <f t="shared" si="2"/>
        <v>2.2451465214903266E-3</v>
      </c>
      <c r="O27" s="14">
        <f t="shared" si="3"/>
        <v>3.7123185195044872E-3</v>
      </c>
      <c r="P27" s="14">
        <f t="array" ref="P27">MMULT(M27:O27,$I$9:$I$11)</f>
        <v>3.3162435646464346E-3</v>
      </c>
    </row>
    <row r="28" spans="1:16" x14ac:dyDescent="0.25">
      <c r="A28" s="4"/>
      <c r="B28" s="9">
        <v>35328</v>
      </c>
      <c r="C28" s="10">
        <v>6.7703900336999995E-2</v>
      </c>
      <c r="D28" s="11">
        <v>687.03</v>
      </c>
      <c r="E28" s="11">
        <v>0.77465391973404174</v>
      </c>
      <c r="L28" s="9">
        <v>35328</v>
      </c>
      <c r="M28" s="14">
        <f t="shared" si="1"/>
        <v>-3.4746523816625574E-3</v>
      </c>
      <c r="N28" s="14">
        <f t="shared" si="2"/>
        <v>5.9004392386530213E-3</v>
      </c>
      <c r="O28" s="14">
        <f t="shared" si="3"/>
        <v>5.9387680775513374E-4</v>
      </c>
      <c r="P28" s="14">
        <f t="array" ref="P28">MMULT(M28:O28,$I$9:$I$11)</f>
        <v>2.0264262826047981E-3</v>
      </c>
    </row>
    <row r="29" spans="1:16" x14ac:dyDescent="0.25">
      <c r="B29" s="9">
        <v>35331</v>
      </c>
      <c r="C29" s="10">
        <v>6.7507171631000007E-2</v>
      </c>
      <c r="D29" s="11">
        <v>686.48</v>
      </c>
      <c r="E29" s="11">
        <v>0.77388716807492974</v>
      </c>
      <c r="H29" s="20" t="str">
        <f>H22</f>
        <v>Factor TI</v>
      </c>
      <c r="I29" s="20" t="str">
        <f t="shared" ref="I29:J29" si="4">I22</f>
        <v>Factor PA</v>
      </c>
      <c r="J29" s="20" t="str">
        <f t="shared" si="4"/>
        <v>Factor TC</v>
      </c>
      <c r="L29" s="9">
        <v>35331</v>
      </c>
      <c r="M29" s="14">
        <f t="shared" si="1"/>
        <v>-2.9057219011129343E-3</v>
      </c>
      <c r="N29" s="14">
        <f t="shared" si="2"/>
        <v>-8.0054728323353253E-4</v>
      </c>
      <c r="O29" s="14">
        <f t="shared" si="3"/>
        <v>-9.8979897936257721E-4</v>
      </c>
      <c r="P29" s="14">
        <f t="array" ref="P29">MMULT(M29:O29,$I$9:$I$11)</f>
        <v>-9.3870895235648806E-4</v>
      </c>
    </row>
    <row r="30" spans="1:16" x14ac:dyDescent="0.25">
      <c r="B30" s="9">
        <v>35332</v>
      </c>
      <c r="C30" s="10">
        <v>6.6956329346000001E-2</v>
      </c>
      <c r="D30" s="11">
        <v>685.61</v>
      </c>
      <c r="E30" s="11">
        <v>0.77378530141868285</v>
      </c>
      <c r="G30" s="21" t="str">
        <f>G23</f>
        <v>Factor TI</v>
      </c>
      <c r="H30" s="22" t="e">
        <f t="array" aca="1" ref="H30:J32" ca="1">CovarMatrix(M8:O1383)</f>
        <v>#NAME?</v>
      </c>
      <c r="I30" s="22" t="e">
        <f ca="1"/>
        <v>#NAME?</v>
      </c>
      <c r="J30" s="22" t="e">
        <f ca="1"/>
        <v>#NAME?</v>
      </c>
      <c r="L30" s="9">
        <v>35332</v>
      </c>
      <c r="M30" s="14">
        <f t="shared" si="1"/>
        <v>-8.1597594994937683E-3</v>
      </c>
      <c r="N30" s="14">
        <f t="shared" si="2"/>
        <v>-1.2673348094627279E-3</v>
      </c>
      <c r="O30" s="14">
        <f t="shared" si="3"/>
        <v>-1.3162985568071495E-4</v>
      </c>
      <c r="P30" s="14">
        <f t="array" ref="P30">MMULT(M30:O30,$I$9:$I$11)</f>
        <v>-4.3822259934684369E-4</v>
      </c>
    </row>
    <row r="31" spans="1:16" x14ac:dyDescent="0.25">
      <c r="B31" s="9">
        <v>35333</v>
      </c>
      <c r="C31" s="10">
        <v>6.6346468924999999E-2</v>
      </c>
      <c r="D31" s="11">
        <v>685.83</v>
      </c>
      <c r="E31" s="11">
        <v>0.77225098622596133</v>
      </c>
      <c r="G31" s="21" t="str">
        <f t="shared" ref="G31:G32" si="5">G24</f>
        <v>Factor PA</v>
      </c>
      <c r="H31" s="22" t="e">
        <f ca="1"/>
        <v>#NAME?</v>
      </c>
      <c r="I31" s="22" t="e">
        <f ca="1"/>
        <v>#NAME?</v>
      </c>
      <c r="J31" s="22" t="e">
        <f ca="1"/>
        <v>#NAME?</v>
      </c>
      <c r="L31" s="9">
        <v>35333</v>
      </c>
      <c r="M31" s="14">
        <f t="shared" si="1"/>
        <v>-9.1083311608752826E-3</v>
      </c>
      <c r="N31" s="14">
        <f t="shared" si="2"/>
        <v>3.2088213415804034E-4</v>
      </c>
      <c r="O31" s="14">
        <f t="shared" si="3"/>
        <v>-1.9828693953070076E-3</v>
      </c>
      <c r="P31" s="14">
        <f t="array" ref="P31">MMULT(M31:O31,$I$9:$I$11)</f>
        <v>-1.3609530253980504E-3</v>
      </c>
    </row>
    <row r="32" spans="1:16" x14ac:dyDescent="0.25">
      <c r="B32" s="9">
        <v>35334</v>
      </c>
      <c r="C32" s="10">
        <v>6.5854649543999999E-2</v>
      </c>
      <c r="D32" s="11">
        <v>685.86</v>
      </c>
      <c r="E32" s="11">
        <v>0.77813138073568178</v>
      </c>
      <c r="G32" s="21" t="str">
        <f t="shared" si="5"/>
        <v>Factor TC</v>
      </c>
      <c r="H32" s="22" t="e">
        <f ca="1"/>
        <v>#NAME?</v>
      </c>
      <c r="I32" s="22" t="e">
        <f ca="1"/>
        <v>#NAME?</v>
      </c>
      <c r="J32" s="22" t="e">
        <f ca="1"/>
        <v>#NAME?</v>
      </c>
      <c r="L32" s="9">
        <v>35334</v>
      </c>
      <c r="M32" s="14">
        <f t="shared" si="1"/>
        <v>-7.412894596635855E-3</v>
      </c>
      <c r="N32" s="14">
        <f t="shared" si="2"/>
        <v>4.3742618433206815E-5</v>
      </c>
      <c r="O32" s="14">
        <f t="shared" si="3"/>
        <v>7.6146157332324105E-3</v>
      </c>
      <c r="P32" s="14">
        <f t="array" ref="P32">MMULT(M32:O32,$I$9:$I$11)</f>
        <v>5.5707972639330826E-3</v>
      </c>
    </row>
    <row r="33" spans="2:16" x14ac:dyDescent="0.25">
      <c r="B33" s="9">
        <v>35335</v>
      </c>
      <c r="C33" s="10">
        <v>6.6080889702000004E-2</v>
      </c>
      <c r="D33" s="11">
        <v>686.19</v>
      </c>
      <c r="E33" s="11">
        <v>0.77946096396211928</v>
      </c>
      <c r="L33" s="9">
        <v>35335</v>
      </c>
      <c r="M33" s="14">
        <f t="shared" si="1"/>
        <v>3.4354469967809997E-3</v>
      </c>
      <c r="N33" s="14">
        <f t="shared" si="2"/>
        <v>4.8114775610197391E-4</v>
      </c>
      <c r="O33" s="14">
        <f t="shared" si="3"/>
        <v>1.7086873237015521E-3</v>
      </c>
      <c r="P33" s="14">
        <f t="array" ref="P33">MMULT(M33:O33,$I$9:$I$11)</f>
        <v>1.3773030828071293E-3</v>
      </c>
    </row>
    <row r="34" spans="2:16" x14ac:dyDescent="0.25">
      <c r="B34" s="9">
        <v>35338</v>
      </c>
      <c r="C34" s="10">
        <v>6.6395649910000007E-2</v>
      </c>
      <c r="D34" s="11">
        <v>687.31</v>
      </c>
      <c r="E34" s="11">
        <v>0.77997219714225952</v>
      </c>
      <c r="L34" s="9">
        <v>35338</v>
      </c>
      <c r="M34" s="14">
        <f t="shared" si="1"/>
        <v>4.7632562064381379E-3</v>
      </c>
      <c r="N34" s="14">
        <f t="shared" si="2"/>
        <v>1.6322009938936066E-3</v>
      </c>
      <c r="O34" s="14">
        <f t="shared" si="3"/>
        <v>6.5588041451314361E-4</v>
      </c>
      <c r="P34" s="14">
        <f t="array" ref="P34">MMULT(M34:O34,$I$9:$I$11)</f>
        <v>9.1944605639323923E-4</v>
      </c>
    </row>
    <row r="35" spans="2:16" x14ac:dyDescent="0.25">
      <c r="B35" s="9">
        <v>35339</v>
      </c>
      <c r="C35" s="10">
        <v>6.5726780890999995E-2</v>
      </c>
      <c r="D35" s="11">
        <v>689.08</v>
      </c>
      <c r="E35" s="11">
        <v>0.78022806532613775</v>
      </c>
      <c r="L35" s="9">
        <v>35339</v>
      </c>
      <c r="M35" s="14">
        <f t="shared" si="1"/>
        <v>-1.0073988580677651E-2</v>
      </c>
      <c r="N35" s="14">
        <f t="shared" si="2"/>
        <v>2.5752571619794828E-3</v>
      </c>
      <c r="O35" s="14">
        <f t="shared" si="3"/>
        <v>3.2804782634010543E-4</v>
      </c>
      <c r="P35" s="14">
        <f t="array" ref="P35">MMULT(M35:O35,$I$9:$I$11)</f>
        <v>9.3470017342325233E-4</v>
      </c>
    </row>
    <row r="36" spans="2:16" x14ac:dyDescent="0.25">
      <c r="B36" s="9">
        <v>35340</v>
      </c>
      <c r="C36" s="10">
        <v>6.5323491095999997E-2</v>
      </c>
      <c r="D36" s="11">
        <v>694.01</v>
      </c>
      <c r="E36" s="11">
        <v>0.78084168592579106</v>
      </c>
      <c r="L36" s="9">
        <v>35340</v>
      </c>
      <c r="M36" s="14">
        <f t="shared" si="1"/>
        <v>-6.1358519241768716E-3</v>
      </c>
      <c r="N36" s="14">
        <f t="shared" si="2"/>
        <v>7.154466825332273E-3</v>
      </c>
      <c r="O36" s="14">
        <f t="shared" si="3"/>
        <v>7.8646312139096786E-4</v>
      </c>
      <c r="P36" s="14">
        <f t="array" ref="P36">MMULT(M36:O36,$I$9:$I$11)</f>
        <v>2.5055572582667459E-3</v>
      </c>
    </row>
    <row r="37" spans="2:16" x14ac:dyDescent="0.25">
      <c r="B37" s="9">
        <v>35341</v>
      </c>
      <c r="C37" s="10">
        <v>6.5333318709999991E-2</v>
      </c>
      <c r="D37" s="11">
        <v>692.78</v>
      </c>
      <c r="E37" s="11">
        <v>0.78268214536915703</v>
      </c>
      <c r="L37" s="9">
        <v>35341</v>
      </c>
      <c r="M37" s="14">
        <f t="shared" si="1"/>
        <v>1.5044532732577665E-4</v>
      </c>
      <c r="N37" s="14">
        <f t="shared" si="2"/>
        <v>-1.772308756358032E-3</v>
      </c>
      <c r="O37" s="14">
        <f t="shared" si="3"/>
        <v>2.3570199651723467E-3</v>
      </c>
      <c r="P37" s="14">
        <f t="array" ref="P37">MMULT(M37:O37,$I$9:$I$11)</f>
        <v>1.2422742576561792E-3</v>
      </c>
    </row>
    <row r="38" spans="2:16" x14ac:dyDescent="0.25">
      <c r="B38" s="9">
        <v>35342</v>
      </c>
      <c r="C38" s="10">
        <v>6.4025077819999998E-2</v>
      </c>
      <c r="D38" s="11">
        <v>701.46</v>
      </c>
      <c r="E38" s="11">
        <v>0.78217100128211958</v>
      </c>
      <c r="L38" s="9">
        <v>35342</v>
      </c>
      <c r="M38" s="14">
        <f t="shared" si="1"/>
        <v>-2.0024099737026679E-2</v>
      </c>
      <c r="N38" s="14">
        <f t="shared" si="2"/>
        <v>1.2529230058604623E-2</v>
      </c>
      <c r="O38" s="14">
        <f t="shared" si="3"/>
        <v>-6.5306726371838764E-4</v>
      </c>
      <c r="P38" s="14">
        <f t="array" ref="P38">MMULT(M38:O38,$I$9:$I$11)</f>
        <v>2.9056005843126928E-3</v>
      </c>
    </row>
    <row r="39" spans="2:16" x14ac:dyDescent="0.25">
      <c r="B39" s="9">
        <v>35345</v>
      </c>
      <c r="C39" s="10">
        <v>6.4556250571999998E-2</v>
      </c>
      <c r="D39" s="11">
        <v>703.34</v>
      </c>
      <c r="E39" s="11">
        <v>0.78258028658593137</v>
      </c>
      <c r="L39" s="9">
        <v>35345</v>
      </c>
      <c r="M39" s="14">
        <f t="shared" si="1"/>
        <v>8.2963234108568429E-3</v>
      </c>
      <c r="N39" s="14">
        <f t="shared" si="2"/>
        <v>2.6801243121490348E-3</v>
      </c>
      <c r="O39" s="14">
        <f t="shared" si="3"/>
        <v>5.2326831746629665E-4</v>
      </c>
      <c r="P39" s="14">
        <f t="array" ref="P39">MMULT(M39:O39,$I$9:$I$11)</f>
        <v>1.1055290489180706E-3</v>
      </c>
    </row>
    <row r="40" spans="2:16" x14ac:dyDescent="0.25">
      <c r="B40" s="9">
        <v>35346</v>
      </c>
      <c r="C40" s="10">
        <v>6.4625110626000001E-2</v>
      </c>
      <c r="D40" s="11">
        <v>700.64</v>
      </c>
      <c r="E40" s="11">
        <v>0.78094418317303838</v>
      </c>
      <c r="L40" s="9">
        <v>35346</v>
      </c>
      <c r="M40" s="14">
        <f t="shared" si="1"/>
        <v>1.066667493695439E-3</v>
      </c>
      <c r="N40" s="14">
        <f t="shared" si="2"/>
        <v>-3.8388261722638317E-3</v>
      </c>
      <c r="O40" s="14">
        <f t="shared" si="3"/>
        <v>-2.0906524748158795E-3</v>
      </c>
      <c r="P40" s="14">
        <f t="array" ref="P40">MMULT(M40:O40,$I$9:$I$11)</f>
        <v>-2.5625861126156173E-3</v>
      </c>
    </row>
    <row r="41" spans="2:16" x14ac:dyDescent="0.25">
      <c r="B41" s="9">
        <v>35347</v>
      </c>
      <c r="C41" s="10">
        <v>6.5048069954000004E-2</v>
      </c>
      <c r="D41" s="11">
        <v>696.74</v>
      </c>
      <c r="E41" s="11">
        <v>0.78160903259762937</v>
      </c>
      <c r="L41" s="9">
        <v>35347</v>
      </c>
      <c r="M41" s="14">
        <f t="shared" si="1"/>
        <v>6.5448139879831224E-3</v>
      </c>
      <c r="N41" s="14">
        <f t="shared" si="2"/>
        <v>-5.566339346882776E-3</v>
      </c>
      <c r="O41" s="14">
        <f t="shared" si="3"/>
        <v>8.5134051692348223E-4</v>
      </c>
      <c r="P41" s="14">
        <f t="array" ref="P41">MMULT(M41:O41,$I$9:$I$11)</f>
        <v>-8.8116410134279639E-4</v>
      </c>
    </row>
    <row r="42" spans="2:16" x14ac:dyDescent="0.25">
      <c r="B42" s="9">
        <v>35348</v>
      </c>
      <c r="C42" s="10">
        <v>6.5598912238999996E-2</v>
      </c>
      <c r="D42" s="11">
        <v>694.61</v>
      </c>
      <c r="E42" s="11">
        <v>0.78227384783478471</v>
      </c>
      <c r="L42" s="9">
        <v>35348</v>
      </c>
      <c r="M42" s="14">
        <f t="shared" si="1"/>
        <v>8.468234113472306E-3</v>
      </c>
      <c r="N42" s="14">
        <f t="shared" si="2"/>
        <v>-3.057094468524868E-3</v>
      </c>
      <c r="O42" s="14">
        <f t="shared" si="3"/>
        <v>8.5057261294152475E-4</v>
      </c>
      <c r="P42" s="14">
        <f t="array" ref="P42">MMULT(M42:O42,$I$9:$I$11)</f>
        <v>-2.0433374090585924E-4</v>
      </c>
    </row>
    <row r="43" spans="2:16" x14ac:dyDescent="0.25">
      <c r="B43" s="9">
        <v>35349</v>
      </c>
      <c r="C43" s="10">
        <v>6.4979209900000001E-2</v>
      </c>
      <c r="D43" s="11">
        <v>700.66</v>
      </c>
      <c r="E43" s="11">
        <v>0.78314248338967318</v>
      </c>
      <c r="L43" s="9">
        <v>35349</v>
      </c>
      <c r="M43" s="14">
        <f t="shared" si="1"/>
        <v>-9.4468386418086192E-3</v>
      </c>
      <c r="N43" s="14">
        <f t="shared" si="2"/>
        <v>8.7099235542245079E-3</v>
      </c>
      <c r="O43" s="14">
        <f t="shared" si="3"/>
        <v>1.1103983052644928E-3</v>
      </c>
      <c r="P43" s="14">
        <f t="array" ref="P43">MMULT(M43:O43,$I$9:$I$11)</f>
        <v>3.1619516500655961E-3</v>
      </c>
    </row>
    <row r="44" spans="2:16" x14ac:dyDescent="0.25">
      <c r="B44" s="9">
        <v>35352</v>
      </c>
      <c r="C44" s="10">
        <v>6.4979209900000001E-2</v>
      </c>
      <c r="D44" s="11">
        <v>703.54</v>
      </c>
      <c r="E44" s="11">
        <v>0.7820178756322077</v>
      </c>
      <c r="L44" s="9">
        <v>35352</v>
      </c>
      <c r="M44" s="14">
        <f t="shared" si="1"/>
        <v>0</v>
      </c>
      <c r="N44" s="14">
        <f t="shared" si="2"/>
        <v>4.1104101846829444E-3</v>
      </c>
      <c r="O44" s="14">
        <f t="shared" si="3"/>
        <v>-1.4360193468215821E-3</v>
      </c>
      <c r="P44" s="14">
        <f t="array" ref="P44">MMULT(M44:O44,$I$9:$I$11)</f>
        <v>6.1284193109270753E-5</v>
      </c>
    </row>
    <row r="45" spans="2:16" x14ac:dyDescent="0.25">
      <c r="B45" s="9">
        <v>35353</v>
      </c>
      <c r="C45" s="10">
        <v>6.5087409019000009E-2</v>
      </c>
      <c r="D45" s="11">
        <v>702.57</v>
      </c>
      <c r="E45" s="11">
        <v>0.78774497392651965</v>
      </c>
      <c r="L45" s="9">
        <v>35353</v>
      </c>
      <c r="M45" s="14">
        <f t="shared" si="1"/>
        <v>1.6651344201710216E-3</v>
      </c>
      <c r="N45" s="14">
        <f t="shared" si="2"/>
        <v>-1.3787417915114286E-3</v>
      </c>
      <c r="O45" s="14">
        <f t="shared" si="3"/>
        <v>7.3234877012011701E-3</v>
      </c>
      <c r="P45" s="14">
        <f t="array" ref="P45">MMULT(M45:O45,$I$9:$I$11)</f>
        <v>4.9742504214849784E-3</v>
      </c>
    </row>
    <row r="46" spans="2:16" x14ac:dyDescent="0.25">
      <c r="B46" s="9">
        <v>35354</v>
      </c>
      <c r="C46" s="10">
        <v>6.5195617676000003E-2</v>
      </c>
      <c r="D46" s="11">
        <v>704.41</v>
      </c>
      <c r="E46" s="11">
        <v>0.78621166418805521</v>
      </c>
      <c r="L46" s="9">
        <v>35354</v>
      </c>
      <c r="M46" s="14">
        <f t="shared" si="1"/>
        <v>1.6625128981306858E-3</v>
      </c>
      <c r="N46" s="14">
        <f t="shared" si="2"/>
        <v>2.6189561182514698E-3</v>
      </c>
      <c r="O46" s="14">
        <f t="shared" si="3"/>
        <v>-1.9464544861792499E-3</v>
      </c>
      <c r="P46" s="14">
        <f t="array" ref="P46">MMULT(M46:O46,$I$9:$I$11)</f>
        <v>-7.1398494511258669E-4</v>
      </c>
    </row>
    <row r="47" spans="2:16" x14ac:dyDescent="0.25">
      <c r="B47" s="9">
        <v>35355</v>
      </c>
      <c r="C47" s="10">
        <v>6.4556250571999998E-2</v>
      </c>
      <c r="D47" s="11">
        <v>706.99</v>
      </c>
      <c r="E47" s="11">
        <v>0.78938179640947403</v>
      </c>
      <c r="L47" s="9">
        <v>35355</v>
      </c>
      <c r="M47" s="14">
        <f t="shared" si="1"/>
        <v>-9.8069030832323989E-3</v>
      </c>
      <c r="N47" s="14">
        <f t="shared" si="2"/>
        <v>3.662639655882316E-3</v>
      </c>
      <c r="O47" s="14">
        <f t="shared" si="3"/>
        <v>4.0321612688012376E-3</v>
      </c>
      <c r="P47" s="14">
        <f t="array" ref="P47">MMULT(M47:O47,$I$9:$I$11)</f>
        <v>3.9324059188122554E-3</v>
      </c>
    </row>
    <row r="48" spans="2:16" x14ac:dyDescent="0.25">
      <c r="B48" s="9">
        <v>35356</v>
      </c>
      <c r="C48" s="10">
        <v>6.4379200934999992E-2</v>
      </c>
      <c r="D48" s="11">
        <v>710.82</v>
      </c>
      <c r="E48" s="11">
        <v>0.78902369625166346</v>
      </c>
      <c r="L48" s="9">
        <v>35356</v>
      </c>
      <c r="M48" s="14">
        <f t="shared" si="1"/>
        <v>-2.7425638173106393E-3</v>
      </c>
      <c r="N48" s="14">
        <f t="shared" si="2"/>
        <v>5.4173326355395623E-3</v>
      </c>
      <c r="O48" s="14">
        <f t="shared" si="3"/>
        <v>-4.5364633367450669E-4</v>
      </c>
      <c r="P48" s="14">
        <f t="array" ref="P48">MMULT(M48:O48,$I$9:$I$11)</f>
        <v>1.1312719535824963E-3</v>
      </c>
    </row>
    <row r="49" spans="2:16" x14ac:dyDescent="0.25">
      <c r="B49" s="9">
        <v>35359</v>
      </c>
      <c r="C49" s="10">
        <v>6.4634938240000009E-2</v>
      </c>
      <c r="D49" s="11">
        <v>709.85</v>
      </c>
      <c r="E49" s="11">
        <v>0.78554617393462223</v>
      </c>
      <c r="L49" s="9">
        <v>35359</v>
      </c>
      <c r="M49" s="14">
        <f t="shared" si="1"/>
        <v>3.972359104895018E-3</v>
      </c>
      <c r="N49" s="14">
        <f t="shared" si="2"/>
        <v>-1.3646211417799314E-3</v>
      </c>
      <c r="O49" s="14">
        <f t="shared" si="3"/>
        <v>-4.4073737373941935E-3</v>
      </c>
      <c r="P49" s="14">
        <f t="array" ref="P49">MMULT(M49:O49,$I$9:$I$11)</f>
        <v>-3.5859580488564208E-3</v>
      </c>
    </row>
    <row r="50" spans="2:16" x14ac:dyDescent="0.25">
      <c r="B50" s="9">
        <v>35360</v>
      </c>
      <c r="C50" s="10">
        <v>6.5008730887999994E-2</v>
      </c>
      <c r="D50" s="11">
        <v>706.57</v>
      </c>
      <c r="E50" s="11">
        <v>0.78493241118671997</v>
      </c>
      <c r="L50" s="9">
        <v>35360</v>
      </c>
      <c r="M50" s="14">
        <f t="shared" si="1"/>
        <v>5.7831361517208801E-3</v>
      </c>
      <c r="N50" s="14">
        <f t="shared" si="2"/>
        <v>-4.6206945129252386E-3</v>
      </c>
      <c r="O50" s="14">
        <f t="shared" si="3"/>
        <v>-7.8131975976414303E-4</v>
      </c>
      <c r="P50" s="14">
        <f t="array" ref="P50">MMULT(M50:O50,$I$9:$I$11)</f>
        <v>-1.8177900468877325E-3</v>
      </c>
    </row>
    <row r="51" spans="2:16" x14ac:dyDescent="0.25">
      <c r="B51" s="9">
        <v>35361</v>
      </c>
      <c r="C51" s="10">
        <v>6.4910359382999994E-2</v>
      </c>
      <c r="D51" s="11">
        <v>707.27</v>
      </c>
      <c r="E51" s="11">
        <v>0.77900139779812005</v>
      </c>
      <c r="L51" s="9">
        <v>35361</v>
      </c>
      <c r="M51" s="14">
        <f t="shared" si="1"/>
        <v>-1.5132045135518579E-3</v>
      </c>
      <c r="N51" s="14">
        <f t="shared" si="2"/>
        <v>9.907015582319989E-4</v>
      </c>
      <c r="O51" s="14">
        <f t="shared" si="3"/>
        <v>-7.5560816499257166E-3</v>
      </c>
      <c r="P51" s="14">
        <f t="array" ref="P51">MMULT(M51:O51,$I$9:$I$11)</f>
        <v>-5.24880835277003E-3</v>
      </c>
    </row>
    <row r="52" spans="2:16" x14ac:dyDescent="0.25">
      <c r="B52" s="9">
        <v>35362</v>
      </c>
      <c r="C52" s="10">
        <v>6.5028400420999999E-2</v>
      </c>
      <c r="D52" s="11">
        <v>702.29</v>
      </c>
      <c r="E52" s="11">
        <v>0.77864318358807194</v>
      </c>
      <c r="L52" s="9">
        <v>35362</v>
      </c>
      <c r="M52" s="14">
        <f t="shared" si="1"/>
        <v>1.8185238707970619E-3</v>
      </c>
      <c r="N52" s="14">
        <f t="shared" si="2"/>
        <v>-7.0411582563942865E-3</v>
      </c>
      <c r="O52" s="14">
        <f t="shared" si="3"/>
        <v>-4.5983769870072688E-4</v>
      </c>
      <c r="P52" s="14">
        <f t="array" ref="P52">MMULT(M52:O52,$I$9:$I$11)</f>
        <v>-2.2365184466451075E-3</v>
      </c>
    </row>
    <row r="53" spans="2:16" x14ac:dyDescent="0.25">
      <c r="B53" s="9">
        <v>35363</v>
      </c>
      <c r="C53" s="10">
        <v>6.4684119225000003E-2</v>
      </c>
      <c r="D53" s="11">
        <v>700.92</v>
      </c>
      <c r="E53" s="11">
        <v>0.77900139779812005</v>
      </c>
      <c r="L53" s="9">
        <v>35363</v>
      </c>
      <c r="M53" s="14">
        <f t="shared" si="1"/>
        <v>-5.2943205395040716E-3</v>
      </c>
      <c r="N53" s="14">
        <f t="shared" si="2"/>
        <v>-1.950761081604524E-3</v>
      </c>
      <c r="O53" s="14">
        <f t="shared" si="3"/>
        <v>4.6004924668752167E-4</v>
      </c>
      <c r="P53" s="14">
        <f t="array" ref="P53">MMULT(M53:O53,$I$9:$I$11)</f>
        <v>-1.9076851240413113E-4</v>
      </c>
    </row>
    <row r="54" spans="2:16" x14ac:dyDescent="0.25">
      <c r="B54" s="9">
        <v>35366</v>
      </c>
      <c r="C54" s="10">
        <v>6.4831671714999997E-2</v>
      </c>
      <c r="D54" s="11">
        <v>697.26</v>
      </c>
      <c r="E54" s="11">
        <v>0.77741565468075158</v>
      </c>
      <c r="L54" s="9">
        <v>35366</v>
      </c>
      <c r="M54" s="14">
        <f t="shared" si="1"/>
        <v>2.2811238951363499E-3</v>
      </c>
      <c r="N54" s="14">
        <f t="shared" si="2"/>
        <v>-5.2217086115390332E-3</v>
      </c>
      <c r="O54" s="14">
        <f t="shared" si="3"/>
        <v>-2.0356101052586562E-3</v>
      </c>
      <c r="P54" s="14">
        <f t="array" ref="P54">MMULT(M54:O54,$I$9:$I$11)</f>
        <v>-2.8957231824959231E-3</v>
      </c>
    </row>
    <row r="55" spans="2:16" x14ac:dyDescent="0.25">
      <c r="B55" s="9">
        <v>35367</v>
      </c>
      <c r="C55" s="10">
        <v>6.3346371651000002E-2</v>
      </c>
      <c r="D55" s="11">
        <v>701.5</v>
      </c>
      <c r="E55" s="11">
        <v>0.77230231880353017</v>
      </c>
      <c r="L55" s="9">
        <v>35367</v>
      </c>
      <c r="M55" s="14">
        <f t="shared" si="1"/>
        <v>-2.2910099719923527E-2</v>
      </c>
      <c r="N55" s="14">
        <f t="shared" si="2"/>
        <v>6.0809454149097775E-3</v>
      </c>
      <c r="O55" s="14">
        <f t="shared" si="3"/>
        <v>-6.5773513132060257E-3</v>
      </c>
      <c r="P55" s="14">
        <f t="array" ref="P55">MMULT(M55:O55,$I$9:$I$11)</f>
        <v>-3.1601416663791159E-3</v>
      </c>
    </row>
    <row r="56" spans="2:16" x14ac:dyDescent="0.25">
      <c r="B56" s="9">
        <v>35368</v>
      </c>
      <c r="C56" s="10">
        <v>6.3326702117999997E-2</v>
      </c>
      <c r="D56" s="11">
        <v>700.9</v>
      </c>
      <c r="E56" s="11">
        <v>0.77076799514572159</v>
      </c>
      <c r="L56" s="9">
        <v>35368</v>
      </c>
      <c r="M56" s="14">
        <f t="shared" si="1"/>
        <v>-3.1050765004148051E-4</v>
      </c>
      <c r="N56" s="14">
        <f t="shared" si="2"/>
        <v>-8.5531004989314319E-4</v>
      </c>
      <c r="O56" s="14">
        <f t="shared" si="3"/>
        <v>-1.9866878817424993E-3</v>
      </c>
      <c r="P56" s="14">
        <f t="array" ref="P56">MMULT(M56:O56,$I$9:$I$11)</f>
        <v>-1.681263279661994E-3</v>
      </c>
    </row>
    <row r="57" spans="2:16" x14ac:dyDescent="0.25">
      <c r="B57" s="9">
        <v>35369</v>
      </c>
      <c r="C57" s="10">
        <v>6.3002099990999996E-2</v>
      </c>
      <c r="D57" s="11">
        <v>705.27</v>
      </c>
      <c r="E57" s="11">
        <v>0.77378530141868285</v>
      </c>
      <c r="L57" s="9">
        <v>35369</v>
      </c>
      <c r="M57" s="14">
        <f t="shared" si="1"/>
        <v>-5.1258334342937362E-3</v>
      </c>
      <c r="N57" s="14">
        <f t="shared" si="2"/>
        <v>6.2348409188186515E-3</v>
      </c>
      <c r="O57" s="14">
        <f t="shared" si="3"/>
        <v>3.9146750928478191E-3</v>
      </c>
      <c r="P57" s="14">
        <f t="array" ref="P57">MMULT(M57:O57,$I$9:$I$11)</f>
        <v>4.5410226349413291E-3</v>
      </c>
    </row>
    <row r="58" spans="2:16" x14ac:dyDescent="0.25">
      <c r="B58" s="9">
        <v>35370</v>
      </c>
      <c r="C58" s="10">
        <v>6.3080787659000007E-2</v>
      </c>
      <c r="D58" s="11">
        <v>703.77</v>
      </c>
      <c r="E58" s="11">
        <v>0.7754727285960461</v>
      </c>
      <c r="L58" s="9">
        <v>35370</v>
      </c>
      <c r="M58" s="14">
        <f t="shared" si="1"/>
        <v>1.2489689710541985E-3</v>
      </c>
      <c r="N58" s="14">
        <f t="shared" si="2"/>
        <v>-2.1268450380704795E-3</v>
      </c>
      <c r="O58" s="14">
        <f t="shared" si="3"/>
        <v>2.1807433848504143E-3</v>
      </c>
      <c r="P58" s="14">
        <f t="array" ref="P58">MMULT(M58:O58,$I$9:$I$11)</f>
        <v>1.0178750282673194E-3</v>
      </c>
    </row>
    <row r="59" spans="2:16" x14ac:dyDescent="0.25">
      <c r="B59" s="9">
        <v>35373</v>
      </c>
      <c r="C59" s="10">
        <v>6.2933239936999993E-2</v>
      </c>
      <c r="D59" s="11">
        <v>706.73</v>
      </c>
      <c r="E59" s="11">
        <v>0.77378530141868285</v>
      </c>
      <c r="L59" s="9">
        <v>35373</v>
      </c>
      <c r="M59" s="14">
        <f t="shared" si="1"/>
        <v>-2.3390278954286137E-3</v>
      </c>
      <c r="N59" s="14">
        <f t="shared" si="2"/>
        <v>4.2059195475794287E-3</v>
      </c>
      <c r="O59" s="14">
        <f t="shared" si="3"/>
        <v>-2.1759980914071164E-3</v>
      </c>
      <c r="P59" s="14">
        <f t="array" ref="P59">MMULT(M59:O59,$I$9:$I$11)</f>
        <v>-4.5314777515877646E-4</v>
      </c>
    </row>
    <row r="60" spans="2:16" x14ac:dyDescent="0.25">
      <c r="B60" s="9">
        <v>35374</v>
      </c>
      <c r="C60" s="10">
        <v>6.2293882370000005E-2</v>
      </c>
      <c r="D60" s="11">
        <v>714.14</v>
      </c>
      <c r="E60" s="11">
        <v>0.77562566808424815</v>
      </c>
      <c r="L60" s="9">
        <v>35374</v>
      </c>
      <c r="M60" s="14">
        <f t="shared" si="1"/>
        <v>-1.0159298450866716E-2</v>
      </c>
      <c r="N60" s="14">
        <f t="shared" si="2"/>
        <v>1.0484909371329953E-2</v>
      </c>
      <c r="O60" s="14">
        <f t="shared" si="3"/>
        <v>2.3783944489397246E-3</v>
      </c>
      <c r="P60" s="14">
        <f t="array" ref="P60">MMULT(M60:O60,$I$9:$I$11)</f>
        <v>4.5668137592098828E-3</v>
      </c>
    </row>
    <row r="61" spans="2:16" x14ac:dyDescent="0.25">
      <c r="B61" s="9">
        <v>35375</v>
      </c>
      <c r="C61" s="10">
        <v>6.2402081489999997E-2</v>
      </c>
      <c r="D61" s="11">
        <v>724.59</v>
      </c>
      <c r="E61" s="11">
        <v>0.77542090204031788</v>
      </c>
      <c r="L61" s="9">
        <v>35375</v>
      </c>
      <c r="M61" s="14">
        <f t="shared" si="1"/>
        <v>1.7369140577454534E-3</v>
      </c>
      <c r="N61" s="14">
        <f t="shared" si="2"/>
        <v>1.463298512896638E-2</v>
      </c>
      <c r="O61" s="14">
        <f t="shared" si="3"/>
        <v>-2.6400111852409314E-4</v>
      </c>
      <c r="P61" s="14">
        <f t="array" ref="P61">MMULT(M61:O61,$I$9:$I$11)</f>
        <v>3.757560882033439E-3</v>
      </c>
    </row>
    <row r="62" spans="2:16" x14ac:dyDescent="0.25">
      <c r="B62" s="9">
        <v>35376</v>
      </c>
      <c r="C62" s="10">
        <v>6.1949610709999998E-2</v>
      </c>
      <c r="D62" s="11">
        <v>727.65</v>
      </c>
      <c r="E62" s="11">
        <v>0.77102367018981632</v>
      </c>
      <c r="L62" s="9">
        <v>35376</v>
      </c>
      <c r="M62" s="14">
        <f t="shared" si="1"/>
        <v>-7.2508924253192886E-3</v>
      </c>
      <c r="N62" s="14">
        <f t="shared" si="2"/>
        <v>4.2230778785243839E-3</v>
      </c>
      <c r="O62" s="14">
        <f t="shared" si="3"/>
        <v>-5.6707677584282301E-3</v>
      </c>
      <c r="P62" s="14">
        <f t="array" ref="P62">MMULT(M62:O62,$I$9:$I$11)</f>
        <v>-2.9998440566859855E-3</v>
      </c>
    </row>
    <row r="63" spans="2:16" x14ac:dyDescent="0.25">
      <c r="B63" s="9">
        <v>35377</v>
      </c>
      <c r="C63" s="10">
        <v>6.1998791695E-2</v>
      </c>
      <c r="D63" s="11">
        <v>730.82</v>
      </c>
      <c r="E63" s="11">
        <v>0.77005188936209523</v>
      </c>
      <c r="L63" s="9">
        <v>35377</v>
      </c>
      <c r="M63" s="14">
        <f t="shared" si="1"/>
        <v>7.93886909640662E-4</v>
      </c>
      <c r="N63" s="14">
        <f t="shared" si="2"/>
        <v>4.3564900707759868E-3</v>
      </c>
      <c r="O63" s="14">
        <f t="shared" si="3"/>
        <v>-1.2603774245761867E-3</v>
      </c>
      <c r="P63" s="14">
        <f t="array" ref="P63">MMULT(M63:O63,$I$9:$I$11)</f>
        <v>2.559414137579967E-4</v>
      </c>
    </row>
    <row r="64" spans="2:16" x14ac:dyDescent="0.25">
      <c r="B64" s="9">
        <v>35380</v>
      </c>
      <c r="C64" s="10">
        <v>6.1998791695E-2</v>
      </c>
      <c r="D64" s="11">
        <v>731.87</v>
      </c>
      <c r="E64" s="11">
        <v>0.76652428636462466</v>
      </c>
      <c r="L64" s="9">
        <v>35380</v>
      </c>
      <c r="M64" s="14">
        <f t="shared" si="1"/>
        <v>0</v>
      </c>
      <c r="N64" s="14">
        <f t="shared" si="2"/>
        <v>1.436742289482984E-3</v>
      </c>
      <c r="O64" s="14">
        <f t="shared" si="3"/>
        <v>-4.5809938865195576E-3</v>
      </c>
      <c r="P64" s="14">
        <f t="array" ref="P64">MMULT(M64:O64,$I$9:$I$11)</f>
        <v>-2.9564573035668123E-3</v>
      </c>
    </row>
    <row r="65" spans="2:16" x14ac:dyDescent="0.25">
      <c r="B65" s="9">
        <v>35381</v>
      </c>
      <c r="C65" s="10">
        <v>6.1379089354999999E-2</v>
      </c>
      <c r="D65" s="11">
        <v>729.56</v>
      </c>
      <c r="E65" s="11">
        <v>0.76657486041697653</v>
      </c>
      <c r="L65" s="9">
        <v>35381</v>
      </c>
      <c r="M65" s="14">
        <f t="shared" si="1"/>
        <v>-9.9953938303926071E-3</v>
      </c>
      <c r="N65" s="14">
        <f t="shared" si="2"/>
        <v>-3.1562982496892156E-3</v>
      </c>
      <c r="O65" s="14">
        <f t="shared" si="3"/>
        <v>6.5978408318567716E-5</v>
      </c>
      <c r="P65" s="14">
        <f t="array" ref="P65">MMULT(M65:O65,$I$9:$I$11)</f>
        <v>-8.0390125377151486E-4</v>
      </c>
    </row>
    <row r="66" spans="2:16" x14ac:dyDescent="0.25">
      <c r="B66" s="9">
        <v>35382</v>
      </c>
      <c r="C66" s="10">
        <v>6.1506972312999994E-2</v>
      </c>
      <c r="D66" s="11">
        <v>731.13</v>
      </c>
      <c r="E66" s="11">
        <v>0.77051248961149021</v>
      </c>
      <c r="L66" s="9">
        <v>35382</v>
      </c>
      <c r="M66" s="14">
        <f t="shared" si="1"/>
        <v>2.0834938957852156E-3</v>
      </c>
      <c r="N66" s="14">
        <f t="shared" si="2"/>
        <v>2.151982016558085E-3</v>
      </c>
      <c r="O66" s="14">
        <f t="shared" si="3"/>
        <v>5.1366531800582926E-3</v>
      </c>
      <c r="P66" s="14">
        <f t="array" ref="P66">MMULT(M66:O66,$I$9:$I$11)</f>
        <v>4.3309170441795143E-3</v>
      </c>
    </row>
    <row r="67" spans="2:16" x14ac:dyDescent="0.25">
      <c r="B67" s="9">
        <v>35383</v>
      </c>
      <c r="C67" s="10">
        <v>6.1044659614999996E-2</v>
      </c>
      <c r="D67" s="11">
        <v>735.88</v>
      </c>
      <c r="E67" s="11">
        <v>0.77179057802407525</v>
      </c>
      <c r="L67" s="9">
        <v>35383</v>
      </c>
      <c r="M67" s="14">
        <f t="shared" si="1"/>
        <v>-7.5164274978023471E-3</v>
      </c>
      <c r="N67" s="14">
        <f t="shared" si="2"/>
        <v>6.4967926360566253E-3</v>
      </c>
      <c r="O67" s="14">
        <f t="shared" si="3"/>
        <v>1.6587510648002901E-3</v>
      </c>
      <c r="P67" s="14">
        <f t="array" ref="P67">MMULT(M67:O67,$I$9:$I$11)</f>
        <v>2.9648195417957459E-3</v>
      </c>
    </row>
    <row r="68" spans="2:16" x14ac:dyDescent="0.25">
      <c r="B68" s="9">
        <v>35384</v>
      </c>
      <c r="C68" s="10">
        <v>6.1270899773000001E-2</v>
      </c>
      <c r="D68" s="11">
        <v>737.62</v>
      </c>
      <c r="E68" s="11">
        <v>0.7712795149720042</v>
      </c>
      <c r="L68" s="9">
        <v>35384</v>
      </c>
      <c r="M68" s="14">
        <f t="shared" si="1"/>
        <v>3.7061416908026334E-3</v>
      </c>
      <c r="N68" s="14">
        <f t="shared" si="2"/>
        <v>2.3645159536880289E-3</v>
      </c>
      <c r="O68" s="14">
        <f t="shared" si="3"/>
        <v>-6.621784025654387E-4</v>
      </c>
      <c r="P68" s="14">
        <f t="array" ref="P68">MMULT(M68:O68,$I$9:$I$11)</f>
        <v>1.5490223429568295E-4</v>
      </c>
    </row>
    <row r="69" spans="2:16" x14ac:dyDescent="0.25">
      <c r="B69" s="9">
        <v>35387</v>
      </c>
      <c r="C69" s="10">
        <v>6.1457791328000007E-2</v>
      </c>
      <c r="D69" s="11">
        <v>737.02</v>
      </c>
      <c r="E69" s="11">
        <v>0.76790450405443067</v>
      </c>
      <c r="L69" s="9">
        <v>35387</v>
      </c>
      <c r="M69" s="14">
        <f t="shared" si="1"/>
        <v>3.0502498852214011E-3</v>
      </c>
      <c r="N69" s="14">
        <f t="shared" si="2"/>
        <v>-8.1342696781538937E-4</v>
      </c>
      <c r="O69" s="14">
        <f t="shared" si="3"/>
        <v>-4.3758596618451717E-3</v>
      </c>
      <c r="P69" s="14">
        <f t="array" ref="P69">MMULT(M69:O69,$I$9:$I$11)</f>
        <v>-3.4141521249084709E-3</v>
      </c>
    </row>
    <row r="70" spans="2:16" x14ac:dyDescent="0.25">
      <c r="B70" s="9">
        <v>35388</v>
      </c>
      <c r="C70" s="10">
        <v>6.1152858734000004E-2</v>
      </c>
      <c r="D70" s="11">
        <v>742.16</v>
      </c>
      <c r="E70" s="11">
        <v>0.76846643153292171</v>
      </c>
      <c r="L70" s="9">
        <v>35388</v>
      </c>
      <c r="M70" s="14">
        <f t="shared" si="1"/>
        <v>-4.9616588460293931E-3</v>
      </c>
      <c r="N70" s="14">
        <f t="shared" si="2"/>
        <v>6.9740305554801818E-3</v>
      </c>
      <c r="O70" s="14">
        <f t="shared" si="3"/>
        <v>7.3176739493541199E-4</v>
      </c>
      <c r="P70" s="14">
        <f t="array" ref="P70">MMULT(M70:O70,$I$9:$I$11)</f>
        <v>2.4169168544884096E-3</v>
      </c>
    </row>
    <row r="71" spans="2:16" x14ac:dyDescent="0.25">
      <c r="B71" s="9">
        <v>35389</v>
      </c>
      <c r="C71" s="10">
        <v>6.0788908005000003E-2</v>
      </c>
      <c r="D71" s="11">
        <v>743.95</v>
      </c>
      <c r="E71" s="11">
        <v>0.76585959913913881</v>
      </c>
      <c r="L71" s="9">
        <v>35389</v>
      </c>
      <c r="M71" s="14">
        <f t="shared" si="1"/>
        <v>-5.9514916642424698E-3</v>
      </c>
      <c r="N71" s="14">
        <f t="shared" si="2"/>
        <v>2.4118788401423785E-3</v>
      </c>
      <c r="O71" s="14">
        <f t="shared" si="3"/>
        <v>-3.3922527866088181E-3</v>
      </c>
      <c r="P71" s="14">
        <f t="array" ref="P71">MMULT(M71:O71,$I$9:$I$11)</f>
        <v>-1.8253804804530083E-3</v>
      </c>
    </row>
    <row r="72" spans="2:16" x14ac:dyDescent="0.25">
      <c r="B72" s="9">
        <v>35390</v>
      </c>
      <c r="C72" s="10">
        <v>6.0897111892999997E-2</v>
      </c>
      <c r="D72" s="11">
        <v>742.75</v>
      </c>
      <c r="E72" s="11">
        <v>0.76652428636462466</v>
      </c>
      <c r="L72" s="9">
        <v>35390</v>
      </c>
      <c r="M72" s="14">
        <f t="shared" si="1"/>
        <v>1.7799939421694333E-3</v>
      </c>
      <c r="N72" s="14">
        <f t="shared" si="2"/>
        <v>-1.6130116271255712E-3</v>
      </c>
      <c r="O72" s="14">
        <f t="shared" si="3"/>
        <v>8.6789696993161414E-4</v>
      </c>
      <c r="P72" s="14">
        <f t="array" ref="P72">MMULT(M72:O72,$I$9:$I$11)</f>
        <v>1.9815561587334558E-4</v>
      </c>
    </row>
    <row r="73" spans="2:16" x14ac:dyDescent="0.25">
      <c r="B73" s="9">
        <v>35391</v>
      </c>
      <c r="C73" s="10">
        <v>6.0956130028000002E-2</v>
      </c>
      <c r="D73" s="11">
        <v>748.73</v>
      </c>
      <c r="E73" s="11">
        <v>0.76821125338462393</v>
      </c>
      <c r="L73" s="9">
        <v>35391</v>
      </c>
      <c r="M73" s="14">
        <f t="shared" ref="M73:M136" si="6">C73/C72-1</f>
        <v>9.6914505738299184E-4</v>
      </c>
      <c r="N73" s="14">
        <f t="shared" ref="N73:N136" si="7">D73/D72-1</f>
        <v>8.051161225176795E-3</v>
      </c>
      <c r="O73" s="14">
        <f t="shared" ref="O73:O136" si="8">E73/E72-1</f>
        <v>2.2008004834392914E-3</v>
      </c>
      <c r="P73" s="14">
        <f t="array" ref="P73">MMULT(M73:O73,$I$9:$I$11)</f>
        <v>3.7801527133232752E-3</v>
      </c>
    </row>
    <row r="74" spans="2:16" x14ac:dyDescent="0.25">
      <c r="B74" s="9">
        <v>35394</v>
      </c>
      <c r="C74" s="10">
        <v>6.0857768058999999E-2</v>
      </c>
      <c r="D74" s="11">
        <v>757.03</v>
      </c>
      <c r="E74" s="11">
        <v>0.77685344556777447</v>
      </c>
      <c r="L74" s="9">
        <v>35394</v>
      </c>
      <c r="M74" s="14">
        <f t="shared" si="6"/>
        <v>-1.6136518009726153E-3</v>
      </c>
      <c r="N74" s="14">
        <f t="shared" si="7"/>
        <v>1.1085438008360704E-2</v>
      </c>
      <c r="O74" s="14">
        <f t="shared" si="8"/>
        <v>1.1249759939176096E-2</v>
      </c>
      <c r="P74" s="14">
        <f t="array" ref="P74">MMULT(M74:O74,$I$9:$I$11)</f>
        <v>1.1205399904075927E-2</v>
      </c>
    </row>
    <row r="75" spans="2:16" x14ac:dyDescent="0.25">
      <c r="B75" s="9">
        <v>35395</v>
      </c>
      <c r="C75" s="10">
        <v>6.0897111892999997E-2</v>
      </c>
      <c r="D75" s="11">
        <v>755.96</v>
      </c>
      <c r="E75" s="11">
        <v>0.78114816732792791</v>
      </c>
      <c r="L75" s="9">
        <v>35395</v>
      </c>
      <c r="M75" s="14">
        <f t="shared" si="6"/>
        <v>6.4648828333391251E-4</v>
      </c>
      <c r="N75" s="14">
        <f t="shared" si="7"/>
        <v>-1.4134182264903261E-3</v>
      </c>
      <c r="O75" s="14">
        <f t="shared" si="8"/>
        <v>5.5283551674467635E-3</v>
      </c>
      <c r="P75" s="14">
        <f t="array" ref="P75">MMULT(M75:O75,$I$9:$I$11)</f>
        <v>3.65436725917159E-3</v>
      </c>
    </row>
    <row r="76" spans="2:16" x14ac:dyDescent="0.25">
      <c r="B76" s="9">
        <v>35396</v>
      </c>
      <c r="C76" s="10">
        <v>6.0906949043000001E-2</v>
      </c>
      <c r="D76" s="11">
        <v>755</v>
      </c>
      <c r="E76" s="11">
        <v>0.78038165226467637</v>
      </c>
      <c r="L76" s="9">
        <v>35396</v>
      </c>
      <c r="M76" s="14">
        <f t="shared" si="6"/>
        <v>1.6153721735268078E-4</v>
      </c>
      <c r="N76" s="14">
        <f t="shared" si="7"/>
        <v>-1.2699084607651345E-3</v>
      </c>
      <c r="O76" s="14">
        <f t="shared" si="8"/>
        <v>-9.8126718503810384E-4</v>
      </c>
      <c r="P76" s="14">
        <f t="array" ref="P76">MMULT(M76:O76,$I$9:$I$11)</f>
        <v>-1.059188233428131E-3</v>
      </c>
    </row>
    <row r="77" spans="2:16" x14ac:dyDescent="0.25">
      <c r="B77" s="9">
        <v>35397</v>
      </c>
      <c r="C77" s="10">
        <v>6.0906949043000001E-2</v>
      </c>
      <c r="D77" s="11">
        <v>755</v>
      </c>
      <c r="E77" s="11">
        <v>0.78319403113004582</v>
      </c>
      <c r="L77" s="9">
        <v>35397</v>
      </c>
      <c r="M77" s="14">
        <f t="shared" si="6"/>
        <v>0</v>
      </c>
      <c r="N77" s="14">
        <f t="shared" si="7"/>
        <v>0</v>
      </c>
      <c r="O77" s="14">
        <f t="shared" si="8"/>
        <v>3.6038505738926752E-3</v>
      </c>
      <c r="P77" s="14">
        <f t="array" ref="P77">MMULT(M77:O77,$I$9:$I$11)</f>
        <v>2.6309619450872531E-3</v>
      </c>
    </row>
    <row r="78" spans="2:16" x14ac:dyDescent="0.25">
      <c r="B78" s="9">
        <v>35398</v>
      </c>
      <c r="C78" s="10">
        <v>6.0080690384000005E-2</v>
      </c>
      <c r="D78" s="11">
        <v>757.02</v>
      </c>
      <c r="E78" s="11">
        <v>0.78600620571298041</v>
      </c>
      <c r="L78" s="9">
        <v>35398</v>
      </c>
      <c r="M78" s="14">
        <f t="shared" si="6"/>
        <v>-1.3565917715180009E-2</v>
      </c>
      <c r="N78" s="14">
        <f t="shared" si="7"/>
        <v>2.6754966887416742E-3</v>
      </c>
      <c r="O78" s="14">
        <f t="shared" si="8"/>
        <v>3.5906486402570437E-3</v>
      </c>
      <c r="P78" s="14">
        <f t="array" ref="P78">MMULT(M78:O78,$I$9:$I$11)</f>
        <v>3.3435959645139708E-3</v>
      </c>
    </row>
    <row r="79" spans="2:16" x14ac:dyDescent="0.25">
      <c r="B79" s="9">
        <v>35401</v>
      </c>
      <c r="C79" s="10">
        <v>6.0247907638999995E-2</v>
      </c>
      <c r="D79" s="11">
        <v>756.56</v>
      </c>
      <c r="E79" s="11">
        <v>0.78871701175393005</v>
      </c>
      <c r="L79" s="9">
        <v>35401</v>
      </c>
      <c r="M79" s="14">
        <f t="shared" si="6"/>
        <v>2.7832112768884087E-3</v>
      </c>
      <c r="N79" s="14">
        <f t="shared" si="7"/>
        <v>-6.0764576893612698E-4</v>
      </c>
      <c r="O79" s="14">
        <f t="shared" si="8"/>
        <v>3.4488354178967562E-3</v>
      </c>
      <c r="P79" s="14">
        <f t="array" ref="P79">MMULT(M79:O79,$I$9:$I$11)</f>
        <v>2.3537554919357737E-3</v>
      </c>
    </row>
    <row r="80" spans="2:16" x14ac:dyDescent="0.25">
      <c r="B80" s="9">
        <v>35402</v>
      </c>
      <c r="C80" s="10">
        <v>6.0139708518999996E-2</v>
      </c>
      <c r="D80" s="11">
        <v>748.28</v>
      </c>
      <c r="E80" s="11">
        <v>0.80104016905139552</v>
      </c>
      <c r="L80" s="9">
        <v>35402</v>
      </c>
      <c r="M80" s="14">
        <f t="shared" si="6"/>
        <v>-1.7958983845267618E-3</v>
      </c>
      <c r="N80" s="14">
        <f t="shared" si="7"/>
        <v>-1.0944274082690053E-2</v>
      </c>
      <c r="O80" s="14">
        <f t="shared" si="8"/>
        <v>1.5624307722311714E-2</v>
      </c>
      <c r="P80" s="14">
        <f t="array" ref="P80">MMULT(M80:O80,$I$9:$I$11)</f>
        <v>8.4519040414196347E-3</v>
      </c>
    </row>
    <row r="81" spans="2:16" x14ac:dyDescent="0.25">
      <c r="B81" s="9">
        <v>35403</v>
      </c>
      <c r="C81" s="10">
        <v>6.0700378417999995E-2</v>
      </c>
      <c r="D81" s="11">
        <v>745.1</v>
      </c>
      <c r="E81" s="11">
        <v>0.79909731793421457</v>
      </c>
      <c r="L81" s="9">
        <v>35403</v>
      </c>
      <c r="M81" s="14">
        <f t="shared" si="6"/>
        <v>9.3227904292696451E-3</v>
      </c>
      <c r="N81" s="14">
        <f t="shared" si="7"/>
        <v>-4.2497460843533563E-3</v>
      </c>
      <c r="O81" s="14">
        <f t="shared" si="8"/>
        <v>-2.425410350496815E-3</v>
      </c>
      <c r="P81" s="14">
        <f t="array" ref="P81">MMULT(M81:O81,$I$9:$I$11)</f>
        <v>-2.9179045464132964E-3</v>
      </c>
    </row>
    <row r="82" spans="2:16" x14ac:dyDescent="0.25">
      <c r="B82" s="9">
        <v>35404</v>
      </c>
      <c r="C82" s="10">
        <v>6.1713528633000003E-2</v>
      </c>
      <c r="D82" s="11">
        <v>744.38</v>
      </c>
      <c r="E82" s="11">
        <v>0.7950062667796014</v>
      </c>
      <c r="L82" s="9">
        <v>35404</v>
      </c>
      <c r="M82" s="14">
        <f t="shared" si="6"/>
        <v>1.6691003275517868E-2</v>
      </c>
      <c r="N82" s="14">
        <f t="shared" si="7"/>
        <v>-9.6631324654417039E-4</v>
      </c>
      <c r="O82" s="14">
        <f t="shared" si="8"/>
        <v>-5.119590646592509E-3</v>
      </c>
      <c r="P82" s="14">
        <f t="array" ref="P82">MMULT(M82:O82,$I$9:$I$11)</f>
        <v>-3.9983797994909689E-3</v>
      </c>
    </row>
    <row r="83" spans="2:16" x14ac:dyDescent="0.25">
      <c r="B83" s="9">
        <v>35405</v>
      </c>
      <c r="C83" s="10">
        <v>6.1998791695E-2</v>
      </c>
      <c r="D83" s="11">
        <v>739.6</v>
      </c>
      <c r="E83" s="11">
        <v>0.78769400887093832</v>
      </c>
      <c r="L83" s="9">
        <v>35405</v>
      </c>
      <c r="M83" s="14">
        <f t="shared" si="6"/>
        <v>4.6223748393388053E-3</v>
      </c>
      <c r="N83" s="14">
        <f t="shared" si="7"/>
        <v>-6.421451409226453E-3</v>
      </c>
      <c r="O83" s="14">
        <f t="shared" si="8"/>
        <v>-9.1977361867642271E-3</v>
      </c>
      <c r="P83" s="14">
        <f t="array" ref="P83">MMULT(M83:O83,$I$9:$I$11)</f>
        <v>-8.4482556422713385E-3</v>
      </c>
    </row>
    <row r="84" spans="2:16" x14ac:dyDescent="0.25">
      <c r="B84" s="9">
        <v>35408</v>
      </c>
      <c r="C84" s="10">
        <v>6.1546311377999999E-2</v>
      </c>
      <c r="D84" s="11">
        <v>749.76</v>
      </c>
      <c r="E84" s="11">
        <v>0.79597773816657535</v>
      </c>
      <c r="L84" s="9">
        <v>35408</v>
      </c>
      <c r="M84" s="14">
        <f t="shared" si="6"/>
        <v>-7.2982118623530212E-3</v>
      </c>
      <c r="N84" s="14">
        <f t="shared" si="7"/>
        <v>1.3737155219037289E-2</v>
      </c>
      <c r="O84" s="14">
        <f t="shared" si="8"/>
        <v>1.0516430495022711E-2</v>
      </c>
      <c r="P84" s="14">
        <f t="array" ref="P84">MMULT(M84:O84,$I$9:$I$11)</f>
        <v>1.1385891199971344E-2</v>
      </c>
    </row>
    <row r="85" spans="2:16" x14ac:dyDescent="0.25">
      <c r="B85" s="9">
        <v>35409</v>
      </c>
      <c r="C85" s="10">
        <v>6.1644678115999996E-2</v>
      </c>
      <c r="D85" s="11">
        <v>747.54</v>
      </c>
      <c r="E85" s="11">
        <v>0.79459735693241673</v>
      </c>
      <c r="L85" s="9">
        <v>35409</v>
      </c>
      <c r="M85" s="14">
        <f t="shared" si="6"/>
        <v>1.5982556191849184E-3</v>
      </c>
      <c r="N85" s="14">
        <f t="shared" si="7"/>
        <v>-2.9609475032010835E-3</v>
      </c>
      <c r="O85" s="14">
        <f t="shared" si="8"/>
        <v>-1.7341957795681262E-3</v>
      </c>
      <c r="P85" s="14">
        <f t="array" ref="P85">MMULT(M85:O85,$I$9:$I$11)</f>
        <v>-2.065367335607647E-3</v>
      </c>
    </row>
    <row r="86" spans="2:16" x14ac:dyDescent="0.25">
      <c r="B86" s="9">
        <v>35410</v>
      </c>
      <c r="C86" s="10">
        <v>6.3031611442999999E-2</v>
      </c>
      <c r="D86" s="11">
        <v>740.73</v>
      </c>
      <c r="E86" s="11">
        <v>0.78810309875713824</v>
      </c>
      <c r="L86" s="9">
        <v>35410</v>
      </c>
      <c r="M86" s="14">
        <f t="shared" si="6"/>
        <v>2.2498833141607832E-2</v>
      </c>
      <c r="N86" s="14">
        <f t="shared" si="7"/>
        <v>-9.109880407737303E-3</v>
      </c>
      <c r="O86" s="14">
        <f t="shared" si="8"/>
        <v>-8.1730175901287838E-3</v>
      </c>
      <c r="P86" s="14">
        <f t="array" ref="P86">MMULT(M86:O86,$I$9:$I$11)</f>
        <v>-8.4259312898822738E-3</v>
      </c>
    </row>
    <row r="87" spans="2:16" x14ac:dyDescent="0.25">
      <c r="B87" s="9">
        <v>35411</v>
      </c>
      <c r="C87" s="10">
        <v>6.3375878333999991E-2</v>
      </c>
      <c r="D87" s="11">
        <v>729.33</v>
      </c>
      <c r="E87" s="11">
        <v>0.78948409615532134</v>
      </c>
      <c r="L87" s="9">
        <v>35411</v>
      </c>
      <c r="M87" s="14">
        <f t="shared" si="6"/>
        <v>5.461813257167325E-3</v>
      </c>
      <c r="N87" s="14">
        <f t="shared" si="7"/>
        <v>-1.5390223158235794E-2</v>
      </c>
      <c r="O87" s="14">
        <f t="shared" si="8"/>
        <v>1.7523055046491098E-3</v>
      </c>
      <c r="P87" s="14">
        <f t="array" ref="P87">MMULT(M87:O87,$I$9:$I$11)</f>
        <v>-2.8754588443808656E-3</v>
      </c>
    </row>
    <row r="88" spans="2:16" x14ac:dyDescent="0.25">
      <c r="B88" s="9">
        <v>35412</v>
      </c>
      <c r="C88" s="10">
        <v>6.2667660713000006E-2</v>
      </c>
      <c r="D88" s="11">
        <v>728.64</v>
      </c>
      <c r="E88" s="11">
        <v>0.79086390242749749</v>
      </c>
      <c r="L88" s="9">
        <v>35412</v>
      </c>
      <c r="M88" s="14">
        <f t="shared" si="6"/>
        <v>-1.1174876618949225E-2</v>
      </c>
      <c r="N88" s="14">
        <f t="shared" si="7"/>
        <v>-9.4607379375599709E-4</v>
      </c>
      <c r="O88" s="14">
        <f t="shared" si="8"/>
        <v>1.7477315615292977E-3</v>
      </c>
      <c r="P88" s="14">
        <f t="array" ref="P88">MMULT(M88:O88,$I$9:$I$11)</f>
        <v>1.0205170045890517E-3</v>
      </c>
    </row>
    <row r="89" spans="2:16" x14ac:dyDescent="0.25">
      <c r="B89" s="9">
        <v>35415</v>
      </c>
      <c r="C89" s="10">
        <v>6.3120141029000001E-2</v>
      </c>
      <c r="D89" s="11">
        <v>720.98</v>
      </c>
      <c r="E89" s="11">
        <v>0.79434190780161207</v>
      </c>
      <c r="L89" s="9">
        <v>35415</v>
      </c>
      <c r="M89" s="14">
        <f t="shared" si="6"/>
        <v>7.220316042627184E-3</v>
      </c>
      <c r="N89" s="14">
        <f t="shared" si="7"/>
        <v>-1.0512736056214278E-2</v>
      </c>
      <c r="O89" s="14">
        <f t="shared" si="8"/>
        <v>4.3977293228822933E-3</v>
      </c>
      <c r="P89" s="14">
        <f t="array" ref="P89">MMULT(M89:O89,$I$9:$I$11)</f>
        <v>3.7252852165951074E-4</v>
      </c>
    </row>
    <row r="90" spans="2:16" x14ac:dyDescent="0.25">
      <c r="B90" s="9">
        <v>35416</v>
      </c>
      <c r="C90" s="10">
        <v>6.3434901236999991E-2</v>
      </c>
      <c r="D90" s="11">
        <v>726.04</v>
      </c>
      <c r="E90" s="11">
        <v>0.79025036626915146</v>
      </c>
      <c r="L90" s="9">
        <v>35416</v>
      </c>
      <c r="M90" s="14">
        <f t="shared" si="6"/>
        <v>4.9866841687722374E-3</v>
      </c>
      <c r="N90" s="14">
        <f t="shared" si="7"/>
        <v>7.0182251934864937E-3</v>
      </c>
      <c r="O90" s="14">
        <f t="shared" si="8"/>
        <v>-5.1508569449447705E-3</v>
      </c>
      <c r="P90" s="14">
        <f t="array" ref="P90">MMULT(M90:O90,$I$9:$I$11)</f>
        <v>-1.865714735873945E-3</v>
      </c>
    </row>
    <row r="91" spans="2:16" x14ac:dyDescent="0.25">
      <c r="B91" s="9">
        <v>35417</v>
      </c>
      <c r="C91" s="10">
        <v>6.3848028183000005E-2</v>
      </c>
      <c r="D91" s="11">
        <v>731.54</v>
      </c>
      <c r="E91" s="11">
        <v>0.79485304572325799</v>
      </c>
      <c r="L91" s="9">
        <v>35417</v>
      </c>
      <c r="M91" s="14">
        <f t="shared" si="6"/>
        <v>6.5126127406822665E-3</v>
      </c>
      <c r="N91" s="14">
        <f t="shared" si="7"/>
        <v>7.5753402016418558E-3</v>
      </c>
      <c r="O91" s="14">
        <f t="shared" si="8"/>
        <v>5.8243306812197915E-3</v>
      </c>
      <c r="P91" s="14">
        <f t="array" ref="P91">MMULT(M91:O91,$I$9:$I$11)</f>
        <v>6.2970298723820373E-3</v>
      </c>
    </row>
    <row r="92" spans="2:16" x14ac:dyDescent="0.25">
      <c r="B92" s="9">
        <v>35418</v>
      </c>
      <c r="C92" s="10">
        <v>6.2913570404000002E-2</v>
      </c>
      <c r="D92" s="11">
        <v>745.76</v>
      </c>
      <c r="E92" s="11">
        <v>0.79776717464043179</v>
      </c>
      <c r="L92" s="9">
        <v>35418</v>
      </c>
      <c r="M92" s="14">
        <f t="shared" si="6"/>
        <v>-1.4635656035009825E-2</v>
      </c>
      <c r="N92" s="14">
        <f t="shared" si="7"/>
        <v>1.9438444924406051E-2</v>
      </c>
      <c r="O92" s="14">
        <f t="shared" si="8"/>
        <v>3.6662486642700109E-3</v>
      </c>
      <c r="P92" s="14">
        <f t="array" ref="P92">MMULT(M92:O92,$I$9:$I$11)</f>
        <v>7.9240806909179409E-3</v>
      </c>
    </row>
    <row r="93" spans="2:16" x14ac:dyDescent="0.25">
      <c r="B93" s="9">
        <v>35419</v>
      </c>
      <c r="C93" s="10">
        <v>6.2913570404000002E-2</v>
      </c>
      <c r="D93" s="11">
        <v>748.87</v>
      </c>
      <c r="E93" s="11">
        <v>0.79459735693241673</v>
      </c>
      <c r="L93" s="9">
        <v>35419</v>
      </c>
      <c r="M93" s="14">
        <f t="shared" si="6"/>
        <v>0</v>
      </c>
      <c r="N93" s="14">
        <f t="shared" si="7"/>
        <v>4.1702424372451752E-3</v>
      </c>
      <c r="O93" s="14">
        <f t="shared" si="8"/>
        <v>-3.9733619140743803E-3</v>
      </c>
      <c r="P93" s="14">
        <f t="array" ref="P93">MMULT(M93:O93,$I$9:$I$11)</f>
        <v>-1.7749300122956756E-3</v>
      </c>
    </row>
    <row r="94" spans="2:16" x14ac:dyDescent="0.25">
      <c r="B94" s="9">
        <v>35422</v>
      </c>
      <c r="C94" s="10">
        <v>6.27561903E-2</v>
      </c>
      <c r="D94" s="11">
        <v>746.92</v>
      </c>
      <c r="E94" s="11">
        <v>0.79444429343823852</v>
      </c>
      <c r="L94" s="9">
        <v>35422</v>
      </c>
      <c r="M94" s="14">
        <f t="shared" si="6"/>
        <v>-2.5015287320269142E-3</v>
      </c>
      <c r="N94" s="14">
        <f t="shared" si="7"/>
        <v>-2.6039232443548777E-3</v>
      </c>
      <c r="O94" s="14">
        <f t="shared" si="8"/>
        <v>-1.9263025838534009E-4</v>
      </c>
      <c r="P94" s="14">
        <f t="array" ref="P94">MMULT(M94:O94,$I$9:$I$11)</f>
        <v>-8.435783148232367E-4</v>
      </c>
    </row>
    <row r="95" spans="2:16" x14ac:dyDescent="0.25">
      <c r="B95" s="9">
        <v>35423</v>
      </c>
      <c r="C95" s="10">
        <v>6.2815208435000006E-2</v>
      </c>
      <c r="D95" s="11">
        <v>751.03</v>
      </c>
      <c r="E95" s="11">
        <v>0.79531296157267684</v>
      </c>
      <c r="L95" s="9">
        <v>35423</v>
      </c>
      <c r="M95" s="14">
        <f t="shared" si="6"/>
        <v>9.4043527368170565E-4</v>
      </c>
      <c r="N95" s="14">
        <f t="shared" si="7"/>
        <v>5.5025973330478095E-3</v>
      </c>
      <c r="O95" s="14">
        <f t="shared" si="8"/>
        <v>1.093428628807791E-3</v>
      </c>
      <c r="P95" s="14">
        <f t="array" ref="P95">MMULT(M95:O95,$I$9:$I$11)</f>
        <v>2.2837194044340501E-3</v>
      </c>
    </row>
    <row r="96" spans="2:16" x14ac:dyDescent="0.25">
      <c r="B96" s="9">
        <v>35424</v>
      </c>
      <c r="C96" s="10">
        <v>6.2815208435000006E-2</v>
      </c>
      <c r="D96" s="11">
        <v>751.03</v>
      </c>
      <c r="E96" s="11">
        <v>0.79531296157267684</v>
      </c>
      <c r="L96" s="9">
        <v>35424</v>
      </c>
      <c r="M96" s="14">
        <f t="shared" si="6"/>
        <v>0</v>
      </c>
      <c r="N96" s="14">
        <f t="shared" si="7"/>
        <v>0</v>
      </c>
      <c r="O96" s="14">
        <f t="shared" si="8"/>
        <v>0</v>
      </c>
      <c r="P96" s="14">
        <f t="array" ref="P96">MMULT(M96:O96,$I$9:$I$11)</f>
        <v>0</v>
      </c>
    </row>
    <row r="97" spans="2:16" x14ac:dyDescent="0.25">
      <c r="B97" s="9">
        <v>35425</v>
      </c>
      <c r="C97" s="10">
        <v>6.2844719886999995E-2</v>
      </c>
      <c r="D97" s="11">
        <v>755.82</v>
      </c>
      <c r="E97" s="11">
        <v>0.79587616504036951</v>
      </c>
      <c r="L97" s="9">
        <v>35425</v>
      </c>
      <c r="M97" s="14">
        <f t="shared" si="6"/>
        <v>4.6981380361943437E-4</v>
      </c>
      <c r="N97" s="14">
        <f t="shared" si="7"/>
        <v>6.3779076734618023E-3</v>
      </c>
      <c r="O97" s="14">
        <f t="shared" si="8"/>
        <v>7.0815326155249103E-4</v>
      </c>
      <c r="P97" s="14">
        <f t="array" ref="P97">MMULT(M97:O97,$I$9:$I$11)</f>
        <v>2.2387493510312587E-3</v>
      </c>
    </row>
    <row r="98" spans="2:16" x14ac:dyDescent="0.25">
      <c r="B98" s="9">
        <v>35426</v>
      </c>
      <c r="C98" s="10">
        <v>6.2323389053E-2</v>
      </c>
      <c r="D98" s="11">
        <v>756.79</v>
      </c>
      <c r="E98" s="11">
        <v>0.79526221890515381</v>
      </c>
      <c r="L98" s="9">
        <v>35426</v>
      </c>
      <c r="M98" s="14">
        <f t="shared" si="6"/>
        <v>-8.2955391469226036E-3</v>
      </c>
      <c r="N98" s="14">
        <f t="shared" si="7"/>
        <v>1.2833743483897653E-3</v>
      </c>
      <c r="O98" s="14">
        <f t="shared" si="8"/>
        <v>-7.7140912391138183E-4</v>
      </c>
      <c r="P98" s="14">
        <f t="array" ref="P98">MMULT(M98:O98,$I$9:$I$11)</f>
        <v>-2.1670369596134926E-4</v>
      </c>
    </row>
    <row r="99" spans="2:16" x14ac:dyDescent="0.25">
      <c r="B99" s="9">
        <v>35429</v>
      </c>
      <c r="C99" s="10">
        <v>6.2392239570999999E-2</v>
      </c>
      <c r="D99" s="11">
        <v>753.85</v>
      </c>
      <c r="E99" s="11">
        <v>0.79602849665479447</v>
      </c>
      <c r="L99" s="9">
        <v>35429</v>
      </c>
      <c r="M99" s="14">
        <f t="shared" si="6"/>
        <v>1.1047300066022725E-3</v>
      </c>
      <c r="N99" s="14">
        <f t="shared" si="7"/>
        <v>-3.8848293449965654E-3</v>
      </c>
      <c r="O99" s="14">
        <f t="shared" si="8"/>
        <v>9.6355356940702741E-4</v>
      </c>
      <c r="P99" s="14">
        <f t="array" ref="P99">MMULT(M99:O99,$I$9:$I$11)</f>
        <v>-3.4530663686472706E-4</v>
      </c>
    </row>
    <row r="100" spans="2:16" x14ac:dyDescent="0.25">
      <c r="B100" s="9">
        <v>35430</v>
      </c>
      <c r="C100" s="10">
        <v>6.3582448959000004E-2</v>
      </c>
      <c r="D100" s="11">
        <v>740.74</v>
      </c>
      <c r="E100" s="11">
        <v>0.78805216137934653</v>
      </c>
      <c r="L100" s="9">
        <v>35430</v>
      </c>
      <c r="M100" s="14">
        <f t="shared" si="6"/>
        <v>1.9076240830329327E-2</v>
      </c>
      <c r="N100" s="14">
        <f t="shared" si="7"/>
        <v>-1.7390727598328604E-2</v>
      </c>
      <c r="O100" s="14">
        <f t="shared" si="8"/>
        <v>-1.002016298281716E-2</v>
      </c>
      <c r="P100" s="14">
        <f t="array" ref="P100">MMULT(M100:O100,$I$9:$I$11)</f>
        <v>-1.2009906551613707E-2</v>
      </c>
    </row>
    <row r="101" spans="2:16" x14ac:dyDescent="0.25">
      <c r="B101" s="9">
        <v>35431</v>
      </c>
      <c r="C101" s="10">
        <v>6.3582448959000004E-2</v>
      </c>
      <c r="D101" s="11">
        <v>740.74</v>
      </c>
      <c r="E101" s="11">
        <v>0.78805216137934653</v>
      </c>
      <c r="L101" s="9">
        <v>35431</v>
      </c>
      <c r="M101" s="14">
        <f t="shared" si="6"/>
        <v>0</v>
      </c>
      <c r="N101" s="14">
        <f t="shared" si="7"/>
        <v>0</v>
      </c>
      <c r="O101" s="14">
        <f t="shared" si="8"/>
        <v>0</v>
      </c>
      <c r="P101" s="14">
        <f t="array" ref="P101">MMULT(M101:O101,$I$9:$I$11)</f>
        <v>0</v>
      </c>
    </row>
    <row r="102" spans="2:16" x14ac:dyDescent="0.25">
      <c r="B102" s="9">
        <v>35432</v>
      </c>
      <c r="C102" s="10">
        <v>6.4674291610999995E-2</v>
      </c>
      <c r="D102" s="11">
        <v>737.01</v>
      </c>
      <c r="E102" s="11">
        <v>0.78840930592049319</v>
      </c>
      <c r="L102" s="9">
        <v>35432</v>
      </c>
      <c r="M102" s="14">
        <f t="shared" si="6"/>
        <v>1.7172076097667244E-2</v>
      </c>
      <c r="N102" s="14">
        <f t="shared" si="7"/>
        <v>-5.0355050355050945E-3</v>
      </c>
      <c r="O102" s="14">
        <f t="shared" si="8"/>
        <v>4.5319911377639244E-4</v>
      </c>
      <c r="P102" s="14">
        <f t="array" ref="P102">MMULT(M102:O102,$I$9:$I$11)</f>
        <v>-1.0285209920450986E-3</v>
      </c>
    </row>
    <row r="103" spans="2:16" x14ac:dyDescent="0.25">
      <c r="B103" s="9">
        <v>35433</v>
      </c>
      <c r="C103" s="10">
        <v>6.4408698082000004E-2</v>
      </c>
      <c r="D103" s="11">
        <v>748.03</v>
      </c>
      <c r="E103" s="11">
        <v>0.79643767134705912</v>
      </c>
      <c r="L103" s="9">
        <v>35433</v>
      </c>
      <c r="M103" s="14">
        <f t="shared" si="6"/>
        <v>-4.1066322086289464E-3</v>
      </c>
      <c r="N103" s="14">
        <f t="shared" si="7"/>
        <v>1.4952307295694744E-2</v>
      </c>
      <c r="O103" s="14">
        <f t="shared" si="8"/>
        <v>1.0182991710368627E-2</v>
      </c>
      <c r="P103" s="14">
        <f t="array" ref="P103">MMULT(M103:O103,$I$9:$I$11)</f>
        <v>1.14705070512548E-2</v>
      </c>
    </row>
    <row r="104" spans="2:16" x14ac:dyDescent="0.25">
      <c r="B104" s="9">
        <v>35436</v>
      </c>
      <c r="C104" s="10">
        <v>6.4674291610999995E-2</v>
      </c>
      <c r="D104" s="11">
        <v>747.65</v>
      </c>
      <c r="E104" s="11">
        <v>0.8002228403589966</v>
      </c>
      <c r="L104" s="9">
        <v>35436</v>
      </c>
      <c r="M104" s="14">
        <f t="shared" si="6"/>
        <v>4.1235661783112221E-3</v>
      </c>
      <c r="N104" s="14">
        <f t="shared" si="7"/>
        <v>-5.0800101600201319E-4</v>
      </c>
      <c r="O104" s="14">
        <f t="shared" si="8"/>
        <v>4.7526242769699856E-3</v>
      </c>
      <c r="P104" s="14">
        <f t="array" ref="P104">MMULT(M104:O104,$I$9:$I$11)</f>
        <v>3.332475904278031E-3</v>
      </c>
    </row>
    <row r="105" spans="2:16" x14ac:dyDescent="0.25">
      <c r="B105" s="9">
        <v>35437</v>
      </c>
      <c r="C105" s="10">
        <v>6.5018558502000001E-2</v>
      </c>
      <c r="D105" s="11">
        <v>753.23</v>
      </c>
      <c r="E105" s="11">
        <v>0.79914855120382855</v>
      </c>
      <c r="L105" s="9">
        <v>35437</v>
      </c>
      <c r="M105" s="14">
        <f t="shared" si="6"/>
        <v>5.3230871560323578E-3</v>
      </c>
      <c r="N105" s="14">
        <f t="shared" si="7"/>
        <v>7.4633852738581474E-3</v>
      </c>
      <c r="O105" s="14">
        <f t="shared" si="8"/>
        <v>-1.3424874934663267E-3</v>
      </c>
      <c r="P105" s="14">
        <f t="array" ref="P105">MMULT(M105:O105,$I$9:$I$11)</f>
        <v>1.0347291270284523E-3</v>
      </c>
    </row>
    <row r="106" spans="2:16" x14ac:dyDescent="0.25">
      <c r="B106" s="9">
        <v>35438</v>
      </c>
      <c r="C106" s="10">
        <v>6.5116930008000007E-2</v>
      </c>
      <c r="D106" s="11">
        <v>748.41</v>
      </c>
      <c r="E106" s="11">
        <v>0.80354630588988696</v>
      </c>
      <c r="L106" s="9">
        <v>35438</v>
      </c>
      <c r="M106" s="14">
        <f t="shared" si="6"/>
        <v>1.5129758066996235E-3</v>
      </c>
      <c r="N106" s="14">
        <f t="shared" si="7"/>
        <v>-6.3991078422261927E-3</v>
      </c>
      <c r="O106" s="14">
        <f t="shared" si="8"/>
        <v>5.5030503145299114E-3</v>
      </c>
      <c r="P106" s="14">
        <f t="array" ref="P106">MMULT(M106:O106,$I$9:$I$11)</f>
        <v>2.2899663945592165E-3</v>
      </c>
    </row>
    <row r="107" spans="2:16" x14ac:dyDescent="0.25">
      <c r="B107" s="9">
        <v>35439</v>
      </c>
      <c r="C107" s="10">
        <v>6.4507069587999996E-2</v>
      </c>
      <c r="D107" s="11">
        <v>754.85</v>
      </c>
      <c r="E107" s="11">
        <v>0.80574430611906778</v>
      </c>
      <c r="L107" s="9">
        <v>35439</v>
      </c>
      <c r="M107" s="14">
        <f t="shared" si="6"/>
        <v>-9.3656199689555741E-3</v>
      </c>
      <c r="N107" s="14">
        <f t="shared" si="7"/>
        <v>8.6049090739033218E-3</v>
      </c>
      <c r="O107" s="14">
        <f t="shared" si="8"/>
        <v>2.7353746922482713E-3</v>
      </c>
      <c r="P107" s="14">
        <f t="array" ref="P107">MMULT(M107:O107,$I$9:$I$11)</f>
        <v>4.3199030014025013E-3</v>
      </c>
    </row>
    <row r="108" spans="2:16" x14ac:dyDescent="0.25">
      <c r="B108" s="9">
        <v>35440</v>
      </c>
      <c r="C108" s="10">
        <v>6.5471029282000007E-2</v>
      </c>
      <c r="D108" s="11">
        <v>759.5</v>
      </c>
      <c r="E108" s="11">
        <v>0.81004068643360361</v>
      </c>
      <c r="L108" s="9">
        <v>35440</v>
      </c>
      <c r="M108" s="14">
        <f t="shared" si="6"/>
        <v>1.494347364028048E-2</v>
      </c>
      <c r="N108" s="14">
        <f t="shared" si="7"/>
        <v>6.1601642710471527E-3</v>
      </c>
      <c r="O108" s="14">
        <f t="shared" si="8"/>
        <v>5.3321882412420418E-3</v>
      </c>
      <c r="P108" s="14">
        <f t="array" ref="P108">MMULT(M108:O108,$I$9:$I$11)</f>
        <v>5.5557070713945266E-3</v>
      </c>
    </row>
    <row r="109" spans="2:16" x14ac:dyDescent="0.25">
      <c r="B109" s="9">
        <v>35443</v>
      </c>
      <c r="C109" s="10">
        <v>6.5480871201000004E-2</v>
      </c>
      <c r="D109" s="11">
        <v>759.51</v>
      </c>
      <c r="E109" s="11">
        <v>0.81280117510866445</v>
      </c>
      <c r="L109" s="9">
        <v>35443</v>
      </c>
      <c r="M109" s="14">
        <f t="shared" si="6"/>
        <v>1.5032479415588718E-4</v>
      </c>
      <c r="N109" s="14">
        <f t="shared" si="7"/>
        <v>1.3166556945387597E-5</v>
      </c>
      <c r="O109" s="14">
        <f t="shared" si="8"/>
        <v>3.4078395336096801E-3</v>
      </c>
      <c r="P109" s="14">
        <f t="array" ref="P109">MMULT(M109:O109,$I$9:$I$11)</f>
        <v>2.4914200900747552E-3</v>
      </c>
    </row>
    <row r="110" spans="2:16" x14ac:dyDescent="0.25">
      <c r="B110" s="9">
        <v>35444</v>
      </c>
      <c r="C110" s="10">
        <v>6.4585762024000001E-2</v>
      </c>
      <c r="D110" s="11">
        <v>768.86</v>
      </c>
      <c r="E110" s="11">
        <v>0.81510212186582298</v>
      </c>
      <c r="L110" s="9">
        <v>35444</v>
      </c>
      <c r="M110" s="14">
        <f t="shared" si="6"/>
        <v>-1.366978112206807E-2</v>
      </c>
      <c r="N110" s="14">
        <f t="shared" si="7"/>
        <v>1.2310568656107357E-2</v>
      </c>
      <c r="O110" s="14">
        <f t="shared" si="8"/>
        <v>2.8308851261822365E-3</v>
      </c>
      <c r="P110" s="14">
        <f t="array" ref="P110">MMULT(M110:O110,$I$9:$I$11)</f>
        <v>5.3900024152701634E-3</v>
      </c>
    </row>
    <row r="111" spans="2:16" x14ac:dyDescent="0.25">
      <c r="B111" s="9">
        <v>35445</v>
      </c>
      <c r="C111" s="10">
        <v>6.4605431556999993E-2</v>
      </c>
      <c r="D111" s="11">
        <v>767.2</v>
      </c>
      <c r="E111" s="11">
        <v>0.81280117510866445</v>
      </c>
      <c r="L111" s="9">
        <v>35445</v>
      </c>
      <c r="M111" s="14">
        <f t="shared" si="6"/>
        <v>3.0454905823806833E-4</v>
      </c>
      <c r="N111" s="14">
        <f t="shared" si="7"/>
        <v>-2.1590406575968668E-3</v>
      </c>
      <c r="O111" s="14">
        <f t="shared" si="8"/>
        <v>-2.8228938380033819E-3</v>
      </c>
      <c r="P111" s="14">
        <f t="array" ref="P111">MMULT(M111:O111,$I$9:$I$11)</f>
        <v>-2.6436812993114139E-3</v>
      </c>
    </row>
    <row r="112" spans="2:16" x14ac:dyDescent="0.25">
      <c r="B112" s="9">
        <v>35446</v>
      </c>
      <c r="C112" s="10">
        <v>6.5097250938000006E-2</v>
      </c>
      <c r="D112" s="11">
        <v>769.75</v>
      </c>
      <c r="E112" s="11">
        <v>0.81433632858892491</v>
      </c>
      <c r="L112" s="9">
        <v>35446</v>
      </c>
      <c r="M112" s="14">
        <f t="shared" si="6"/>
        <v>7.612663040043266E-3</v>
      </c>
      <c r="N112" s="14">
        <f t="shared" si="7"/>
        <v>3.3237747653804828E-3</v>
      </c>
      <c r="O112" s="14">
        <f t="shared" si="8"/>
        <v>1.888719563004182E-3</v>
      </c>
      <c r="P112" s="14">
        <f t="array" ref="P112">MMULT(M112:O112,$I$9:$I$11)</f>
        <v>2.2761243289548204E-3</v>
      </c>
    </row>
    <row r="113" spans="2:16" x14ac:dyDescent="0.25">
      <c r="B113" s="9">
        <v>35447</v>
      </c>
      <c r="C113" s="10">
        <v>6.4821829796E-2</v>
      </c>
      <c r="D113" s="11">
        <v>776.17</v>
      </c>
      <c r="E113" s="11">
        <v>0.82394905245832184</v>
      </c>
      <c r="L113" s="9">
        <v>35447</v>
      </c>
      <c r="M113" s="14">
        <f t="shared" si="6"/>
        <v>-4.2309181729091039E-3</v>
      </c>
      <c r="N113" s="14">
        <f t="shared" si="7"/>
        <v>8.3403702500810528E-3</v>
      </c>
      <c r="O113" s="14">
        <f t="shared" si="8"/>
        <v>1.1804365753955492E-2</v>
      </c>
      <c r="P113" s="14">
        <f t="array" ref="P113">MMULT(M113:O113,$I$9:$I$11)</f>
        <v>1.0869232133164888E-2</v>
      </c>
    </row>
    <row r="114" spans="2:16" x14ac:dyDescent="0.25">
      <c r="B114" s="9">
        <v>35450</v>
      </c>
      <c r="C114" s="10">
        <v>6.4821829796E-2</v>
      </c>
      <c r="D114" s="11">
        <v>776.7</v>
      </c>
      <c r="E114" s="11">
        <v>0.83044276773185088</v>
      </c>
      <c r="L114" s="9">
        <v>35450</v>
      </c>
      <c r="M114" s="14">
        <f t="shared" si="6"/>
        <v>0</v>
      </c>
      <c r="N114" s="14">
        <f t="shared" si="7"/>
        <v>6.8284009946295576E-4</v>
      </c>
      <c r="O114" s="14">
        <f t="shared" si="8"/>
        <v>7.8812097109093315E-3</v>
      </c>
      <c r="P114" s="14">
        <f t="array" ref="P114">MMULT(M114:O114,$I$9:$I$11)</f>
        <v>5.9379515770544055E-3</v>
      </c>
    </row>
    <row r="115" spans="2:16" x14ac:dyDescent="0.25">
      <c r="B115" s="9">
        <v>35451</v>
      </c>
      <c r="C115" s="10">
        <v>6.4497227668999998E-2</v>
      </c>
      <c r="D115" s="11">
        <v>782.72</v>
      </c>
      <c r="E115" s="11">
        <v>0.83064785242591432</v>
      </c>
      <c r="L115" s="9">
        <v>35451</v>
      </c>
      <c r="M115" s="14">
        <f t="shared" si="6"/>
        <v>-5.0076051234830832E-3</v>
      </c>
      <c r="N115" s="14">
        <f t="shared" si="7"/>
        <v>7.7507403115746332E-3</v>
      </c>
      <c r="O115" s="14">
        <f t="shared" si="8"/>
        <v>2.4695825170906183E-4</v>
      </c>
      <c r="P115" s="14">
        <f t="array" ref="P115">MMULT(M115:O115,$I$9:$I$11)</f>
        <v>2.2726649477533218E-3</v>
      </c>
    </row>
    <row r="116" spans="2:16" x14ac:dyDescent="0.25">
      <c r="B116" s="9">
        <v>35452</v>
      </c>
      <c r="C116" s="10">
        <v>6.4851341248000002E-2</v>
      </c>
      <c r="D116" s="11">
        <v>786.23</v>
      </c>
      <c r="E116" s="11">
        <v>0.83898303980985356</v>
      </c>
      <c r="L116" s="9">
        <v>35452</v>
      </c>
      <c r="M116" s="14">
        <f t="shared" si="6"/>
        <v>5.490368994111039E-3</v>
      </c>
      <c r="N116" s="14">
        <f t="shared" si="7"/>
        <v>4.4843622240391401E-3</v>
      </c>
      <c r="O116" s="14">
        <f t="shared" si="8"/>
        <v>1.0034562010358794E-2</v>
      </c>
      <c r="P116" s="14">
        <f t="array" ref="P116">MMULT(M116:O116,$I$9:$I$11)</f>
        <v>8.5362406596274851E-3</v>
      </c>
    </row>
    <row r="117" spans="2:16" x14ac:dyDescent="0.25">
      <c r="B117" s="9">
        <v>35453</v>
      </c>
      <c r="C117" s="10">
        <v>6.5146431923000001E-2</v>
      </c>
      <c r="D117" s="11">
        <v>777.56</v>
      </c>
      <c r="E117" s="11">
        <v>0.83811395664409427</v>
      </c>
      <c r="L117" s="9">
        <v>35453</v>
      </c>
      <c r="M117" s="14">
        <f t="shared" si="6"/>
        <v>4.5502632531766452E-3</v>
      </c>
      <c r="N117" s="14">
        <f t="shared" si="7"/>
        <v>-1.102730753087533E-2</v>
      </c>
      <c r="O117" s="14">
        <f t="shared" si="8"/>
        <v>-1.0358769182703398E-3</v>
      </c>
      <c r="P117" s="14">
        <f t="array" ref="P117">MMULT(M117:O117,$I$9:$I$11)</f>
        <v>-3.7331444739565349E-3</v>
      </c>
    </row>
    <row r="118" spans="2:16" x14ac:dyDescent="0.25">
      <c r="B118" s="9">
        <v>35454</v>
      </c>
      <c r="C118" s="10">
        <v>6.5579228401E-2</v>
      </c>
      <c r="D118" s="11">
        <v>770.52</v>
      </c>
      <c r="E118" s="11">
        <v>0.83187479865281577</v>
      </c>
      <c r="L118" s="9">
        <v>35454</v>
      </c>
      <c r="M118" s="14">
        <f t="shared" si="6"/>
        <v>6.6434410177911296E-3</v>
      </c>
      <c r="N118" s="14">
        <f t="shared" si="7"/>
        <v>-9.0539636812593249E-3</v>
      </c>
      <c r="O118" s="14">
        <f t="shared" si="8"/>
        <v>-7.4442836106212162E-3</v>
      </c>
      <c r="P118" s="14">
        <f t="array" ref="P118">MMULT(M118:O118,$I$9:$I$11)</f>
        <v>-7.8788297730185593E-3</v>
      </c>
    </row>
    <row r="119" spans="2:16" x14ac:dyDescent="0.25">
      <c r="B119" s="9">
        <v>35457</v>
      </c>
      <c r="C119" s="10">
        <v>6.6071047783000006E-2</v>
      </c>
      <c r="D119" s="11">
        <v>765.02</v>
      </c>
      <c r="E119" s="11">
        <v>0.83739753157680086</v>
      </c>
      <c r="L119" s="9">
        <v>35457</v>
      </c>
      <c r="M119" s="14">
        <f t="shared" si="6"/>
        <v>7.4996213586511207E-3</v>
      </c>
      <c r="N119" s="14">
        <f t="shared" si="7"/>
        <v>-7.1380366505736648E-3</v>
      </c>
      <c r="O119" s="14">
        <f t="shared" si="8"/>
        <v>6.6388991864267943E-3</v>
      </c>
      <c r="P119" s="14">
        <f t="array" ref="P119">MMULT(M119:O119,$I$9:$I$11)</f>
        <v>2.9197038588796706E-3</v>
      </c>
    </row>
    <row r="120" spans="2:16" x14ac:dyDescent="0.25">
      <c r="B120" s="9">
        <v>35458</v>
      </c>
      <c r="C120" s="10">
        <v>6.5716938971999997E-2</v>
      </c>
      <c r="D120" s="11">
        <v>765.02</v>
      </c>
      <c r="E120" s="11">
        <v>0.84430096889477524</v>
      </c>
      <c r="L120" s="9">
        <v>35458</v>
      </c>
      <c r="M120" s="14">
        <f t="shared" si="6"/>
        <v>-5.3595155954393459E-3</v>
      </c>
      <c r="N120" s="14">
        <f t="shared" si="7"/>
        <v>0</v>
      </c>
      <c r="O120" s="14">
        <f t="shared" si="8"/>
        <v>8.2439188768270721E-3</v>
      </c>
      <c r="P120" s="14">
        <f t="array" ref="P120">MMULT(M120:O120,$I$9:$I$11)</f>
        <v>6.0184062570304564E-3</v>
      </c>
    </row>
    <row r="121" spans="2:16" x14ac:dyDescent="0.25">
      <c r="B121" s="9">
        <v>35459</v>
      </c>
      <c r="C121" s="10">
        <v>6.5579228401E-2</v>
      </c>
      <c r="D121" s="11">
        <v>772.5</v>
      </c>
      <c r="E121" s="11">
        <v>0.84046533233846998</v>
      </c>
      <c r="L121" s="9">
        <v>35459</v>
      </c>
      <c r="M121" s="14">
        <f t="shared" si="6"/>
        <v>-2.0955110380090902E-3</v>
      </c>
      <c r="N121" s="14">
        <f t="shared" si="7"/>
        <v>9.7775221562834691E-3</v>
      </c>
      <c r="O121" s="14">
        <f t="shared" si="8"/>
        <v>-4.5429730600999862E-3</v>
      </c>
      <c r="P121" s="14">
        <f t="array" ref="P121">MMULT(M121:O121,$I$9:$I$11)</f>
        <v>-6.7703947899895806E-4</v>
      </c>
    </row>
    <row r="122" spans="2:16" x14ac:dyDescent="0.25">
      <c r="B122" s="9">
        <v>35460</v>
      </c>
      <c r="C122" s="10">
        <v>6.5323491095999997E-2</v>
      </c>
      <c r="D122" s="11">
        <v>784.17</v>
      </c>
      <c r="E122" s="11">
        <v>0.83831874308247245</v>
      </c>
      <c r="L122" s="9">
        <v>35460</v>
      </c>
      <c r="M122" s="14">
        <f t="shared" si="6"/>
        <v>-3.899669319624155E-3</v>
      </c>
      <c r="N122" s="14">
        <f t="shared" si="7"/>
        <v>1.5106796116504784E-2</v>
      </c>
      <c r="O122" s="14">
        <f t="shared" si="8"/>
        <v>-2.5540485412111069E-3</v>
      </c>
      <c r="P122" s="14">
        <f t="array" ref="P122">MMULT(M122:O122,$I$9:$I$11)</f>
        <v>2.2136394054153023E-3</v>
      </c>
    </row>
    <row r="123" spans="2:16" x14ac:dyDescent="0.25">
      <c r="B123" s="9">
        <v>35461</v>
      </c>
      <c r="C123" s="10">
        <v>6.4497227668999998E-2</v>
      </c>
      <c r="D123" s="11">
        <v>786.16</v>
      </c>
      <c r="E123" s="11">
        <v>0.83744961368831194</v>
      </c>
      <c r="L123" s="9">
        <v>35461</v>
      </c>
      <c r="M123" s="14">
        <f t="shared" si="6"/>
        <v>-1.2648794685295006E-2</v>
      </c>
      <c r="N123" s="14">
        <f t="shared" si="7"/>
        <v>2.5377150362804191E-3</v>
      </c>
      <c r="O123" s="14">
        <f t="shared" si="8"/>
        <v>-1.0367529073306292E-3</v>
      </c>
      <c r="P123" s="14">
        <f t="array" ref="P123">MMULT(M123:O123,$I$9:$I$11)</f>
        <v>-7.1796357366786718E-5</v>
      </c>
    </row>
    <row r="124" spans="2:16" x14ac:dyDescent="0.25">
      <c r="B124" s="9">
        <v>35464</v>
      </c>
      <c r="C124" s="10">
        <v>6.3956232070999999E-2</v>
      </c>
      <c r="D124" s="11">
        <v>786.73</v>
      </c>
      <c r="E124" s="11">
        <v>0.84010777198216924</v>
      </c>
      <c r="L124" s="9">
        <v>35464</v>
      </c>
      <c r="M124" s="14">
        <f t="shared" si="6"/>
        <v>-8.3878891783750742E-3</v>
      </c>
      <c r="N124" s="14">
        <f t="shared" si="7"/>
        <v>7.2504324819377963E-4</v>
      </c>
      <c r="O124" s="14">
        <f t="shared" si="8"/>
        <v>3.1741113141723343E-3</v>
      </c>
      <c r="P124" s="14">
        <f t="array" ref="P124">MMULT(M124:O124,$I$9:$I$11)</f>
        <v>2.5129655691678745E-3</v>
      </c>
    </row>
    <row r="125" spans="2:16" x14ac:dyDescent="0.25">
      <c r="B125" s="9">
        <v>35465</v>
      </c>
      <c r="C125" s="10">
        <v>6.3838191032000002E-2</v>
      </c>
      <c r="D125" s="11">
        <v>789.26</v>
      </c>
      <c r="E125" s="11">
        <v>0.8393920512392602</v>
      </c>
      <c r="L125" s="9">
        <v>35465</v>
      </c>
      <c r="M125" s="14">
        <f t="shared" si="6"/>
        <v>-1.8456534285659076E-3</v>
      </c>
      <c r="N125" s="14">
        <f t="shared" si="7"/>
        <v>3.2158427923174582E-3</v>
      </c>
      <c r="O125" s="14">
        <f t="shared" si="8"/>
        <v>-8.5193919968196141E-4</v>
      </c>
      <c r="P125" s="14">
        <f t="array" ref="P125">MMULT(M125:O125,$I$9:$I$11)</f>
        <v>2.4619147009246202E-4</v>
      </c>
    </row>
    <row r="126" spans="2:16" x14ac:dyDescent="0.25">
      <c r="B126" s="9">
        <v>35466</v>
      </c>
      <c r="C126" s="10">
        <v>6.3995580672999999E-2</v>
      </c>
      <c r="D126" s="11">
        <v>778.28</v>
      </c>
      <c r="E126" s="11">
        <v>0.84292038889468335</v>
      </c>
      <c r="L126" s="9">
        <v>35466</v>
      </c>
      <c r="M126" s="14">
        <f t="shared" si="6"/>
        <v>2.465446442884156E-3</v>
      </c>
      <c r="N126" s="14">
        <f t="shared" si="7"/>
        <v>-1.3911765451182112E-2</v>
      </c>
      <c r="O126" s="14">
        <f t="shared" si="8"/>
        <v>4.2034442072855782E-3</v>
      </c>
      <c r="P126" s="14">
        <f t="array" ref="P126">MMULT(M126:O126,$I$9:$I$11)</f>
        <v>-6.8690324852273364E-4</v>
      </c>
    </row>
    <row r="127" spans="2:16" x14ac:dyDescent="0.25">
      <c r="B127" s="9">
        <v>35467</v>
      </c>
      <c r="C127" s="10">
        <v>6.4084100722999998E-2</v>
      </c>
      <c r="D127" s="11">
        <v>780.15</v>
      </c>
      <c r="E127" s="11">
        <v>0.8437896283399422</v>
      </c>
      <c r="L127" s="9">
        <v>35467</v>
      </c>
      <c r="M127" s="14">
        <f t="shared" si="6"/>
        <v>1.3832212954252299E-3</v>
      </c>
      <c r="N127" s="14">
        <f t="shared" si="7"/>
        <v>2.4027342344656866E-3</v>
      </c>
      <c r="O127" s="14">
        <f t="shared" si="8"/>
        <v>1.0312236561256238E-3</v>
      </c>
      <c r="P127" s="14">
        <f t="array" ref="P127">MMULT(M127:O127,$I$9:$I$11)</f>
        <v>1.4014740365436251E-3</v>
      </c>
    </row>
    <row r="128" spans="2:16" x14ac:dyDescent="0.25">
      <c r="B128" s="9">
        <v>35468</v>
      </c>
      <c r="C128" s="10">
        <v>6.3484082221999999E-2</v>
      </c>
      <c r="D128" s="11">
        <v>789.56</v>
      </c>
      <c r="E128" s="11">
        <v>0.85509024174857184</v>
      </c>
      <c r="L128" s="9">
        <v>35468</v>
      </c>
      <c r="M128" s="14">
        <f t="shared" si="6"/>
        <v>-9.3629854243183486E-3</v>
      </c>
      <c r="N128" s="14">
        <f t="shared" si="7"/>
        <v>1.2061782990450576E-2</v>
      </c>
      <c r="O128" s="14">
        <f t="shared" si="8"/>
        <v>1.3392690581966793E-2</v>
      </c>
      <c r="P128" s="14">
        <f t="array" ref="P128">MMULT(M128:O128,$I$9:$I$11)</f>
        <v>1.3033401306446597E-2</v>
      </c>
    </row>
    <row r="129" spans="2:16" x14ac:dyDescent="0.25">
      <c r="B129" s="9">
        <v>35471</v>
      </c>
      <c r="C129" s="10">
        <v>6.3513588905000001E-2</v>
      </c>
      <c r="D129" s="11">
        <v>785.43</v>
      </c>
      <c r="E129" s="11">
        <v>0.84706316674315518</v>
      </c>
      <c r="L129" s="9">
        <v>35471</v>
      </c>
      <c r="M129" s="14">
        <f t="shared" si="6"/>
        <v>4.6478868351318425E-4</v>
      </c>
      <c r="N129" s="14">
        <f t="shared" si="7"/>
        <v>-5.2307614367496091E-3</v>
      </c>
      <c r="O129" s="14">
        <f t="shared" si="8"/>
        <v>-9.3874010174670452E-3</v>
      </c>
      <c r="P129" s="14">
        <f t="array" ref="P129">MMULT(M129:O129,$I$9:$I$11)</f>
        <v>-8.2652825224833627E-3</v>
      </c>
    </row>
    <row r="130" spans="2:16" x14ac:dyDescent="0.25">
      <c r="B130" s="9">
        <v>35472</v>
      </c>
      <c r="C130" s="10">
        <v>6.3562769890000009E-2</v>
      </c>
      <c r="D130" s="11">
        <v>789.59</v>
      </c>
      <c r="E130" s="11">
        <v>0.85504021292640953</v>
      </c>
      <c r="L130" s="9">
        <v>35472</v>
      </c>
      <c r="M130" s="14">
        <f t="shared" si="6"/>
        <v>7.7433799361537048E-4</v>
      </c>
      <c r="N130" s="14">
        <f t="shared" si="7"/>
        <v>5.2964618107280703E-3</v>
      </c>
      <c r="O130" s="14">
        <f t="shared" si="8"/>
        <v>9.4172979022626446E-3</v>
      </c>
      <c r="P130" s="14">
        <f t="array" ref="P130">MMULT(M130:O130,$I$9:$I$11)</f>
        <v>8.3048448489456902E-3</v>
      </c>
    </row>
    <row r="131" spans="2:16" x14ac:dyDescent="0.25">
      <c r="B131" s="9">
        <v>35473</v>
      </c>
      <c r="C131" s="10">
        <v>6.3661141396000001E-2</v>
      </c>
      <c r="D131" s="11">
        <v>802.77</v>
      </c>
      <c r="E131" s="11">
        <v>0.86071636822030528</v>
      </c>
      <c r="L131" s="9">
        <v>35473</v>
      </c>
      <c r="M131" s="14">
        <f t="shared" si="6"/>
        <v>1.547627741368629E-3</v>
      </c>
      <c r="N131" s="14">
        <f t="shared" si="7"/>
        <v>1.6692207348117272E-2</v>
      </c>
      <c r="O131" s="14">
        <f t="shared" si="8"/>
        <v>6.6384658967897359E-3</v>
      </c>
      <c r="P131" s="14">
        <f t="array" ref="P131">MMULT(M131:O131,$I$9:$I$11)</f>
        <v>9.3525547676779688E-3</v>
      </c>
    </row>
    <row r="132" spans="2:16" x14ac:dyDescent="0.25">
      <c r="B132" s="9">
        <v>35474</v>
      </c>
      <c r="C132" s="10">
        <v>6.2903738022E-2</v>
      </c>
      <c r="D132" s="11">
        <v>811.82</v>
      </c>
      <c r="E132" s="11">
        <v>0.86271016369066955</v>
      </c>
      <c r="L132" s="9">
        <v>35474</v>
      </c>
      <c r="M132" s="14">
        <f t="shared" si="6"/>
        <v>-1.1897420583282026E-2</v>
      </c>
      <c r="N132" s="14">
        <f t="shared" si="7"/>
        <v>1.127346562527265E-2</v>
      </c>
      <c r="O132" s="14">
        <f t="shared" si="8"/>
        <v>2.3164372654917997E-3</v>
      </c>
      <c r="P132" s="14">
        <f t="array" ref="P132">MMULT(M132:O132,$I$9:$I$11)</f>
        <v>4.7344595614900202E-3</v>
      </c>
    </row>
    <row r="133" spans="2:16" x14ac:dyDescent="0.25">
      <c r="B133" s="9">
        <v>35475</v>
      </c>
      <c r="C133" s="10">
        <v>6.2323389053E-2</v>
      </c>
      <c r="D133" s="11">
        <v>808.48</v>
      </c>
      <c r="E133" s="11">
        <v>0.86225046478016132</v>
      </c>
      <c r="L133" s="9">
        <v>35475</v>
      </c>
      <c r="M133" s="14">
        <f t="shared" si="6"/>
        <v>-9.2259854064161706E-3</v>
      </c>
      <c r="N133" s="14">
        <f t="shared" si="7"/>
        <v>-4.1142125101624183E-3</v>
      </c>
      <c r="O133" s="14">
        <f t="shared" si="8"/>
        <v>-5.3285440447536914E-4</v>
      </c>
      <c r="P133" s="14">
        <f t="array" ref="P133">MMULT(M133:O133,$I$9:$I$11)</f>
        <v>-1.4996710094545133E-3</v>
      </c>
    </row>
    <row r="134" spans="2:16" x14ac:dyDescent="0.25">
      <c r="B134" s="9">
        <v>35478</v>
      </c>
      <c r="C134" s="10">
        <v>6.2323389053E-2</v>
      </c>
      <c r="D134" s="11">
        <v>808.48</v>
      </c>
      <c r="E134" s="11">
        <v>0.86905138441241703</v>
      </c>
      <c r="L134" s="9">
        <v>35478</v>
      </c>
      <c r="M134" s="14">
        <f t="shared" si="6"/>
        <v>0</v>
      </c>
      <c r="N134" s="14">
        <f t="shared" si="7"/>
        <v>0</v>
      </c>
      <c r="O134" s="14">
        <f t="shared" si="8"/>
        <v>7.8874061656664107E-3</v>
      </c>
      <c r="P134" s="14">
        <f t="array" ref="P134">MMULT(M134:O134,$I$9:$I$11)</f>
        <v>5.7581370375465752E-3</v>
      </c>
    </row>
    <row r="135" spans="2:16" x14ac:dyDescent="0.25">
      <c r="B135" s="9">
        <v>35479</v>
      </c>
      <c r="C135" s="10">
        <v>6.2500438689999993E-2</v>
      </c>
      <c r="D135" s="11">
        <v>816.29</v>
      </c>
      <c r="E135" s="11">
        <v>0.86490918337244305</v>
      </c>
      <c r="L135" s="9">
        <v>35479</v>
      </c>
      <c r="M135" s="14">
        <f t="shared" si="6"/>
        <v>2.8408217154145543E-3</v>
      </c>
      <c r="N135" s="14">
        <f t="shared" si="7"/>
        <v>9.6601029091627488E-3</v>
      </c>
      <c r="O135" s="14">
        <f t="shared" si="8"/>
        <v>-4.7663476685841921E-3</v>
      </c>
      <c r="P135" s="14">
        <f t="array" ref="P135">MMULT(M135:O135,$I$9:$I$11)</f>
        <v>-8.7181058017399109E-4</v>
      </c>
    </row>
    <row r="136" spans="2:16" x14ac:dyDescent="0.25">
      <c r="B136" s="9">
        <v>35480</v>
      </c>
      <c r="C136" s="10">
        <v>6.2687339783000007E-2</v>
      </c>
      <c r="D136" s="11">
        <v>812.49</v>
      </c>
      <c r="E136" s="11">
        <v>0.86623808128514468</v>
      </c>
      <c r="L136" s="9">
        <v>35480</v>
      </c>
      <c r="M136" s="14">
        <f t="shared" si="6"/>
        <v>2.9903964982875841E-3</v>
      </c>
      <c r="N136" s="14">
        <f t="shared" si="7"/>
        <v>-4.6552083205723127E-3</v>
      </c>
      <c r="O136" s="14">
        <f t="shared" si="8"/>
        <v>1.5364594783466856E-3</v>
      </c>
      <c r="P136" s="14">
        <f t="array" ref="P136">MMULT(M136:O136,$I$9:$I$11)</f>
        <v>-1.350313538612711E-4</v>
      </c>
    </row>
    <row r="137" spans="2:16" x14ac:dyDescent="0.25">
      <c r="B137" s="9">
        <v>35481</v>
      </c>
      <c r="C137" s="10">
        <v>6.3267679214000005E-2</v>
      </c>
      <c r="D137" s="11">
        <v>802.8</v>
      </c>
      <c r="E137" s="11">
        <v>0.8639885238270596</v>
      </c>
      <c r="L137" s="9">
        <v>35481</v>
      </c>
      <c r="M137" s="14">
        <f t="shared" ref="M137:M200" si="9">C137/C136-1</f>
        <v>9.2576815830582859E-3</v>
      </c>
      <c r="N137" s="14">
        <f t="shared" ref="N137:N200" si="10">D137/D136-1</f>
        <v>-1.1926300631392439E-2</v>
      </c>
      <c r="O137" s="14">
        <f t="shared" ref="O137:O200" si="11">E137/E136-1</f>
        <v>-2.5969274575733392E-3</v>
      </c>
      <c r="P137" s="14">
        <f t="array" ref="P137">MMULT(M137:O137,$I$9:$I$11)</f>
        <v>-5.1154672495512003E-3</v>
      </c>
    </row>
    <row r="138" spans="2:16" x14ac:dyDescent="0.25">
      <c r="B138" s="9">
        <v>35482</v>
      </c>
      <c r="C138" s="10">
        <v>6.3287348746999997E-2</v>
      </c>
      <c r="D138" s="11">
        <v>801.77</v>
      </c>
      <c r="E138" s="11">
        <v>0.8606642660200754</v>
      </c>
      <c r="L138" s="9">
        <v>35482</v>
      </c>
      <c r="M138" s="14">
        <f t="shared" si="9"/>
        <v>3.1089385993543495E-4</v>
      </c>
      <c r="N138" s="14">
        <f t="shared" si="10"/>
        <v>-1.2830094668658809E-3</v>
      </c>
      <c r="O138" s="14">
        <f t="shared" si="11"/>
        <v>-3.847571715720588E-3</v>
      </c>
      <c r="P138" s="14">
        <f t="array" ref="P138">MMULT(M138:O138,$I$9:$I$11)</f>
        <v>-3.155247381340816E-3</v>
      </c>
    </row>
    <row r="139" spans="2:16" x14ac:dyDescent="0.25">
      <c r="B139" s="9">
        <v>35485</v>
      </c>
      <c r="C139" s="10">
        <v>6.3621788025000001E-2</v>
      </c>
      <c r="D139" s="11">
        <v>810.28</v>
      </c>
      <c r="E139" s="11">
        <v>0.85381242157212078</v>
      </c>
      <c r="L139" s="9">
        <v>35485</v>
      </c>
      <c r="M139" s="14">
        <f t="shared" si="9"/>
        <v>5.2844570774637223E-3</v>
      </c>
      <c r="N139" s="14">
        <f t="shared" si="10"/>
        <v>1.0614016488519118E-2</v>
      </c>
      <c r="O139" s="14">
        <f t="shared" si="11"/>
        <v>-7.9611118045358475E-3</v>
      </c>
      <c r="P139" s="14">
        <f t="array" ref="P139">MMULT(M139:O139,$I$9:$I$11)</f>
        <v>-2.9466055911455402E-3</v>
      </c>
    </row>
    <row r="140" spans="2:16" x14ac:dyDescent="0.25">
      <c r="B140" s="9">
        <v>35486</v>
      </c>
      <c r="C140" s="10">
        <v>6.3670969009000003E-2</v>
      </c>
      <c r="D140" s="11">
        <v>812.1</v>
      </c>
      <c r="E140" s="11">
        <v>0.85693160227547627</v>
      </c>
      <c r="L140" s="9">
        <v>35486</v>
      </c>
      <c r="M140" s="14">
        <f t="shared" si="9"/>
        <v>7.7302109115007234E-4</v>
      </c>
      <c r="N140" s="14">
        <f t="shared" si="10"/>
        <v>2.2461371377795469E-3</v>
      </c>
      <c r="O140" s="14">
        <f t="shared" si="11"/>
        <v>3.6532388432721774E-3</v>
      </c>
      <c r="P140" s="14">
        <f t="array" ref="P140">MMULT(M140:O140,$I$9:$I$11)</f>
        <v>3.2733803500361964E-3</v>
      </c>
    </row>
    <row r="141" spans="2:16" x14ac:dyDescent="0.25">
      <c r="B141" s="9">
        <v>35487</v>
      </c>
      <c r="C141" s="10">
        <v>6.5313649178000005E-2</v>
      </c>
      <c r="D141" s="11">
        <v>805.68</v>
      </c>
      <c r="E141" s="11">
        <v>0.86368207271453901</v>
      </c>
      <c r="L141" s="9">
        <v>35487</v>
      </c>
      <c r="M141" s="14">
        <f t="shared" si="9"/>
        <v>2.5799515769389547E-2</v>
      </c>
      <c r="N141" s="14">
        <f t="shared" si="10"/>
        <v>-7.9054303657185576E-3</v>
      </c>
      <c r="O141" s="14">
        <f t="shared" si="11"/>
        <v>7.8774903634521998E-3</v>
      </c>
      <c r="P141" s="14">
        <f t="array" ref="P141">MMULT(M141:O141,$I$9:$I$11)</f>
        <v>3.616763179593968E-3</v>
      </c>
    </row>
    <row r="142" spans="2:16" x14ac:dyDescent="0.25">
      <c r="B142" s="9">
        <v>35488</v>
      </c>
      <c r="C142" s="10">
        <v>6.5441532134999994E-2</v>
      </c>
      <c r="D142" s="11">
        <v>795.07</v>
      </c>
      <c r="E142" s="11">
        <v>0.86403960529997226</v>
      </c>
      <c r="L142" s="9">
        <v>35488</v>
      </c>
      <c r="M142" s="14">
        <f t="shared" si="9"/>
        <v>1.9579821156749944E-3</v>
      </c>
      <c r="N142" s="14">
        <f t="shared" si="10"/>
        <v>-1.3169000099294892E-2</v>
      </c>
      <c r="O142" s="14">
        <f t="shared" si="11"/>
        <v>4.139631893822493E-4</v>
      </c>
      <c r="P142" s="14">
        <f t="array" ref="P142">MMULT(M142:O142,$I$9:$I$11)</f>
        <v>-3.2528676789025331E-3</v>
      </c>
    </row>
    <row r="143" spans="2:16" x14ac:dyDescent="0.25">
      <c r="B143" s="9">
        <v>35489</v>
      </c>
      <c r="C143" s="10">
        <v>6.5234961509999995E-2</v>
      </c>
      <c r="D143" s="11">
        <v>790.82</v>
      </c>
      <c r="E143" s="11">
        <v>0.86327232859372638</v>
      </c>
      <c r="L143" s="9">
        <v>35489</v>
      </c>
      <c r="M143" s="14">
        <f t="shared" si="9"/>
        <v>-3.1565676759196526E-3</v>
      </c>
      <c r="N143" s="14">
        <f t="shared" si="10"/>
        <v>-5.3454412818997321E-3</v>
      </c>
      <c r="O143" s="14">
        <f t="shared" si="11"/>
        <v>-8.8801103738700427E-4</v>
      </c>
      <c r="P143" s="14">
        <f t="array" ref="P143">MMULT(M143:O143,$I$9:$I$11)</f>
        <v>-2.0913304063961565E-3</v>
      </c>
    </row>
    <row r="144" spans="2:16" x14ac:dyDescent="0.25">
      <c r="B144" s="9">
        <v>35492</v>
      </c>
      <c r="C144" s="10">
        <v>6.5402178763999994E-2</v>
      </c>
      <c r="D144" s="11">
        <v>795.31</v>
      </c>
      <c r="E144" s="11">
        <v>0.86593146281010736</v>
      </c>
      <c r="L144" s="9">
        <v>35492</v>
      </c>
      <c r="M144" s="14">
        <f t="shared" si="9"/>
        <v>2.5633073145043817E-3</v>
      </c>
      <c r="N144" s="14">
        <f t="shared" si="10"/>
        <v>5.6776510457499096E-3</v>
      </c>
      <c r="O144" s="14">
        <f t="shared" si="11"/>
        <v>3.0802959023519261E-3</v>
      </c>
      <c r="P144" s="14">
        <f t="array" ref="P144">MMULT(M144:O144,$I$9:$I$11)</f>
        <v>3.7814729440103761E-3</v>
      </c>
    </row>
    <row r="145" spans="2:16" x14ac:dyDescent="0.25">
      <c r="B145" s="9">
        <v>35493</v>
      </c>
      <c r="C145" s="10">
        <v>6.5736618041999997E-2</v>
      </c>
      <c r="D145" s="11">
        <v>790.95</v>
      </c>
      <c r="E145" s="11">
        <v>0.87411271697208925</v>
      </c>
      <c r="L145" s="9">
        <v>35493</v>
      </c>
      <c r="M145" s="14">
        <f t="shared" si="9"/>
        <v>5.1135800721076041E-3</v>
      </c>
      <c r="N145" s="14">
        <f t="shared" si="10"/>
        <v>-5.4821390401226244E-3</v>
      </c>
      <c r="O145" s="14">
        <f t="shared" si="11"/>
        <v>9.4479234366102727E-3</v>
      </c>
      <c r="P145" s="14">
        <f t="array" ref="P145">MMULT(M145:O145,$I$9:$I$11)</f>
        <v>5.4174322402789667E-3</v>
      </c>
    </row>
    <row r="146" spans="2:16" x14ac:dyDescent="0.25">
      <c r="B146" s="9">
        <v>35494</v>
      </c>
      <c r="C146" s="10">
        <v>6.5687441826000004E-2</v>
      </c>
      <c r="D146" s="11">
        <v>801.99</v>
      </c>
      <c r="E146" s="11">
        <v>0.87508494113709767</v>
      </c>
      <c r="L146" s="9">
        <v>35494</v>
      </c>
      <c r="M146" s="14">
        <f t="shared" si="9"/>
        <v>-7.4807949457600387E-4</v>
      </c>
      <c r="N146" s="14">
        <f t="shared" si="10"/>
        <v>1.3957898729376028E-2</v>
      </c>
      <c r="O146" s="14">
        <f t="shared" si="11"/>
        <v>1.1122411859836312E-3</v>
      </c>
      <c r="P146" s="14">
        <f t="array" ref="P146">MMULT(M146:O146,$I$9:$I$11)</f>
        <v>4.5800304012273921E-3</v>
      </c>
    </row>
    <row r="147" spans="2:16" x14ac:dyDescent="0.25">
      <c r="B147" s="9">
        <v>35495</v>
      </c>
      <c r="C147" s="10">
        <v>6.6031708716999996E-2</v>
      </c>
      <c r="D147" s="11">
        <v>798.56</v>
      </c>
      <c r="E147" s="11">
        <v>0.87876637186501971</v>
      </c>
      <c r="L147" s="9">
        <v>35495</v>
      </c>
      <c r="M147" s="14">
        <f t="shared" si="9"/>
        <v>5.2409849041148426E-3</v>
      </c>
      <c r="N147" s="14">
        <f t="shared" si="10"/>
        <v>-4.2768613074977146E-3</v>
      </c>
      <c r="O147" s="14">
        <f t="shared" si="11"/>
        <v>4.2069410120786355E-3</v>
      </c>
      <c r="P147" s="14">
        <f t="array" ref="P147">MMULT(M147:O147,$I$9:$I$11)</f>
        <v>1.9166699155071668E-3</v>
      </c>
    </row>
    <row r="148" spans="2:16" x14ac:dyDescent="0.25">
      <c r="B148" s="9">
        <v>35496</v>
      </c>
      <c r="C148" s="10">
        <v>6.5441532134999994E-2</v>
      </c>
      <c r="D148" s="11">
        <v>804.97</v>
      </c>
      <c r="E148" s="11">
        <v>0.8789717990901571</v>
      </c>
      <c r="L148" s="9">
        <v>35496</v>
      </c>
      <c r="M148" s="14">
        <f t="shared" si="9"/>
        <v>-8.9377754031686463E-3</v>
      </c>
      <c r="N148" s="14">
        <f t="shared" si="10"/>
        <v>8.0269485073132252E-3</v>
      </c>
      <c r="O148" s="14">
        <f t="shared" si="11"/>
        <v>2.3376773590166877E-4</v>
      </c>
      <c r="P148" s="14">
        <f t="array" ref="P148">MMULT(M148:O148,$I$9:$I$11)</f>
        <v>2.3375999562652993E-3</v>
      </c>
    </row>
    <row r="149" spans="2:16" x14ac:dyDescent="0.25">
      <c r="B149" s="9">
        <v>35499</v>
      </c>
      <c r="C149" s="10">
        <v>6.5451359749000002E-2</v>
      </c>
      <c r="D149" s="11">
        <v>813.65</v>
      </c>
      <c r="E149" s="11">
        <v>0.87094303169712017</v>
      </c>
      <c r="L149" s="9">
        <v>35499</v>
      </c>
      <c r="M149" s="14">
        <f t="shared" si="9"/>
        <v>1.5017395955418955E-4</v>
      </c>
      <c r="N149" s="14">
        <f t="shared" si="10"/>
        <v>1.0783010546976834E-2</v>
      </c>
      <c r="O149" s="14">
        <f t="shared" si="11"/>
        <v>-9.1342718860237815E-3</v>
      </c>
      <c r="P149" s="14">
        <f t="array" ref="P149">MMULT(M149:O149,$I$9:$I$11)</f>
        <v>-3.7574403003451246E-3</v>
      </c>
    </row>
    <row r="150" spans="2:16" x14ac:dyDescent="0.25">
      <c r="B150" s="9">
        <v>35500</v>
      </c>
      <c r="C150" s="10">
        <v>6.5579228401E-2</v>
      </c>
      <c r="D150" s="11">
        <v>811.34</v>
      </c>
      <c r="E150" s="11">
        <v>0.87211951370857677</v>
      </c>
      <c r="L150" s="9">
        <v>35500</v>
      </c>
      <c r="M150" s="14">
        <f t="shared" si="9"/>
        <v>1.9536439348297741E-3</v>
      </c>
      <c r="N150" s="14">
        <f t="shared" si="10"/>
        <v>-2.839058563264274E-3</v>
      </c>
      <c r="O150" s="14">
        <f t="shared" si="11"/>
        <v>1.3508139667459673E-3</v>
      </c>
      <c r="P150" s="14">
        <f t="array" ref="P150">MMULT(M150:O150,$I$9:$I$11)</f>
        <v>2.1972396814255626E-4</v>
      </c>
    </row>
    <row r="151" spans="2:16" x14ac:dyDescent="0.25">
      <c r="B151" s="9">
        <v>35501</v>
      </c>
      <c r="C151" s="10">
        <v>6.5834980010999994E-2</v>
      </c>
      <c r="D151" s="11">
        <v>804.26</v>
      </c>
      <c r="E151" s="11">
        <v>0.87002284320318812</v>
      </c>
      <c r="L151" s="9">
        <v>35501</v>
      </c>
      <c r="M151" s="14">
        <f t="shared" si="9"/>
        <v>3.899887452718076E-3</v>
      </c>
      <c r="N151" s="14">
        <f t="shared" si="10"/>
        <v>-8.726304631843651E-3</v>
      </c>
      <c r="O151" s="14">
        <f t="shared" si="11"/>
        <v>-2.4041091529678482E-3</v>
      </c>
      <c r="P151" s="14">
        <f t="array" ref="P151">MMULT(M151:O151,$I$9:$I$11)</f>
        <v>-4.110836988755885E-3</v>
      </c>
    </row>
    <row r="152" spans="2:16" x14ac:dyDescent="0.25">
      <c r="B152" s="9">
        <v>35502</v>
      </c>
      <c r="C152" s="10">
        <v>6.7005510330000004E-2</v>
      </c>
      <c r="D152" s="11">
        <v>789.56</v>
      </c>
      <c r="E152" s="11">
        <v>0.8699207100355888</v>
      </c>
      <c r="L152" s="9">
        <v>35502</v>
      </c>
      <c r="M152" s="14">
        <f t="shared" si="9"/>
        <v>1.7779762655117937E-2</v>
      </c>
      <c r="N152" s="14">
        <f t="shared" si="10"/>
        <v>-1.8277671399796191E-2</v>
      </c>
      <c r="O152" s="14">
        <f t="shared" si="11"/>
        <v>-1.1739136322364008E-4</v>
      </c>
      <c r="P152" s="14">
        <f t="array" ref="P152">MMULT(M152:O152,$I$9:$I$11)</f>
        <v>-5.0199059323611872E-3</v>
      </c>
    </row>
    <row r="153" spans="2:16" x14ac:dyDescent="0.25">
      <c r="B153" s="9">
        <v>35503</v>
      </c>
      <c r="C153" s="10">
        <v>6.6641559601000003E-2</v>
      </c>
      <c r="D153" s="11">
        <v>793.17</v>
      </c>
      <c r="E153" s="11">
        <v>0.86894794895721961</v>
      </c>
      <c r="L153" s="9">
        <v>35503</v>
      </c>
      <c r="M153" s="14">
        <f t="shared" si="9"/>
        <v>-5.4316537133670684E-3</v>
      </c>
      <c r="N153" s="14">
        <f t="shared" si="10"/>
        <v>4.5721667764324625E-3</v>
      </c>
      <c r="O153" s="14">
        <f t="shared" si="11"/>
        <v>-1.1182180940713105E-3</v>
      </c>
      <c r="P153" s="14">
        <f t="array" ref="P153">MMULT(M153:O153,$I$9:$I$11)</f>
        <v>4.1794735466974041E-4</v>
      </c>
    </row>
    <row r="154" spans="2:16" x14ac:dyDescent="0.25">
      <c r="B154" s="9">
        <v>35506</v>
      </c>
      <c r="C154" s="10">
        <v>6.6848130226000002E-2</v>
      </c>
      <c r="D154" s="11">
        <v>795.71</v>
      </c>
      <c r="E154" s="11">
        <v>0.86424408078954662</v>
      </c>
      <c r="L154" s="9">
        <v>35506</v>
      </c>
      <c r="M154" s="14">
        <f t="shared" si="9"/>
        <v>3.0997267506460702E-3</v>
      </c>
      <c r="N154" s="14">
        <f t="shared" si="10"/>
        <v>3.2023399775584771E-3</v>
      </c>
      <c r="O154" s="14">
        <f t="shared" si="11"/>
        <v>-5.4132910645774412E-3</v>
      </c>
      <c r="P154" s="14">
        <f t="array" ref="P154">MMULT(M154:O154,$I$9:$I$11)</f>
        <v>-3.0874317374457875E-3</v>
      </c>
    </row>
    <row r="155" spans="2:16" x14ac:dyDescent="0.25">
      <c r="B155" s="9">
        <v>35507</v>
      </c>
      <c r="C155" s="10">
        <v>6.6926817893999999E-2</v>
      </c>
      <c r="D155" s="11">
        <v>789.66</v>
      </c>
      <c r="E155" s="11">
        <v>0.85815829128108423</v>
      </c>
      <c r="L155" s="9">
        <v>35507</v>
      </c>
      <c r="M155" s="14">
        <f t="shared" si="9"/>
        <v>1.1771109787808154E-3</v>
      </c>
      <c r="N155" s="14">
        <f t="shared" si="10"/>
        <v>-7.6032725490443598E-3</v>
      </c>
      <c r="O155" s="14">
        <f t="shared" si="11"/>
        <v>-7.0417485566144356E-3</v>
      </c>
      <c r="P155" s="14">
        <f t="array" ref="P155">MMULT(M155:O155,$I$9:$I$11)</f>
        <v>-7.193336502850067E-3</v>
      </c>
    </row>
    <row r="156" spans="2:16" x14ac:dyDescent="0.25">
      <c r="B156" s="9">
        <v>35508</v>
      </c>
      <c r="C156" s="10">
        <v>6.7153058052000003E-2</v>
      </c>
      <c r="D156" s="11">
        <v>785.77</v>
      </c>
      <c r="E156" s="11">
        <v>0.85984655903158169</v>
      </c>
      <c r="L156" s="9">
        <v>35508</v>
      </c>
      <c r="M156" s="14">
        <f t="shared" si="9"/>
        <v>3.3804110985573566E-3</v>
      </c>
      <c r="N156" s="14">
        <f t="shared" si="10"/>
        <v>-4.9261707570346092E-3</v>
      </c>
      <c r="O156" s="14">
        <f t="shared" si="11"/>
        <v>1.9673150835344266E-3</v>
      </c>
      <c r="P156" s="14">
        <f t="array" ref="P156">MMULT(M156:O156,$I$9:$I$11)</f>
        <v>1.0636279108776196E-4</v>
      </c>
    </row>
    <row r="157" spans="2:16" x14ac:dyDescent="0.25">
      <c r="B157" s="9">
        <v>35509</v>
      </c>
      <c r="C157" s="10">
        <v>6.7113709450000003E-2</v>
      </c>
      <c r="D157" s="11">
        <v>782.65</v>
      </c>
      <c r="E157" s="11">
        <v>0.86250499443328021</v>
      </c>
      <c r="L157" s="9">
        <v>35509</v>
      </c>
      <c r="M157" s="14">
        <f t="shared" si="9"/>
        <v>-5.8595398543925814E-4</v>
      </c>
      <c r="N157" s="14">
        <f t="shared" si="10"/>
        <v>-3.9706275373201372E-3</v>
      </c>
      <c r="O157" s="14">
        <f t="shared" si="11"/>
        <v>3.0917555856624368E-3</v>
      </c>
      <c r="P157" s="14">
        <f t="array" ref="P157">MMULT(M157:O157,$I$9:$I$11)</f>
        <v>1.1852081049228288E-3</v>
      </c>
    </row>
    <row r="158" spans="2:16" x14ac:dyDescent="0.25">
      <c r="B158" s="9">
        <v>35510</v>
      </c>
      <c r="C158" s="10">
        <v>6.7035021781999993E-2</v>
      </c>
      <c r="D158" s="11">
        <v>784.1</v>
      </c>
      <c r="E158" s="11">
        <v>0.86081785314631232</v>
      </c>
      <c r="L158" s="9">
        <v>35510</v>
      </c>
      <c r="M158" s="14">
        <f t="shared" si="9"/>
        <v>-1.172452970411797E-3</v>
      </c>
      <c r="N158" s="14">
        <f t="shared" si="10"/>
        <v>1.8526799974445396E-3</v>
      </c>
      <c r="O158" s="14">
        <f t="shared" si="11"/>
        <v>-1.9560945129094565E-3</v>
      </c>
      <c r="P158" s="14">
        <f t="array" ref="P158">MMULT(M158:O158,$I$9:$I$11)</f>
        <v>-9.2788500898297803E-4</v>
      </c>
    </row>
    <row r="159" spans="2:16" x14ac:dyDescent="0.25">
      <c r="B159" s="9">
        <v>35513</v>
      </c>
      <c r="C159" s="10">
        <v>6.6877641678000005E-2</v>
      </c>
      <c r="D159" s="11">
        <v>790.89</v>
      </c>
      <c r="E159" s="11">
        <v>0.86327232859372638</v>
      </c>
      <c r="L159" s="9">
        <v>35513</v>
      </c>
      <c r="M159" s="14">
        <f t="shared" si="9"/>
        <v>-2.3477295869581694E-3</v>
      </c>
      <c r="N159" s="14">
        <f t="shared" si="10"/>
        <v>8.6596097436550945E-3</v>
      </c>
      <c r="O159" s="14">
        <f t="shared" si="11"/>
        <v>2.8513296261722942E-3</v>
      </c>
      <c r="P159" s="14">
        <f t="array" ref="P159">MMULT(M159:O159,$I$9:$I$11)</f>
        <v>4.4193218509753201E-3</v>
      </c>
    </row>
    <row r="160" spans="2:16" x14ac:dyDescent="0.25">
      <c r="B160" s="9">
        <v>35514</v>
      </c>
      <c r="C160" s="10">
        <v>6.7241578102000002E-2</v>
      </c>
      <c r="D160" s="11">
        <v>789.07</v>
      </c>
      <c r="E160" s="11">
        <v>0.86455084182952502</v>
      </c>
      <c r="L160" s="9">
        <v>35514</v>
      </c>
      <c r="M160" s="14">
        <f t="shared" si="9"/>
        <v>5.441825023559721E-3</v>
      </c>
      <c r="N160" s="14">
        <f t="shared" si="10"/>
        <v>-2.3012049716141236E-3</v>
      </c>
      <c r="O160" s="14">
        <f t="shared" si="11"/>
        <v>1.4810080127105607E-3</v>
      </c>
      <c r="P160" s="14">
        <f t="array" ref="P160">MMULT(M160:O160,$I$9:$I$11)</f>
        <v>4.5996900770122362E-4</v>
      </c>
    </row>
    <row r="161" spans="2:16" x14ac:dyDescent="0.25">
      <c r="B161" s="9">
        <v>35515</v>
      </c>
      <c r="C161" s="10">
        <v>6.7595701218000001E-2</v>
      </c>
      <c r="D161" s="11">
        <v>790.5</v>
      </c>
      <c r="E161" s="11">
        <v>0.86531753755829277</v>
      </c>
      <c r="L161" s="9">
        <v>35515</v>
      </c>
      <c r="M161" s="14">
        <f t="shared" si="9"/>
        <v>5.2664307708962799E-3</v>
      </c>
      <c r="N161" s="14">
        <f t="shared" si="10"/>
        <v>1.8122600022811852E-3</v>
      </c>
      <c r="O161" s="14">
        <f t="shared" si="11"/>
        <v>8.8681392888978472E-4</v>
      </c>
      <c r="P161" s="14">
        <f t="array" ref="P161">MMULT(M161:O161,$I$9:$I$11)</f>
        <v>1.1366455861448214E-3</v>
      </c>
    </row>
    <row r="162" spans="2:16" x14ac:dyDescent="0.25">
      <c r="B162" s="9">
        <v>35516</v>
      </c>
      <c r="C162" s="10">
        <v>6.8539991378999993E-2</v>
      </c>
      <c r="D162" s="11">
        <v>773.88</v>
      </c>
      <c r="E162" s="11">
        <v>0.85780122252217561</v>
      </c>
      <c r="L162" s="9">
        <v>35516</v>
      </c>
      <c r="M162" s="14">
        <f t="shared" si="9"/>
        <v>1.3969677715963025E-2</v>
      </c>
      <c r="N162" s="14">
        <f t="shared" si="10"/>
        <v>-2.1024667931688779E-2</v>
      </c>
      <c r="O162" s="14">
        <f t="shared" si="11"/>
        <v>-8.6861928828187995E-3</v>
      </c>
      <c r="P162" s="14">
        <f t="array" ref="P162">MMULT(M162:O162,$I$9:$I$11)</f>
        <v>-1.201706407897914E-2</v>
      </c>
    </row>
    <row r="163" spans="2:16" x14ac:dyDescent="0.25">
      <c r="B163" s="9">
        <v>35517</v>
      </c>
      <c r="C163" s="10">
        <v>6.8539991378999993E-2</v>
      </c>
      <c r="D163" s="11">
        <v>773.88</v>
      </c>
      <c r="E163" s="11">
        <v>0.85713552949121552</v>
      </c>
      <c r="L163" s="9">
        <v>35517</v>
      </c>
      <c r="M163" s="14">
        <f t="shared" si="9"/>
        <v>0</v>
      </c>
      <c r="N163" s="14">
        <f t="shared" si="10"/>
        <v>0</v>
      </c>
      <c r="O163" s="14">
        <f t="shared" si="11"/>
        <v>-7.7604579415591068E-4</v>
      </c>
      <c r="P163" s="14">
        <f t="array" ref="P163">MMULT(M163:O163,$I$9:$I$11)</f>
        <v>-5.6654595139438244E-4</v>
      </c>
    </row>
    <row r="164" spans="2:16" x14ac:dyDescent="0.25">
      <c r="B164" s="9">
        <v>35520</v>
      </c>
      <c r="C164" s="10">
        <v>6.8776059151000005E-2</v>
      </c>
      <c r="D164" s="11">
        <v>757.12</v>
      </c>
      <c r="E164" s="11">
        <v>0.85314717605530344</v>
      </c>
      <c r="L164" s="9">
        <v>35520</v>
      </c>
      <c r="M164" s="14">
        <f t="shared" si="9"/>
        <v>3.4442340486249279E-3</v>
      </c>
      <c r="N164" s="14">
        <f t="shared" si="10"/>
        <v>-2.1657104460639842E-2</v>
      </c>
      <c r="O164" s="14">
        <f t="shared" si="11"/>
        <v>-4.6531187877365543E-3</v>
      </c>
      <c r="P164" s="14">
        <f t="array" ref="P164">MMULT(M164:O164,$I$9:$I$11)</f>
        <v>-9.2434823353764132E-3</v>
      </c>
    </row>
    <row r="165" spans="2:16" x14ac:dyDescent="0.25">
      <c r="B165" s="9">
        <v>35521</v>
      </c>
      <c r="C165" s="10">
        <v>6.8471140861999999E-2</v>
      </c>
      <c r="D165" s="11">
        <v>759.64</v>
      </c>
      <c r="E165" s="11">
        <v>0.85381242157212078</v>
      </c>
      <c r="L165" s="9">
        <v>35521</v>
      </c>
      <c r="M165" s="14">
        <f t="shared" si="9"/>
        <v>-4.4334946311848089E-3</v>
      </c>
      <c r="N165" s="14">
        <f t="shared" si="10"/>
        <v>3.3284023668638252E-3</v>
      </c>
      <c r="O165" s="14">
        <f t="shared" si="11"/>
        <v>7.7975469589341984E-4</v>
      </c>
      <c r="P165" s="14">
        <f t="array" ref="P165">MMULT(M165:O165,$I$9:$I$11)</f>
        <v>1.4677827611747894E-3</v>
      </c>
    </row>
    <row r="166" spans="2:16" x14ac:dyDescent="0.25">
      <c r="B166" s="9">
        <v>35522</v>
      </c>
      <c r="C166" s="10">
        <v>6.8392438888999998E-2</v>
      </c>
      <c r="D166" s="11">
        <v>750.11</v>
      </c>
      <c r="E166" s="11">
        <v>0.85411903873988637</v>
      </c>
      <c r="L166" s="9">
        <v>35522</v>
      </c>
      <c r="M166" s="14">
        <f t="shared" si="9"/>
        <v>-1.1494181637577983E-3</v>
      </c>
      <c r="N166" s="14">
        <f t="shared" si="10"/>
        <v>-1.2545416249802543E-2</v>
      </c>
      <c r="O166" s="14">
        <f t="shared" si="11"/>
        <v>3.5911537478106048E-4</v>
      </c>
      <c r="P166" s="14">
        <f t="array" ref="P166">MMULT(M166:O166,$I$9:$I$11)</f>
        <v>-3.1245673751550732E-3</v>
      </c>
    </row>
    <row r="167" spans="2:16" x14ac:dyDescent="0.25">
      <c r="B167" s="9">
        <v>35523</v>
      </c>
      <c r="C167" s="10">
        <v>6.8274412155000005E-2</v>
      </c>
      <c r="D167" s="11">
        <v>750.32</v>
      </c>
      <c r="E167" s="11">
        <v>0.85309598617831761</v>
      </c>
      <c r="L167" s="9">
        <v>35523</v>
      </c>
      <c r="M167" s="14">
        <f t="shared" si="9"/>
        <v>-1.7257278131512788E-3</v>
      </c>
      <c r="N167" s="14">
        <f t="shared" si="10"/>
        <v>2.7995893935561789E-4</v>
      </c>
      <c r="O167" s="14">
        <f t="shared" si="11"/>
        <v>-1.1977868601057429E-3</v>
      </c>
      <c r="P167" s="14">
        <f t="array" ref="P167">MMULT(M167:O167,$I$9:$I$11)</f>
        <v>-7.9885742197201E-4</v>
      </c>
    </row>
    <row r="168" spans="2:16" x14ac:dyDescent="0.25">
      <c r="B168" s="9">
        <v>35524</v>
      </c>
      <c r="C168" s="10">
        <v>6.8785901070000002E-2</v>
      </c>
      <c r="D168" s="11">
        <v>757.9</v>
      </c>
      <c r="E168" s="11">
        <v>0.85693160227547627</v>
      </c>
      <c r="L168" s="9">
        <v>35524</v>
      </c>
      <c r="M168" s="14">
        <f t="shared" si="9"/>
        <v>7.4916634044213115E-3</v>
      </c>
      <c r="N168" s="14">
        <f t="shared" si="10"/>
        <v>1.0102356327966744E-2</v>
      </c>
      <c r="O168" s="14">
        <f t="shared" si="11"/>
        <v>4.4961131681575672E-3</v>
      </c>
      <c r="P168" s="14">
        <f t="array" ref="P168">MMULT(M168:O168,$I$9:$I$11)</f>
        <v>6.0095638811279318E-3</v>
      </c>
    </row>
    <row r="169" spans="2:16" x14ac:dyDescent="0.25">
      <c r="B169" s="9">
        <v>35527</v>
      </c>
      <c r="C169" s="10">
        <v>6.8313751221000002E-2</v>
      </c>
      <c r="D169" s="11">
        <v>762.13</v>
      </c>
      <c r="E169" s="11">
        <v>0.87493078398507296</v>
      </c>
      <c r="L169" s="9">
        <v>35527</v>
      </c>
      <c r="M169" s="14">
        <f t="shared" si="9"/>
        <v>-6.8640497784497878E-3</v>
      </c>
      <c r="N169" s="14">
        <f t="shared" si="10"/>
        <v>5.5812112415887238E-3</v>
      </c>
      <c r="O169" s="14">
        <f t="shared" si="11"/>
        <v>2.1004222112712467E-2</v>
      </c>
      <c r="P169" s="14">
        <f t="array" ref="P169">MMULT(M169:O169,$I$9:$I$11)</f>
        <v>1.6840655507826492E-2</v>
      </c>
    </row>
    <row r="170" spans="2:16" x14ac:dyDescent="0.25">
      <c r="B170" s="9">
        <v>35528</v>
      </c>
      <c r="C170" s="10">
        <v>6.8589172362999995E-2</v>
      </c>
      <c r="D170" s="11">
        <v>766.12</v>
      </c>
      <c r="E170" s="11">
        <v>0.87493078398507296</v>
      </c>
      <c r="L170" s="9">
        <v>35528</v>
      </c>
      <c r="M170" s="14">
        <f t="shared" si="9"/>
        <v>4.0317086542207559E-3</v>
      </c>
      <c r="N170" s="14">
        <f t="shared" si="10"/>
        <v>5.2353273063650008E-3</v>
      </c>
      <c r="O170" s="14">
        <f t="shared" si="11"/>
        <v>0</v>
      </c>
      <c r="P170" s="14">
        <f t="array" ref="P170">MMULT(M170:O170,$I$9:$I$11)</f>
        <v>1.4133189764678389E-3</v>
      </c>
    </row>
    <row r="171" spans="2:16" x14ac:dyDescent="0.25">
      <c r="B171" s="9">
        <v>35529</v>
      </c>
      <c r="C171" s="10">
        <v>6.8608841896E-2</v>
      </c>
      <c r="D171" s="11">
        <v>760.6</v>
      </c>
      <c r="E171" s="11">
        <v>0.87937989967792096</v>
      </c>
      <c r="L171" s="9">
        <v>35529</v>
      </c>
      <c r="M171" s="14">
        <f t="shared" si="9"/>
        <v>2.867731497897541E-4</v>
      </c>
      <c r="N171" s="14">
        <f t="shared" si="10"/>
        <v>-7.2051375763587666E-3</v>
      </c>
      <c r="O171" s="14">
        <f t="shared" si="11"/>
        <v>5.0851059012730904E-3</v>
      </c>
      <c r="P171" s="14">
        <f t="array" ref="P171">MMULT(M171:O171,$I$9:$I$11)</f>
        <v>1.7672552081122127E-3</v>
      </c>
    </row>
    <row r="172" spans="2:16" x14ac:dyDescent="0.25">
      <c r="B172" s="9">
        <v>35530</v>
      </c>
      <c r="C172" s="10">
        <v>6.8658027649000003E-2</v>
      </c>
      <c r="D172" s="11">
        <v>758.34</v>
      </c>
      <c r="E172" s="11">
        <v>0.87794856254804043</v>
      </c>
      <c r="L172" s="9">
        <v>35530</v>
      </c>
      <c r="M172" s="14">
        <f t="shared" si="9"/>
        <v>7.1690108214572668E-4</v>
      </c>
      <c r="N172" s="14">
        <f t="shared" si="10"/>
        <v>-2.9713384170391155E-3</v>
      </c>
      <c r="O172" s="14">
        <f t="shared" si="11"/>
        <v>-1.6276664163062948E-3</v>
      </c>
      <c r="P172" s="14">
        <f t="array" ref="P172">MMULT(M172:O172,$I$9:$I$11)</f>
        <v>-1.9904015473983651E-3</v>
      </c>
    </row>
    <row r="173" spans="2:16" x14ac:dyDescent="0.25">
      <c r="B173" s="9">
        <v>35531</v>
      </c>
      <c r="C173" s="10">
        <v>6.9277720451000002E-2</v>
      </c>
      <c r="D173" s="11">
        <v>737.65</v>
      </c>
      <c r="E173" s="11">
        <v>0.88162990078108361</v>
      </c>
      <c r="L173" s="9">
        <v>35531</v>
      </c>
      <c r="M173" s="14">
        <f t="shared" si="9"/>
        <v>9.0257879991550993E-3</v>
      </c>
      <c r="N173" s="14">
        <f t="shared" si="10"/>
        <v>-2.7283276630535203E-2</v>
      </c>
      <c r="O173" s="14">
        <f t="shared" si="11"/>
        <v>4.1931137996957801E-3</v>
      </c>
      <c r="P173" s="14">
        <f t="array" ref="P173">MMULT(M173:O173,$I$9:$I$11)</f>
        <v>-4.3041925390446406E-3</v>
      </c>
    </row>
    <row r="174" spans="2:16" x14ac:dyDescent="0.25">
      <c r="B174" s="9">
        <v>35534</v>
      </c>
      <c r="C174" s="10">
        <v>6.9336738585999994E-2</v>
      </c>
      <c r="D174" s="11">
        <v>743.73</v>
      </c>
      <c r="E174" s="11">
        <v>0.88122119077095196</v>
      </c>
      <c r="L174" s="9">
        <v>35534</v>
      </c>
      <c r="M174" s="14">
        <f t="shared" si="9"/>
        <v>8.5190642266774752E-4</v>
      </c>
      <c r="N174" s="14">
        <f t="shared" si="10"/>
        <v>8.2423913780249602E-3</v>
      </c>
      <c r="O174" s="14">
        <f t="shared" si="11"/>
        <v>-4.6358456056172503E-4</v>
      </c>
      <c r="P174" s="14">
        <f t="array" ref="P174">MMULT(M174:O174,$I$9:$I$11)</f>
        <v>1.8866641025385995E-3</v>
      </c>
    </row>
    <row r="175" spans="2:16" x14ac:dyDescent="0.25">
      <c r="B175" s="9">
        <v>35535</v>
      </c>
      <c r="C175" s="10">
        <v>6.8431792259000007E-2</v>
      </c>
      <c r="D175" s="11">
        <v>754.72</v>
      </c>
      <c r="E175" s="11">
        <v>0.88664080922559696</v>
      </c>
      <c r="L175" s="9">
        <v>35535</v>
      </c>
      <c r="M175" s="14">
        <f t="shared" si="9"/>
        <v>-1.3051469472818655E-2</v>
      </c>
      <c r="N175" s="14">
        <f t="shared" si="10"/>
        <v>1.477686794939026E-2</v>
      </c>
      <c r="O175" s="14">
        <f t="shared" si="11"/>
        <v>6.1501227063134323E-3</v>
      </c>
      <c r="P175" s="14">
        <f t="array" ref="P175">MMULT(M175:O175,$I$9:$I$11)</f>
        <v>8.4789824019376094E-3</v>
      </c>
    </row>
    <row r="176" spans="2:16" x14ac:dyDescent="0.25">
      <c r="B176" s="9">
        <v>35536</v>
      </c>
      <c r="C176" s="10">
        <v>6.8618679047000003E-2</v>
      </c>
      <c r="D176" s="11">
        <v>763.53</v>
      </c>
      <c r="E176" s="11">
        <v>0.88393102888389685</v>
      </c>
      <c r="L176" s="9">
        <v>35536</v>
      </c>
      <c r="M176" s="14">
        <f t="shared" si="9"/>
        <v>2.7309936190573758E-3</v>
      </c>
      <c r="N176" s="14">
        <f t="shared" si="10"/>
        <v>1.1673203307186686E-2</v>
      </c>
      <c r="O176" s="14">
        <f t="shared" si="11"/>
        <v>-3.0562323699795391E-3</v>
      </c>
      <c r="P176" s="14">
        <f t="array" ref="P176">MMULT(M176:O176,$I$9:$I$11)</f>
        <v>9.2009799811265105E-4</v>
      </c>
    </row>
    <row r="177" spans="2:16" x14ac:dyDescent="0.25">
      <c r="B177" s="9">
        <v>35537</v>
      </c>
      <c r="C177" s="10">
        <v>6.8205552101000003E-2</v>
      </c>
      <c r="D177" s="11">
        <v>761.77</v>
      </c>
      <c r="E177" s="11">
        <v>0.88244845921450166</v>
      </c>
      <c r="L177" s="9">
        <v>35537</v>
      </c>
      <c r="M177" s="14">
        <f t="shared" si="9"/>
        <v>-6.0206193377321249E-3</v>
      </c>
      <c r="N177" s="14">
        <f t="shared" si="10"/>
        <v>-2.305082969889849E-3</v>
      </c>
      <c r="O177" s="14">
        <f t="shared" si="11"/>
        <v>-1.6772458720757388E-3</v>
      </c>
      <c r="P177" s="14">
        <f t="array" ref="P177">MMULT(M177:O177,$I$9:$I$11)</f>
        <v>-1.8467355777895295E-3</v>
      </c>
    </row>
    <row r="178" spans="2:16" x14ac:dyDescent="0.25">
      <c r="B178" s="9">
        <v>35538</v>
      </c>
      <c r="C178" s="10">
        <v>6.7998991012999999E-2</v>
      </c>
      <c r="D178" s="11">
        <v>766.34</v>
      </c>
      <c r="E178" s="11">
        <v>0.87758998699936697</v>
      </c>
      <c r="L178" s="9">
        <v>35538</v>
      </c>
      <c r="M178" s="14">
        <f t="shared" si="9"/>
        <v>-3.0285084078510716E-3</v>
      </c>
      <c r="N178" s="14">
        <f t="shared" si="10"/>
        <v>5.9991861060426643E-3</v>
      </c>
      <c r="O178" s="14">
        <f t="shared" si="11"/>
        <v>-5.5056725006459306E-3</v>
      </c>
      <c r="P178" s="14">
        <f t="array" ref="P178">MMULT(M178:O178,$I$9:$I$11)</f>
        <v>-2.3998428096075643E-3</v>
      </c>
    </row>
    <row r="179" spans="2:16" x14ac:dyDescent="0.25">
      <c r="B179" s="9">
        <v>35541</v>
      </c>
      <c r="C179" s="10">
        <v>6.8372769356000007E-2</v>
      </c>
      <c r="D179" s="11">
        <v>760.37</v>
      </c>
      <c r="E179" s="11">
        <v>0.87048192644969336</v>
      </c>
      <c r="L179" s="9">
        <v>35541</v>
      </c>
      <c r="M179" s="14">
        <f t="shared" si="9"/>
        <v>5.4968219003213026E-3</v>
      </c>
      <c r="N179" s="14">
        <f t="shared" si="10"/>
        <v>-7.7902758566693597E-3</v>
      </c>
      <c r="O179" s="14">
        <f t="shared" si="11"/>
        <v>-8.0995233024220292E-3</v>
      </c>
      <c r="P179" s="14">
        <f t="array" ref="P179">MMULT(M179:O179,$I$9:$I$11)</f>
        <v>-8.016039451665442E-3</v>
      </c>
    </row>
    <row r="180" spans="2:16" x14ac:dyDescent="0.25">
      <c r="B180" s="9">
        <v>35542</v>
      </c>
      <c r="C180" s="10">
        <v>6.8067841529999992E-2</v>
      </c>
      <c r="D180" s="11">
        <v>774.61</v>
      </c>
      <c r="E180" s="11">
        <v>0.87503409702707979</v>
      </c>
      <c r="L180" s="9">
        <v>35542</v>
      </c>
      <c r="M180" s="14">
        <f t="shared" si="9"/>
        <v>-4.4597846316906109E-3</v>
      </c>
      <c r="N180" s="14">
        <f t="shared" si="10"/>
        <v>1.8727724660362766E-2</v>
      </c>
      <c r="O180" s="14">
        <f t="shared" si="11"/>
        <v>5.2294831622210491E-3</v>
      </c>
      <c r="P180" s="14">
        <f t="array" ref="P180">MMULT(M180:O180,$I$9:$I$11)</f>
        <v>8.8734426974874606E-3</v>
      </c>
    </row>
    <row r="181" spans="2:16" x14ac:dyDescent="0.25">
      <c r="B181" s="9">
        <v>35543</v>
      </c>
      <c r="C181" s="10">
        <v>6.8471140861999999E-2</v>
      </c>
      <c r="D181" s="11">
        <v>773.64</v>
      </c>
      <c r="E181" s="11">
        <v>0.87564699289473846</v>
      </c>
      <c r="L181" s="9">
        <v>35543</v>
      </c>
      <c r="M181" s="14">
        <f t="shared" si="9"/>
        <v>5.9249613758101116E-3</v>
      </c>
      <c r="N181" s="14">
        <f t="shared" si="10"/>
        <v>-1.2522430642517568E-3</v>
      </c>
      <c r="O181" s="14">
        <f t="shared" si="11"/>
        <v>7.0042512599344242E-4</v>
      </c>
      <c r="P181" s="14">
        <f t="array" ref="P181">MMULT(M181:O181,$I$9:$I$11)</f>
        <v>1.7328654486530265E-4</v>
      </c>
    </row>
    <row r="182" spans="2:16" x14ac:dyDescent="0.25">
      <c r="B182" s="9">
        <v>35544</v>
      </c>
      <c r="C182" s="10">
        <v>6.8894100188999996E-2</v>
      </c>
      <c r="D182" s="11">
        <v>771.18</v>
      </c>
      <c r="E182" s="11">
        <v>0.87799992970240881</v>
      </c>
      <c r="L182" s="9">
        <v>35544</v>
      </c>
      <c r="M182" s="14">
        <f t="shared" si="9"/>
        <v>6.1771911739056939E-3</v>
      </c>
      <c r="N182" s="14">
        <f t="shared" si="10"/>
        <v>-3.1797735380797443E-3</v>
      </c>
      <c r="O182" s="14">
        <f t="shared" si="11"/>
        <v>2.6870837526569158E-3</v>
      </c>
      <c r="P182" s="14">
        <f t="array" ref="P182">MMULT(M182:O182,$I$9:$I$11)</f>
        <v>1.1032781458621141E-3</v>
      </c>
    </row>
    <row r="183" spans="2:16" x14ac:dyDescent="0.25">
      <c r="B183" s="9">
        <v>35545</v>
      </c>
      <c r="C183" s="10">
        <v>6.9012141227999993E-2</v>
      </c>
      <c r="D183" s="11">
        <v>765.37</v>
      </c>
      <c r="E183" s="11">
        <v>0.88132293921294014</v>
      </c>
      <c r="L183" s="9">
        <v>35545</v>
      </c>
      <c r="M183" s="14">
        <f t="shared" si="9"/>
        <v>1.7133693404249861E-3</v>
      </c>
      <c r="N183" s="14">
        <f t="shared" si="10"/>
        <v>-7.5339090744054316E-3</v>
      </c>
      <c r="O183" s="14">
        <f t="shared" si="11"/>
        <v>3.7847491760707452E-3</v>
      </c>
      <c r="P183" s="14">
        <f t="array" ref="P183">MMULT(M183:O183,$I$9:$I$11)</f>
        <v>7.2918577813312502E-4</v>
      </c>
    </row>
    <row r="184" spans="2:16" x14ac:dyDescent="0.25">
      <c r="B184" s="9">
        <v>35548</v>
      </c>
      <c r="C184" s="10">
        <v>6.8805570602000002E-2</v>
      </c>
      <c r="D184" s="11">
        <v>772.96</v>
      </c>
      <c r="E184" s="11">
        <v>0.88326686498737672</v>
      </c>
      <c r="L184" s="9">
        <v>35548</v>
      </c>
      <c r="M184" s="14">
        <f t="shared" si="9"/>
        <v>-2.9932504965688445E-3</v>
      </c>
      <c r="N184" s="14">
        <f t="shared" si="10"/>
        <v>9.9167722800737046E-3</v>
      </c>
      <c r="O184" s="14">
        <f t="shared" si="11"/>
        <v>2.2056906588323599E-3</v>
      </c>
      <c r="P184" s="14">
        <f t="array" ref="P184">MMULT(M184:O184,$I$9:$I$11)</f>
        <v>4.2873595491695424E-3</v>
      </c>
    </row>
    <row r="185" spans="2:16" x14ac:dyDescent="0.25">
      <c r="B185" s="9">
        <v>35549</v>
      </c>
      <c r="C185" s="10">
        <v>6.7330107688999996E-2</v>
      </c>
      <c r="D185" s="11">
        <v>794.05</v>
      </c>
      <c r="E185" s="11">
        <v>0.88198872567024156</v>
      </c>
      <c r="L185" s="9">
        <v>35549</v>
      </c>
      <c r="M185" s="14">
        <f t="shared" si="9"/>
        <v>-2.1443945600490677E-2</v>
      </c>
      <c r="N185" s="14">
        <f t="shared" si="10"/>
        <v>2.7284723659697585E-2</v>
      </c>
      <c r="O185" s="14">
        <f t="shared" si="11"/>
        <v>-1.4470590574610087E-3</v>
      </c>
      <c r="P185" s="14">
        <f t="array" ref="P185">MMULT(M185:O185,$I$9:$I$11)</f>
        <v>6.3093182167051317E-3</v>
      </c>
    </row>
    <row r="186" spans="2:16" x14ac:dyDescent="0.25">
      <c r="B186" s="9">
        <v>35550</v>
      </c>
      <c r="C186" s="10">
        <v>6.6828460692999997E-2</v>
      </c>
      <c r="D186" s="11">
        <v>801.34</v>
      </c>
      <c r="E186" s="11">
        <v>0.88551682178308821</v>
      </c>
      <c r="L186" s="9">
        <v>35550</v>
      </c>
      <c r="M186" s="14">
        <f t="shared" si="9"/>
        <v>-7.4505598344967172E-3</v>
      </c>
      <c r="N186" s="14">
        <f t="shared" si="10"/>
        <v>9.1807820666205409E-3</v>
      </c>
      <c r="O186" s="14">
        <f t="shared" si="11"/>
        <v>4.0001601042751744E-3</v>
      </c>
      <c r="P186" s="14">
        <f t="array" ref="P186">MMULT(M186:O186,$I$9:$I$11)</f>
        <v>5.3987109303881824E-3</v>
      </c>
    </row>
    <row r="187" spans="2:16" x14ac:dyDescent="0.25">
      <c r="B187" s="9">
        <v>35551</v>
      </c>
      <c r="C187" s="10">
        <v>6.6562871932999992E-2</v>
      </c>
      <c r="D187" s="11">
        <v>798.53</v>
      </c>
      <c r="E187" s="11">
        <v>0.87881774262593915</v>
      </c>
      <c r="L187" s="9">
        <v>35551</v>
      </c>
      <c r="M187" s="14">
        <f t="shared" si="9"/>
        <v>-3.9741864057003529E-3</v>
      </c>
      <c r="N187" s="14">
        <f t="shared" si="10"/>
        <v>-3.5066264007788117E-3</v>
      </c>
      <c r="O187" s="14">
        <f t="shared" si="11"/>
        <v>-7.5651630690196647E-3</v>
      </c>
      <c r="P187" s="14">
        <f t="array" ref="P187">MMULT(M187:O187,$I$9:$I$11)</f>
        <v>-6.4695282492173503E-3</v>
      </c>
    </row>
    <row r="188" spans="2:16" x14ac:dyDescent="0.25">
      <c r="B188" s="9">
        <v>35552</v>
      </c>
      <c r="C188" s="10">
        <v>6.6307129859999994E-2</v>
      </c>
      <c r="D188" s="11">
        <v>812.97</v>
      </c>
      <c r="E188" s="11">
        <v>0.88388073492799735</v>
      </c>
      <c r="L188" s="9">
        <v>35552</v>
      </c>
      <c r="M188" s="14">
        <f t="shared" si="9"/>
        <v>-3.8421129613731564E-3</v>
      </c>
      <c r="N188" s="14">
        <f t="shared" si="10"/>
        <v>1.8083227931323886E-2</v>
      </c>
      <c r="O188" s="14">
        <f t="shared" si="11"/>
        <v>5.7611402870973993E-3</v>
      </c>
      <c r="P188" s="14">
        <f t="array" ref="P188">MMULT(M188:O188,$I$9:$I$11)</f>
        <v>9.0875875707490533E-3</v>
      </c>
    </row>
    <row r="189" spans="2:16" x14ac:dyDescent="0.25">
      <c r="B189" s="9">
        <v>35555</v>
      </c>
      <c r="C189" s="10">
        <v>6.6238269805999991E-2</v>
      </c>
      <c r="D189" s="11">
        <v>830.24</v>
      </c>
      <c r="E189" s="11">
        <v>0.88567024371678382</v>
      </c>
      <c r="L189" s="9">
        <v>35555</v>
      </c>
      <c r="M189" s="14">
        <f t="shared" si="9"/>
        <v>-1.0385015027101208E-3</v>
      </c>
      <c r="N189" s="14">
        <f t="shared" si="10"/>
        <v>2.1243096301216458E-2</v>
      </c>
      <c r="O189" s="14">
        <f t="shared" si="11"/>
        <v>2.0246043590170792E-3</v>
      </c>
      <c r="P189" s="14">
        <f t="array" ref="P189">MMULT(M189:O189,$I$9:$I$11)</f>
        <v>7.2127917963109838E-3</v>
      </c>
    </row>
    <row r="190" spans="2:16" x14ac:dyDescent="0.25">
      <c r="B190" s="9">
        <v>35556</v>
      </c>
      <c r="C190" s="10">
        <v>6.6228442191999998E-2</v>
      </c>
      <c r="D190" s="11">
        <v>827.76</v>
      </c>
      <c r="E190" s="11">
        <v>0.88111937327642531</v>
      </c>
      <c r="L190" s="9">
        <v>35556</v>
      </c>
      <c r="M190" s="14">
        <f t="shared" si="9"/>
        <v>-1.4836761329628523E-4</v>
      </c>
      <c r="N190" s="14">
        <f t="shared" si="10"/>
        <v>-2.9870880709192971E-3</v>
      </c>
      <c r="O190" s="14">
        <f t="shared" si="11"/>
        <v>-5.1383350323032095E-3</v>
      </c>
      <c r="P190" s="14">
        <f t="array" ref="P190">MMULT(M190:O190,$I$9:$I$11)</f>
        <v>-4.5575885047850146E-3</v>
      </c>
    </row>
    <row r="191" spans="2:16" x14ac:dyDescent="0.25">
      <c r="B191" s="9">
        <v>35557</v>
      </c>
      <c r="C191" s="10">
        <v>6.7044858932000004E-2</v>
      </c>
      <c r="D191" s="11">
        <v>815.62</v>
      </c>
      <c r="E191" s="11">
        <v>0.87922726677957996</v>
      </c>
      <c r="L191" s="9">
        <v>35557</v>
      </c>
      <c r="M191" s="14">
        <f t="shared" si="9"/>
        <v>1.2327282855803423E-2</v>
      </c>
      <c r="N191" s="14">
        <f t="shared" si="10"/>
        <v>-1.4666086788441057E-2</v>
      </c>
      <c r="O191" s="14">
        <f t="shared" si="11"/>
        <v>-2.1473895072918747E-3</v>
      </c>
      <c r="P191" s="14">
        <f t="array" ref="P191">MMULT(M191:O191,$I$9:$I$11)</f>
        <v>-5.5269131536155366E-3</v>
      </c>
    </row>
    <row r="192" spans="2:16" x14ac:dyDescent="0.25">
      <c r="B192" s="9">
        <v>35558</v>
      </c>
      <c r="C192" s="10">
        <v>6.7044858932000004E-2</v>
      </c>
      <c r="D192" s="11">
        <v>820.26</v>
      </c>
      <c r="E192" s="11">
        <v>0.87314101471832251</v>
      </c>
      <c r="L192" s="9">
        <v>35558</v>
      </c>
      <c r="M192" s="14">
        <f t="shared" si="9"/>
        <v>0</v>
      </c>
      <c r="N192" s="14">
        <f t="shared" si="10"/>
        <v>5.6889237635173728E-3</v>
      </c>
      <c r="O192" s="14">
        <f t="shared" si="11"/>
        <v>-6.922274014032892E-3</v>
      </c>
      <c r="P192" s="14">
        <f t="array" ref="P192">MMULT(M192:O192,$I$9:$I$11)</f>
        <v>-3.5177791100884505E-3</v>
      </c>
    </row>
    <row r="193" spans="2:16" x14ac:dyDescent="0.25">
      <c r="B193" s="9">
        <v>35559</v>
      </c>
      <c r="C193" s="10">
        <v>6.6090731621000001E-2</v>
      </c>
      <c r="D193" s="11">
        <v>824.78</v>
      </c>
      <c r="E193" s="11">
        <v>0.86593146281010736</v>
      </c>
      <c r="L193" s="9">
        <v>35559</v>
      </c>
      <c r="M193" s="14">
        <f t="shared" si="9"/>
        <v>-1.4231177844191145E-2</v>
      </c>
      <c r="N193" s="14">
        <f t="shared" si="10"/>
        <v>5.51044790676114E-3</v>
      </c>
      <c r="O193" s="14">
        <f t="shared" si="11"/>
        <v>-8.2570304070997969E-3</v>
      </c>
      <c r="P193" s="14">
        <f t="array" ref="P193">MMULT(M193:O193,$I$9:$I$11)</f>
        <v>-4.540388214465025E-3</v>
      </c>
    </row>
    <row r="194" spans="2:16" x14ac:dyDescent="0.25">
      <c r="B194" s="9">
        <v>35562</v>
      </c>
      <c r="C194" s="10">
        <v>6.5953021048999999E-2</v>
      </c>
      <c r="D194" s="11">
        <v>837.66</v>
      </c>
      <c r="E194" s="11">
        <v>0.86951097487718265</v>
      </c>
      <c r="L194" s="9">
        <v>35562</v>
      </c>
      <c r="M194" s="14">
        <f t="shared" si="9"/>
        <v>-2.0836593667885595E-3</v>
      </c>
      <c r="N194" s="14">
        <f t="shared" si="10"/>
        <v>1.5616285554935772E-2</v>
      </c>
      <c r="O194" s="14">
        <f t="shared" si="11"/>
        <v>4.1337129100946779E-3</v>
      </c>
      <c r="P194" s="14">
        <f t="array" ref="P194">MMULT(M194:O194,$I$9:$I$11)</f>
        <v>7.233526325369422E-3</v>
      </c>
    </row>
    <row r="195" spans="2:16" x14ac:dyDescent="0.25">
      <c r="B195" s="9">
        <v>35563</v>
      </c>
      <c r="C195" s="10">
        <v>6.6562871932999992E-2</v>
      </c>
      <c r="D195" s="11">
        <v>833.13</v>
      </c>
      <c r="E195" s="11">
        <v>0.86787436056574951</v>
      </c>
      <c r="L195" s="9">
        <v>35563</v>
      </c>
      <c r="M195" s="14">
        <f t="shared" si="9"/>
        <v>9.246746764593361E-3</v>
      </c>
      <c r="N195" s="14">
        <f t="shared" si="10"/>
        <v>-5.4079220686197305E-3</v>
      </c>
      <c r="O195" s="14">
        <f t="shared" si="11"/>
        <v>-1.8822238691861282E-3</v>
      </c>
      <c r="P195" s="14">
        <f t="array" ref="P195">MMULT(M195:O195,$I$9:$I$11)</f>
        <v>-2.8340146320100404E-3</v>
      </c>
    </row>
    <row r="196" spans="2:16" x14ac:dyDescent="0.25">
      <c r="B196" s="9">
        <v>35564</v>
      </c>
      <c r="C196" s="10">
        <v>6.6238269805999991E-2</v>
      </c>
      <c r="D196" s="11">
        <v>836.04</v>
      </c>
      <c r="E196" s="11">
        <v>0.86961292178516392</v>
      </c>
      <c r="L196" s="9">
        <v>35564</v>
      </c>
      <c r="M196" s="14">
        <f t="shared" si="9"/>
        <v>-4.8766244239992762E-3</v>
      </c>
      <c r="N196" s="14">
        <f t="shared" si="10"/>
        <v>3.4928522559503072E-3</v>
      </c>
      <c r="O196" s="14">
        <f t="shared" si="11"/>
        <v>2.003240674469442E-3</v>
      </c>
      <c r="P196" s="14">
        <f t="array" ref="P196">MMULT(M196:O196,$I$9:$I$11)</f>
        <v>2.4053733764904982E-3</v>
      </c>
    </row>
    <row r="197" spans="2:16" x14ac:dyDescent="0.25">
      <c r="B197" s="9">
        <v>35565</v>
      </c>
      <c r="C197" s="10">
        <v>6.6100559234999995E-2</v>
      </c>
      <c r="D197" s="11">
        <v>841.88</v>
      </c>
      <c r="E197" s="11">
        <v>0.86843743425714237</v>
      </c>
      <c r="L197" s="9">
        <v>35565</v>
      </c>
      <c r="M197" s="14">
        <f t="shared" si="9"/>
        <v>-2.079018238298258E-3</v>
      </c>
      <c r="N197" s="14">
        <f t="shared" si="10"/>
        <v>6.9853117075737714E-3</v>
      </c>
      <c r="O197" s="14">
        <f t="shared" si="11"/>
        <v>-1.3517365008888227E-3</v>
      </c>
      <c r="P197" s="14">
        <f t="array" ref="P197">MMULT(M197:O197,$I$9:$I$11)</f>
        <v>8.9891713568934707E-4</v>
      </c>
    </row>
    <row r="198" spans="2:16" x14ac:dyDescent="0.25">
      <c r="B198" s="9">
        <v>35566</v>
      </c>
      <c r="C198" s="10">
        <v>6.6375980377000002E-2</v>
      </c>
      <c r="D198" s="11">
        <v>829.75</v>
      </c>
      <c r="E198" s="11">
        <v>0.86628942918784224</v>
      </c>
      <c r="L198" s="9">
        <v>35566</v>
      </c>
      <c r="M198" s="14">
        <f t="shared" si="9"/>
        <v>4.1666991200608461E-3</v>
      </c>
      <c r="N198" s="14">
        <f t="shared" si="10"/>
        <v>-1.4408229201311351E-2</v>
      </c>
      <c r="O198" s="14">
        <f t="shared" si="11"/>
        <v>-2.4734137251205546E-3</v>
      </c>
      <c r="P198" s="14">
        <f t="array" ref="P198">MMULT(M198:O198,$I$9:$I$11)</f>
        <v>-5.6953137527721402E-3</v>
      </c>
    </row>
    <row r="199" spans="2:16" x14ac:dyDescent="0.25">
      <c r="B199" s="9">
        <v>35569</v>
      </c>
      <c r="C199" s="10">
        <v>6.6484179497000001E-2</v>
      </c>
      <c r="D199" s="11">
        <v>833.27</v>
      </c>
      <c r="E199" s="11">
        <v>0.87298899528518792</v>
      </c>
      <c r="L199" s="9">
        <v>35569</v>
      </c>
      <c r="M199" s="14">
        <f t="shared" si="9"/>
        <v>1.6300944917944094E-3</v>
      </c>
      <c r="N199" s="14">
        <f t="shared" si="10"/>
        <v>4.2422416390479611E-3</v>
      </c>
      <c r="O199" s="14">
        <f t="shared" si="11"/>
        <v>7.7336348241332509E-3</v>
      </c>
      <c r="P199" s="14">
        <f t="array" ref="P199">MMULT(M199:O199,$I$9:$I$11)</f>
        <v>6.791104977567148E-3</v>
      </c>
    </row>
    <row r="200" spans="2:16" x14ac:dyDescent="0.25">
      <c r="B200" s="9">
        <v>35570</v>
      </c>
      <c r="C200" s="10">
        <v>6.6444840431000005E-2</v>
      </c>
      <c r="D200" s="11">
        <v>841.66</v>
      </c>
      <c r="E200" s="11">
        <v>0.86669908804792639</v>
      </c>
      <c r="L200" s="9">
        <v>35570</v>
      </c>
      <c r="M200" s="14">
        <f t="shared" si="9"/>
        <v>-5.9170567039590338E-4</v>
      </c>
      <c r="N200" s="14">
        <f t="shared" si="10"/>
        <v>1.0068765226157073E-2</v>
      </c>
      <c r="O200" s="14">
        <f t="shared" si="11"/>
        <v>-7.205024658079151E-3</v>
      </c>
      <c r="P200" s="14">
        <f t="array" ref="P200">MMULT(M200:O200,$I$9:$I$11)</f>
        <v>-2.5418252800330104E-3</v>
      </c>
    </row>
    <row r="201" spans="2:16" x14ac:dyDescent="0.25">
      <c r="B201" s="9">
        <v>35571</v>
      </c>
      <c r="C201" s="10">
        <v>6.6789112090999997E-2</v>
      </c>
      <c r="D201" s="11">
        <v>839.35</v>
      </c>
      <c r="E201" s="11">
        <v>0.86674896812731439</v>
      </c>
      <c r="L201" s="9">
        <v>35571</v>
      </c>
      <c r="M201" s="14">
        <f t="shared" ref="M201:M264" si="12">C201/C200-1</f>
        <v>5.1813151746147312E-3</v>
      </c>
      <c r="N201" s="14">
        <f t="shared" ref="N201:N264" si="13">D201/D200-1</f>
        <v>-2.74457619466284E-3</v>
      </c>
      <c r="O201" s="14">
        <f t="shared" ref="O201:O264" si="14">E201/E200-1</f>
        <v>5.7551784784282134E-5</v>
      </c>
      <c r="P201" s="14">
        <f t="array" ref="P201">MMULT(M201:O201,$I$9:$I$11)</f>
        <v>-6.9890534121608272E-4</v>
      </c>
    </row>
    <row r="202" spans="2:16" x14ac:dyDescent="0.25">
      <c r="B202" s="9">
        <v>35572</v>
      </c>
      <c r="C202" s="10">
        <v>6.7005510330000004E-2</v>
      </c>
      <c r="D202" s="11">
        <v>835.66</v>
      </c>
      <c r="E202" s="11">
        <v>0.86588015740811486</v>
      </c>
      <c r="L202" s="9">
        <v>35572</v>
      </c>
      <c r="M202" s="14">
        <f t="shared" si="12"/>
        <v>3.2400226956927902E-3</v>
      </c>
      <c r="N202" s="14">
        <f t="shared" si="13"/>
        <v>-4.3962590099482224E-3</v>
      </c>
      <c r="O202" s="14">
        <f t="shared" si="14"/>
        <v>-1.0023787176541843E-3</v>
      </c>
      <c r="P202" s="14">
        <f t="array" ref="P202">MMULT(M202:O202,$I$9:$I$11)</f>
        <v>-1.9185841696280717E-3</v>
      </c>
    </row>
    <row r="203" spans="2:16" x14ac:dyDescent="0.25">
      <c r="B203" s="9">
        <v>35573</v>
      </c>
      <c r="C203" s="10">
        <v>6.6818618773999999E-2</v>
      </c>
      <c r="D203" s="11">
        <v>847.03</v>
      </c>
      <c r="E203" s="11">
        <v>0.86455084182952502</v>
      </c>
      <c r="L203" s="9">
        <v>35573</v>
      </c>
      <c r="M203" s="14">
        <f t="shared" si="12"/>
        <v>-2.7891968150017821E-3</v>
      </c>
      <c r="N203" s="14">
        <f t="shared" si="13"/>
        <v>1.360601201445566E-2</v>
      </c>
      <c r="O203" s="14">
        <f t="shared" si="14"/>
        <v>-1.5352188951516244E-3</v>
      </c>
      <c r="P203" s="14">
        <f t="array" ref="P203">MMULT(M203:O203,$I$9:$I$11)</f>
        <v>2.5522789286448831E-3</v>
      </c>
    </row>
    <row r="204" spans="2:16" x14ac:dyDescent="0.25">
      <c r="B204" s="9">
        <v>35576</v>
      </c>
      <c r="C204" s="10">
        <v>6.6818618773999999E-2</v>
      </c>
      <c r="D204" s="11">
        <v>847.03</v>
      </c>
      <c r="E204" s="11">
        <v>0.86475555931342962</v>
      </c>
      <c r="L204" s="9">
        <v>35576</v>
      </c>
      <c r="M204" s="14">
        <f t="shared" si="12"/>
        <v>0</v>
      </c>
      <c r="N204" s="14">
        <f t="shared" si="13"/>
        <v>0</v>
      </c>
      <c r="O204" s="14">
        <f t="shared" si="14"/>
        <v>2.3679056684677846E-4</v>
      </c>
      <c r="P204" s="14">
        <f t="array" ref="P204">MMULT(M204:O204,$I$9:$I$11)</f>
        <v>1.7286703695281079E-4</v>
      </c>
    </row>
    <row r="205" spans="2:16" x14ac:dyDescent="0.25">
      <c r="B205" s="9">
        <v>35577</v>
      </c>
      <c r="C205" s="10">
        <v>6.7389130591999996E-2</v>
      </c>
      <c r="D205" s="11">
        <v>849.71</v>
      </c>
      <c r="E205" s="11">
        <v>0.8699207100355888</v>
      </c>
      <c r="L205" s="9">
        <v>35577</v>
      </c>
      <c r="M205" s="14">
        <f t="shared" si="12"/>
        <v>8.5382162706719722E-3</v>
      </c>
      <c r="N205" s="14">
        <f t="shared" si="13"/>
        <v>3.1639965526606417E-3</v>
      </c>
      <c r="O205" s="14">
        <f t="shared" si="14"/>
        <v>5.9729604123737179E-3</v>
      </c>
      <c r="P205" s="14">
        <f t="array" ref="P205">MMULT(M205:O205,$I$9:$I$11)</f>
        <v>5.2146578851719819E-3</v>
      </c>
    </row>
    <row r="206" spans="2:16" x14ac:dyDescent="0.25">
      <c r="B206" s="9">
        <v>35578</v>
      </c>
      <c r="C206" s="10">
        <v>6.7408800125000001E-2</v>
      </c>
      <c r="D206" s="11">
        <v>847.21</v>
      </c>
      <c r="E206" s="11">
        <v>0.86766968966381586</v>
      </c>
      <c r="L206" s="9">
        <v>35578</v>
      </c>
      <c r="M206" s="14">
        <f t="shared" si="12"/>
        <v>2.9187990447732126E-4</v>
      </c>
      <c r="N206" s="14">
        <f t="shared" si="13"/>
        <v>-2.9421802732697566E-3</v>
      </c>
      <c r="O206" s="14">
        <f t="shared" si="14"/>
        <v>-2.5876155674933177E-3</v>
      </c>
      <c r="P206" s="14">
        <f t="array" ref="P206">MMULT(M206:O206,$I$9:$I$11)</f>
        <v>-2.6833331793511923E-3</v>
      </c>
    </row>
    <row r="207" spans="2:16" x14ac:dyDescent="0.25">
      <c r="B207" s="9">
        <v>35579</v>
      </c>
      <c r="C207" s="10">
        <v>6.6966171264999999E-2</v>
      </c>
      <c r="D207" s="11">
        <v>844.08</v>
      </c>
      <c r="E207" s="11">
        <v>0.86761961382950814</v>
      </c>
      <c r="L207" s="9">
        <v>35579</v>
      </c>
      <c r="M207" s="14">
        <f t="shared" si="12"/>
        <v>-6.5663364305433847E-3</v>
      </c>
      <c r="N207" s="14">
        <f t="shared" si="13"/>
        <v>-3.6944795269177044E-3</v>
      </c>
      <c r="O207" s="14">
        <f t="shared" si="14"/>
        <v>-5.7713015568339188E-5</v>
      </c>
      <c r="P207" s="14">
        <f t="array" ref="P207">MMULT(M207:O207,$I$9:$I$11)</f>
        <v>-1.0394875680827162E-3</v>
      </c>
    </row>
    <row r="208" spans="2:16" x14ac:dyDescent="0.25">
      <c r="B208" s="9">
        <v>35580</v>
      </c>
      <c r="C208" s="10">
        <v>6.6130070686000006E-2</v>
      </c>
      <c r="D208" s="11">
        <v>848.28</v>
      </c>
      <c r="E208" s="11">
        <v>0.87217001966748542</v>
      </c>
      <c r="L208" s="9">
        <v>35580</v>
      </c>
      <c r="M208" s="14">
        <f t="shared" si="12"/>
        <v>-1.2485417087552464E-2</v>
      </c>
      <c r="N208" s="14">
        <f t="shared" si="13"/>
        <v>4.9758316747225972E-3</v>
      </c>
      <c r="O208" s="14">
        <f t="shared" si="14"/>
        <v>5.2447014399463754E-3</v>
      </c>
      <c r="P208" s="14">
        <f t="array" ref="P208">MMULT(M208:O208,$I$9:$I$11)</f>
        <v>5.1721178708298418E-3</v>
      </c>
    </row>
    <row r="209" spans="2:16" x14ac:dyDescent="0.25">
      <c r="B209" s="9">
        <v>35583</v>
      </c>
      <c r="C209" s="10">
        <v>6.5982527732999993E-2</v>
      </c>
      <c r="D209" s="11">
        <v>846.36</v>
      </c>
      <c r="E209" s="11">
        <v>0.88270428027455972</v>
      </c>
      <c r="L209" s="9">
        <v>35583</v>
      </c>
      <c r="M209" s="14">
        <f t="shared" si="12"/>
        <v>-2.2311023029232269E-3</v>
      </c>
      <c r="N209" s="14">
        <f t="shared" si="13"/>
        <v>-2.2634035931531349E-3</v>
      </c>
      <c r="O209" s="14">
        <f t="shared" si="14"/>
        <v>1.207821911958229E-2</v>
      </c>
      <c r="P209" s="14">
        <f t="array" ref="P209">MMULT(M209:O209,$I$9:$I$11)</f>
        <v>8.2065819998537546E-3</v>
      </c>
    </row>
    <row r="210" spans="2:16" x14ac:dyDescent="0.25">
      <c r="B210" s="9">
        <v>35584</v>
      </c>
      <c r="C210" s="10">
        <v>6.5687441826000004E-2</v>
      </c>
      <c r="D210" s="11">
        <v>845.48</v>
      </c>
      <c r="E210" s="11">
        <v>0.88265254693977802</v>
      </c>
      <c r="L210" s="9">
        <v>35584</v>
      </c>
      <c r="M210" s="14">
        <f t="shared" si="12"/>
        <v>-4.4721825176819996E-3</v>
      </c>
      <c r="N210" s="14">
        <f t="shared" si="13"/>
        <v>-1.0397466798998112E-3</v>
      </c>
      <c r="O210" s="14">
        <f t="shared" si="14"/>
        <v>-5.8607776055707994E-5</v>
      </c>
      <c r="P210" s="14">
        <f t="array" ref="P210">MMULT(M210:O210,$I$9:$I$11)</f>
        <v>-3.2347416362002527E-4</v>
      </c>
    </row>
    <row r="211" spans="2:16" x14ac:dyDescent="0.25">
      <c r="B211" s="9">
        <v>35585</v>
      </c>
      <c r="C211" s="10">
        <v>6.5726780890999995E-2</v>
      </c>
      <c r="D211" s="11">
        <v>840.11</v>
      </c>
      <c r="E211" s="11">
        <v>0.88434085850921074</v>
      </c>
      <c r="L211" s="9">
        <v>35585</v>
      </c>
      <c r="M211" s="14">
        <f t="shared" si="12"/>
        <v>5.9888258556628493E-4</v>
      </c>
      <c r="N211" s="14">
        <f t="shared" si="13"/>
        <v>-6.3514216776269228E-3</v>
      </c>
      <c r="O211" s="14">
        <f t="shared" si="14"/>
        <v>1.9127702914201183E-3</v>
      </c>
      <c r="P211" s="14">
        <f t="array" ref="P211">MMULT(M211:O211,$I$9:$I$11)</f>
        <v>-3.1821521369377855E-4</v>
      </c>
    </row>
    <row r="212" spans="2:16" x14ac:dyDescent="0.25">
      <c r="B212" s="9">
        <v>35586</v>
      </c>
      <c r="C212" s="10">
        <v>6.5736618041999997E-2</v>
      </c>
      <c r="D212" s="11">
        <v>843.43</v>
      </c>
      <c r="E212" s="11">
        <v>0.88408548576514323</v>
      </c>
      <c r="L212" s="9">
        <v>35586</v>
      </c>
      <c r="M212" s="14">
        <f t="shared" si="12"/>
        <v>1.4966731774546105E-4</v>
      </c>
      <c r="N212" s="14">
        <f t="shared" si="13"/>
        <v>3.9518634464532632E-3</v>
      </c>
      <c r="O212" s="14">
        <f t="shared" si="14"/>
        <v>-2.8877184810616185E-4</v>
      </c>
      <c r="P212" s="14">
        <f t="array" ref="P212">MMULT(M212:O212,$I$9:$I$11)</f>
        <v>8.5602196961627659E-4</v>
      </c>
    </row>
    <row r="213" spans="2:16" x14ac:dyDescent="0.25">
      <c r="B213" s="9">
        <v>35587</v>
      </c>
      <c r="C213" s="10">
        <v>6.4634938240000009E-2</v>
      </c>
      <c r="D213" s="11">
        <v>858.01</v>
      </c>
      <c r="E213" s="11">
        <v>0.88408548576514323</v>
      </c>
      <c r="L213" s="9">
        <v>35587</v>
      </c>
      <c r="M213" s="14">
        <f t="shared" si="12"/>
        <v>-1.6758997265361453E-2</v>
      </c>
      <c r="N213" s="14">
        <f t="shared" si="13"/>
        <v>1.7286556086456573E-2</v>
      </c>
      <c r="O213" s="14">
        <f t="shared" si="14"/>
        <v>0</v>
      </c>
      <c r="P213" s="14">
        <f t="array" ref="P213">MMULT(M213:O213,$I$9:$I$11)</f>
        <v>4.6666457176538874E-3</v>
      </c>
    </row>
    <row r="214" spans="2:16" x14ac:dyDescent="0.25">
      <c r="B214" s="9">
        <v>35590</v>
      </c>
      <c r="C214" s="10">
        <v>6.5205450057999992E-2</v>
      </c>
      <c r="D214" s="11">
        <v>862.91</v>
      </c>
      <c r="E214" s="11">
        <v>0.87365261764841751</v>
      </c>
      <c r="L214" s="9">
        <v>35590</v>
      </c>
      <c r="M214" s="14">
        <f t="shared" si="12"/>
        <v>8.8266784735151482E-3</v>
      </c>
      <c r="N214" s="14">
        <f t="shared" si="13"/>
        <v>5.7108891504760173E-3</v>
      </c>
      <c r="O214" s="14">
        <f t="shared" si="14"/>
        <v>-1.1800745838165705E-2</v>
      </c>
      <c r="P214" s="14">
        <f t="array" ref="P214">MMULT(M214:O214,$I$9:$I$11)</f>
        <v>-7.0733382492771252E-3</v>
      </c>
    </row>
    <row r="215" spans="2:16" x14ac:dyDescent="0.25">
      <c r="B215" s="9">
        <v>35591</v>
      </c>
      <c r="C215" s="10">
        <v>6.5392341613999996E-2</v>
      </c>
      <c r="D215" s="11">
        <v>865.27</v>
      </c>
      <c r="E215" s="11">
        <v>0.87784621369711446</v>
      </c>
      <c r="L215" s="9">
        <v>35591</v>
      </c>
      <c r="M215" s="14">
        <f t="shared" si="12"/>
        <v>2.8661953231481352E-3</v>
      </c>
      <c r="N215" s="14">
        <f t="shared" si="13"/>
        <v>2.7349318005354117E-3</v>
      </c>
      <c r="O215" s="14">
        <f t="shared" si="14"/>
        <v>4.8000726650194725E-3</v>
      </c>
      <c r="P215" s="14">
        <f t="array" ref="P215">MMULT(M215:O215,$I$9:$I$11)</f>
        <v>4.242571175226079E-3</v>
      </c>
    </row>
    <row r="216" spans="2:16" x14ac:dyDescent="0.25">
      <c r="B216" s="9">
        <v>35592</v>
      </c>
      <c r="C216" s="10">
        <v>6.5293979645E-2</v>
      </c>
      <c r="D216" s="11">
        <v>869.57</v>
      </c>
      <c r="E216" s="11">
        <v>0.87687518050733171</v>
      </c>
      <c r="L216" s="9">
        <v>35592</v>
      </c>
      <c r="M216" s="14">
        <f t="shared" si="12"/>
        <v>-1.5041817829465343E-3</v>
      </c>
      <c r="N216" s="14">
        <f t="shared" si="13"/>
        <v>4.9695470777908479E-3</v>
      </c>
      <c r="O216" s="14">
        <f t="shared" si="14"/>
        <v>-1.106154101517598E-3</v>
      </c>
      <c r="P216" s="14">
        <f t="array" ref="P216">MMULT(M216:O216,$I$9:$I$11)</f>
        <v>5.3403060319510975E-4</v>
      </c>
    </row>
    <row r="217" spans="2:16" x14ac:dyDescent="0.25">
      <c r="B217" s="9">
        <v>35593</v>
      </c>
      <c r="C217" s="10">
        <v>6.4526739119999996E-2</v>
      </c>
      <c r="D217" s="11">
        <v>883.48</v>
      </c>
      <c r="E217" s="11">
        <v>0.88157968297822809</v>
      </c>
      <c r="L217" s="9">
        <v>35593</v>
      </c>
      <c r="M217" s="14">
        <f t="shared" si="12"/>
        <v>-1.1750555398391316E-2</v>
      </c>
      <c r="N217" s="14">
        <f t="shared" si="13"/>
        <v>1.5996412019733786E-2</v>
      </c>
      <c r="O217" s="14">
        <f t="shared" si="14"/>
        <v>5.3650765530557365E-3</v>
      </c>
      <c r="P217" s="14">
        <f t="array" ref="P217">MMULT(M217:O217,$I$9:$I$11)</f>
        <v>8.235091602923586E-3</v>
      </c>
    </row>
    <row r="218" spans="2:16" x14ac:dyDescent="0.25">
      <c r="B218" s="9">
        <v>35594</v>
      </c>
      <c r="C218" s="10">
        <v>6.4015250206000004E-2</v>
      </c>
      <c r="D218" s="11">
        <v>893.27</v>
      </c>
      <c r="E218" s="11">
        <v>0.88863615468427593</v>
      </c>
      <c r="L218" s="9">
        <v>35594</v>
      </c>
      <c r="M218" s="14">
        <f t="shared" si="12"/>
        <v>-7.9267745585094307E-3</v>
      </c>
      <c r="N218" s="14">
        <f t="shared" si="13"/>
        <v>1.1081178974057027E-2</v>
      </c>
      <c r="O218" s="14">
        <f t="shared" si="14"/>
        <v>8.0043492860555343E-3</v>
      </c>
      <c r="P218" s="14">
        <f t="array" ref="P218">MMULT(M218:O218,$I$9:$I$11)</f>
        <v>8.834964361473123E-3</v>
      </c>
    </row>
    <row r="219" spans="2:16" x14ac:dyDescent="0.25">
      <c r="B219" s="9">
        <v>35597</v>
      </c>
      <c r="C219" s="10">
        <v>6.382835865E-2</v>
      </c>
      <c r="D219" s="11">
        <v>893.9</v>
      </c>
      <c r="E219" s="11">
        <v>0.88439120492169843</v>
      </c>
      <c r="L219" s="9">
        <v>35597</v>
      </c>
      <c r="M219" s="14">
        <f t="shared" si="12"/>
        <v>-2.9194848945929275E-3</v>
      </c>
      <c r="N219" s="14">
        <f t="shared" si="13"/>
        <v>7.0527388135732672E-4</v>
      </c>
      <c r="O219" s="14">
        <f t="shared" si="14"/>
        <v>-4.7769266872623728E-3</v>
      </c>
      <c r="P219" s="14">
        <f t="array" ref="P219">MMULT(M219:O219,$I$9:$I$11)</f>
        <v>-3.2969622756747678E-3</v>
      </c>
    </row>
    <row r="220" spans="2:16" x14ac:dyDescent="0.25">
      <c r="B220" s="9">
        <v>35598</v>
      </c>
      <c r="C220" s="10">
        <v>6.4074268340999996E-2</v>
      </c>
      <c r="D220" s="11">
        <v>894.42</v>
      </c>
      <c r="E220" s="11">
        <v>0.8865901127471868</v>
      </c>
      <c r="L220" s="9">
        <v>35598</v>
      </c>
      <c r="M220" s="14">
        <f t="shared" si="12"/>
        <v>3.8526713862161444E-3</v>
      </c>
      <c r="N220" s="14">
        <f t="shared" si="13"/>
        <v>5.8172055039706905E-4</v>
      </c>
      <c r="O220" s="14">
        <f t="shared" si="14"/>
        <v>2.48635198230307E-3</v>
      </c>
      <c r="P220" s="14">
        <f t="array" ref="P220">MMULT(M220:O220,$I$9:$I$11)</f>
        <v>1.9721813128556857E-3</v>
      </c>
    </row>
    <row r="221" spans="2:16" x14ac:dyDescent="0.25">
      <c r="B221" s="9">
        <v>35599</v>
      </c>
      <c r="C221" s="10">
        <v>6.3808679580999991E-2</v>
      </c>
      <c r="D221" s="11">
        <v>889.06</v>
      </c>
      <c r="E221" s="11">
        <v>0.88311287991344112</v>
      </c>
      <c r="L221" s="9">
        <v>35599</v>
      </c>
      <c r="M221" s="14">
        <f t="shared" si="12"/>
        <v>-4.1450143228566327E-3</v>
      </c>
      <c r="N221" s="14">
        <f t="shared" si="13"/>
        <v>-5.992710359786213E-3</v>
      </c>
      <c r="O221" s="14">
        <f t="shared" si="14"/>
        <v>-3.9220297900358636E-3</v>
      </c>
      <c r="P221" s="14">
        <f t="array" ref="P221">MMULT(M221:O221,$I$9:$I$11)</f>
        <v>-4.4810267680993722E-3</v>
      </c>
    </row>
    <row r="222" spans="2:16" x14ac:dyDescent="0.25">
      <c r="B222" s="9">
        <v>35600</v>
      </c>
      <c r="C222" s="10">
        <v>6.382835865E-2</v>
      </c>
      <c r="D222" s="11">
        <v>897.99</v>
      </c>
      <c r="E222" s="11">
        <v>0.88193707625091955</v>
      </c>
      <c r="L222" s="9">
        <v>35600</v>
      </c>
      <c r="M222" s="14">
        <f t="shared" si="12"/>
        <v>3.0840740051707449E-4</v>
      </c>
      <c r="N222" s="14">
        <f t="shared" si="13"/>
        <v>1.0044316469079773E-2</v>
      </c>
      <c r="O222" s="14">
        <f t="shared" si="14"/>
        <v>-1.3314307709302309E-3</v>
      </c>
      <c r="P222" s="14">
        <f t="array" ref="P222">MMULT(M222:O222,$I$9:$I$11)</f>
        <v>1.7395442617598978E-3</v>
      </c>
    </row>
    <row r="223" spans="2:16" x14ac:dyDescent="0.25">
      <c r="B223" s="9">
        <v>35601</v>
      </c>
      <c r="C223" s="10">
        <v>6.3503761291999999E-2</v>
      </c>
      <c r="D223" s="11">
        <v>898.7</v>
      </c>
      <c r="E223" s="11">
        <v>0.88572092856051476</v>
      </c>
      <c r="L223" s="9">
        <v>35601</v>
      </c>
      <c r="M223" s="14">
        <f t="shared" si="12"/>
        <v>-5.0854724273878826E-3</v>
      </c>
      <c r="N223" s="14">
        <f t="shared" si="13"/>
        <v>7.9065468435057795E-4</v>
      </c>
      <c r="O223" s="14">
        <f t="shared" si="14"/>
        <v>4.2903880690448037E-3</v>
      </c>
      <c r="P223" s="14">
        <f t="array" ref="P223">MMULT(M223:O223,$I$9:$I$11)</f>
        <v>3.345606718096061E-3</v>
      </c>
    </row>
    <row r="224" spans="2:16" x14ac:dyDescent="0.25">
      <c r="B224" s="9">
        <v>35604</v>
      </c>
      <c r="C224" s="10">
        <v>6.3857870102000003E-2</v>
      </c>
      <c r="D224" s="11">
        <v>878.62</v>
      </c>
      <c r="E224" s="11">
        <v>0.88076125518541382</v>
      </c>
      <c r="L224" s="9">
        <v>35604</v>
      </c>
      <c r="M224" s="14">
        <f t="shared" si="12"/>
        <v>5.5761863989718385E-3</v>
      </c>
      <c r="N224" s="14">
        <f t="shared" si="13"/>
        <v>-2.2343384889284557E-2</v>
      </c>
      <c r="O224" s="14">
        <f t="shared" si="14"/>
        <v>-5.5995892331024422E-3</v>
      </c>
      <c r="P224" s="14">
        <f t="array" ref="P224">MMULT(M224:O224,$I$9:$I$11)</f>
        <v>-1.0119712379980262E-2</v>
      </c>
    </row>
    <row r="225" spans="2:16" x14ac:dyDescent="0.25">
      <c r="B225" s="9">
        <v>35605</v>
      </c>
      <c r="C225" s="10">
        <v>6.3916878699999999E-2</v>
      </c>
      <c r="D225" s="11">
        <v>896.34</v>
      </c>
      <c r="E225" s="11">
        <v>0.88157968297822809</v>
      </c>
      <c r="L225" s="9">
        <v>35605</v>
      </c>
      <c r="M225" s="14">
        <f t="shared" si="12"/>
        <v>9.2406148068735483E-4</v>
      </c>
      <c r="N225" s="14">
        <f t="shared" si="13"/>
        <v>2.0167990712708583E-2</v>
      </c>
      <c r="O225" s="14">
        <f t="shared" si="14"/>
        <v>9.2922774247372608E-4</v>
      </c>
      <c r="P225" s="14">
        <f t="array" ref="P225">MMULT(M225:O225,$I$9:$I$11)</f>
        <v>6.1228875078416034E-3</v>
      </c>
    </row>
    <row r="226" spans="2:16" x14ac:dyDescent="0.25">
      <c r="B226" s="9">
        <v>35606</v>
      </c>
      <c r="C226" s="10">
        <v>6.4270992279000003E-2</v>
      </c>
      <c r="D226" s="11">
        <v>888.99</v>
      </c>
      <c r="E226" s="11">
        <v>0.88132293921294014</v>
      </c>
      <c r="L226" s="9">
        <v>35606</v>
      </c>
      <c r="M226" s="14">
        <f t="shared" si="12"/>
        <v>5.5402201453245148E-3</v>
      </c>
      <c r="N226" s="14">
        <f t="shared" si="13"/>
        <v>-8.2000133877769832E-3</v>
      </c>
      <c r="O226" s="14">
        <f t="shared" si="14"/>
        <v>-2.9123149074916643E-4</v>
      </c>
      <c r="P226" s="14">
        <f t="array" ref="P226">MMULT(M226:O226,$I$9:$I$11)</f>
        <v>-2.4262711705463013E-3</v>
      </c>
    </row>
    <row r="227" spans="2:16" x14ac:dyDescent="0.25">
      <c r="B227" s="9">
        <v>35607</v>
      </c>
      <c r="C227" s="10">
        <v>6.4772648811000005E-2</v>
      </c>
      <c r="D227" s="11">
        <v>883.68</v>
      </c>
      <c r="E227" s="11">
        <v>0.88393102888389685</v>
      </c>
      <c r="L227" s="9">
        <v>35607</v>
      </c>
      <c r="M227" s="14">
        <f t="shared" si="12"/>
        <v>7.8053335449110861E-3</v>
      </c>
      <c r="N227" s="14">
        <f t="shared" si="13"/>
        <v>-5.9730705632234926E-3</v>
      </c>
      <c r="O227" s="14">
        <f t="shared" si="14"/>
        <v>2.9592894442143081E-3</v>
      </c>
      <c r="P227" s="14">
        <f t="array" ref="P227">MMULT(M227:O227,$I$9:$I$11)</f>
        <v>5.4792656957494711E-4</v>
      </c>
    </row>
    <row r="228" spans="2:16" x14ac:dyDescent="0.25">
      <c r="B228" s="9">
        <v>35608</v>
      </c>
      <c r="C228" s="10">
        <v>6.4359521865999997E-2</v>
      </c>
      <c r="D228" s="11">
        <v>887.3</v>
      </c>
      <c r="E228" s="11">
        <v>0.88786932202870616</v>
      </c>
      <c r="L228" s="9">
        <v>35608</v>
      </c>
      <c r="M228" s="14">
        <f t="shared" si="12"/>
        <v>-6.3781079295593957E-3</v>
      </c>
      <c r="N228" s="14">
        <f t="shared" si="13"/>
        <v>4.0965055223609603E-3</v>
      </c>
      <c r="O228" s="14">
        <f t="shared" si="14"/>
        <v>4.4554303629118497E-3</v>
      </c>
      <c r="P228" s="14">
        <f t="array" ref="P228">MMULT(M228:O228,$I$9:$I$11)</f>
        <v>4.3585356973845331E-3</v>
      </c>
    </row>
    <row r="229" spans="2:16" x14ac:dyDescent="0.25">
      <c r="B229" s="9">
        <v>35611</v>
      </c>
      <c r="C229" s="10">
        <v>6.4939870834000005E-2</v>
      </c>
      <c r="D229" s="11">
        <v>885.14</v>
      </c>
      <c r="E229" s="11">
        <v>0.89109055821233663</v>
      </c>
      <c r="L229" s="9">
        <v>35611</v>
      </c>
      <c r="M229" s="14">
        <f t="shared" si="12"/>
        <v>9.0172976923030834E-3</v>
      </c>
      <c r="N229" s="14">
        <f t="shared" si="13"/>
        <v>-2.4343514031330837E-3</v>
      </c>
      <c r="O229" s="14">
        <f t="shared" si="14"/>
        <v>3.6280521285161349E-3</v>
      </c>
      <c r="P229" s="14">
        <f t="array" ref="P229">MMULT(M229:O229,$I$9:$I$11)</f>
        <v>1.9914572314084491E-3</v>
      </c>
    </row>
    <row r="230" spans="2:16" x14ac:dyDescent="0.25">
      <c r="B230" s="9">
        <v>35612</v>
      </c>
      <c r="C230" s="10">
        <v>6.4330010413999994E-2</v>
      </c>
      <c r="D230" s="11">
        <v>891.03</v>
      </c>
      <c r="E230" s="11">
        <v>0.88981140081914101</v>
      </c>
      <c r="L230" s="9">
        <v>35612</v>
      </c>
      <c r="M230" s="14">
        <f t="shared" si="12"/>
        <v>-9.3911554206651537E-3</v>
      </c>
      <c r="N230" s="14">
        <f t="shared" si="13"/>
        <v>6.6543145717061769E-3</v>
      </c>
      <c r="O230" s="14">
        <f t="shared" si="14"/>
        <v>-1.4354965176174295E-3</v>
      </c>
      <c r="P230" s="14">
        <f t="array" ref="P230">MMULT(M230:O230,$I$9:$I$11)</f>
        <v>7.4841345773032464E-4</v>
      </c>
    </row>
    <row r="231" spans="2:16" x14ac:dyDescent="0.25">
      <c r="B231" s="9">
        <v>35613</v>
      </c>
      <c r="C231" s="10">
        <v>6.4025077819999998E-2</v>
      </c>
      <c r="D231" s="11">
        <v>904.03</v>
      </c>
      <c r="E231" s="11">
        <v>0.89543625334681853</v>
      </c>
      <c r="L231" s="9">
        <v>35613</v>
      </c>
      <c r="M231" s="14">
        <f t="shared" si="12"/>
        <v>-4.7401297160933886E-3</v>
      </c>
      <c r="N231" s="14">
        <f t="shared" si="13"/>
        <v>1.4589856682715618E-2</v>
      </c>
      <c r="O231" s="14">
        <f t="shared" si="14"/>
        <v>6.3213985823280527E-3</v>
      </c>
      <c r="P231" s="14">
        <f t="array" ref="P231">MMULT(M231:O231,$I$9:$I$11)</f>
        <v>8.553535764123623E-3</v>
      </c>
    </row>
    <row r="232" spans="2:16" x14ac:dyDescent="0.25">
      <c r="B232" s="9">
        <v>35614</v>
      </c>
      <c r="C232" s="10">
        <v>6.2884058951999999E-2</v>
      </c>
      <c r="D232" s="11">
        <v>916.92</v>
      </c>
      <c r="E232" s="11">
        <v>0.89436347693879348</v>
      </c>
      <c r="L232" s="9">
        <v>35614</v>
      </c>
      <c r="M232" s="14">
        <f t="shared" si="12"/>
        <v>-1.7821436644057775E-2</v>
      </c>
      <c r="N232" s="14">
        <f t="shared" si="13"/>
        <v>1.4258376381314664E-2</v>
      </c>
      <c r="O232" s="14">
        <f t="shared" si="14"/>
        <v>-1.198048888477965E-3</v>
      </c>
      <c r="P232" s="14">
        <f t="array" ref="P232">MMULT(M232:O232,$I$9:$I$11)</f>
        <v>2.9745382037553014E-3</v>
      </c>
    </row>
    <row r="233" spans="2:16" x14ac:dyDescent="0.25">
      <c r="B233" s="9">
        <v>35615</v>
      </c>
      <c r="C233" s="10">
        <v>6.2884058951999999E-2</v>
      </c>
      <c r="D233" s="11">
        <v>916.92</v>
      </c>
      <c r="E233" s="11">
        <v>0.89686855402632848</v>
      </c>
      <c r="L233" s="9">
        <v>35615</v>
      </c>
      <c r="M233" s="14">
        <f t="shared" si="12"/>
        <v>0</v>
      </c>
      <c r="N233" s="14">
        <f t="shared" si="13"/>
        <v>0</v>
      </c>
      <c r="O233" s="14">
        <f t="shared" si="14"/>
        <v>2.8009608533090535E-3</v>
      </c>
      <c r="P233" s="14">
        <f t="array" ref="P233">MMULT(M233:O233,$I$9:$I$11)</f>
        <v>2.0448188024553482E-3</v>
      </c>
    </row>
    <row r="234" spans="2:16" x14ac:dyDescent="0.25">
      <c r="B234" s="9">
        <v>35618</v>
      </c>
      <c r="C234" s="10">
        <v>6.2569298743999996E-2</v>
      </c>
      <c r="D234" s="11">
        <v>912.2</v>
      </c>
      <c r="E234" s="11">
        <v>0.89221470397819158</v>
      </c>
      <c r="L234" s="9">
        <v>35618</v>
      </c>
      <c r="M234" s="14">
        <f t="shared" si="12"/>
        <v>-5.0054053959885936E-3</v>
      </c>
      <c r="N234" s="14">
        <f t="shared" si="13"/>
        <v>-5.1476682807659602E-3</v>
      </c>
      <c r="O234" s="14">
        <f t="shared" si="14"/>
        <v>-5.1889990202513836E-3</v>
      </c>
      <c r="P234" s="14">
        <f t="array" ref="P234">MMULT(M234:O234,$I$9:$I$11)</f>
        <v>-5.1778414526327974E-3</v>
      </c>
    </row>
    <row r="235" spans="2:16" x14ac:dyDescent="0.25">
      <c r="B235" s="9">
        <v>35619</v>
      </c>
      <c r="C235" s="10">
        <v>6.2618479729000004E-2</v>
      </c>
      <c r="D235" s="11">
        <v>918.75</v>
      </c>
      <c r="E235" s="11">
        <v>0.89855639403367027</v>
      </c>
      <c r="L235" s="9">
        <v>35619</v>
      </c>
      <c r="M235" s="14">
        <f t="shared" si="12"/>
        <v>7.860242321275912E-4</v>
      </c>
      <c r="N235" s="14">
        <f t="shared" si="13"/>
        <v>7.18044288533215E-3</v>
      </c>
      <c r="O235" s="14">
        <f t="shared" si="14"/>
        <v>7.1078071535948251E-3</v>
      </c>
      <c r="P235" s="14">
        <f t="array" ref="P235">MMULT(M235:O235,$I$9:$I$11)</f>
        <v>7.1274157572267663E-3</v>
      </c>
    </row>
    <row r="236" spans="2:16" x14ac:dyDescent="0.25">
      <c r="B236" s="9">
        <v>35620</v>
      </c>
      <c r="C236" s="10">
        <v>6.2352900504999996E-2</v>
      </c>
      <c r="D236" s="11">
        <v>907.54</v>
      </c>
      <c r="E236" s="11">
        <v>0.90095962212120184</v>
      </c>
      <c r="L236" s="9">
        <v>35620</v>
      </c>
      <c r="M236" s="14">
        <f t="shared" si="12"/>
        <v>-4.2412275920683529E-3</v>
      </c>
      <c r="N236" s="14">
        <f t="shared" si="13"/>
        <v>-1.2201360544217721E-2</v>
      </c>
      <c r="O236" s="14">
        <f t="shared" si="14"/>
        <v>2.6745434159600734E-3</v>
      </c>
      <c r="P236" s="14">
        <f t="array" ref="P236">MMULT(M236:O236,$I$9:$I$11)</f>
        <v>-1.3413272505159906E-3</v>
      </c>
    </row>
    <row r="237" spans="2:16" x14ac:dyDescent="0.25">
      <c r="B237" s="9">
        <v>35621</v>
      </c>
      <c r="C237" s="10">
        <v>6.2421751022000004E-2</v>
      </c>
      <c r="D237" s="11">
        <v>913.78</v>
      </c>
      <c r="E237" s="11">
        <v>0.89548796657150587</v>
      </c>
      <c r="L237" s="9">
        <v>35621</v>
      </c>
      <c r="M237" s="14">
        <f t="shared" si="12"/>
        <v>1.1042071249673935E-3</v>
      </c>
      <c r="N237" s="14">
        <f t="shared" si="13"/>
        <v>6.8757299953721152E-3</v>
      </c>
      <c r="O237" s="14">
        <f t="shared" si="14"/>
        <v>-6.0731418094116529E-3</v>
      </c>
      <c r="P237" s="14">
        <f t="array" ref="P237">MMULT(M237:O237,$I$9:$I$11)</f>
        <v>-2.5774890689802335E-3</v>
      </c>
    </row>
    <row r="238" spans="2:16" x14ac:dyDescent="0.25">
      <c r="B238" s="9">
        <v>35622</v>
      </c>
      <c r="C238" s="10">
        <v>6.2136502266000003E-2</v>
      </c>
      <c r="D238" s="11">
        <v>916.68</v>
      </c>
      <c r="E238" s="11">
        <v>0.90489770042861917</v>
      </c>
      <c r="L238" s="9">
        <v>35622</v>
      </c>
      <c r="M238" s="14">
        <f t="shared" si="12"/>
        <v>-4.5697012872879528E-3</v>
      </c>
      <c r="N238" s="14">
        <f t="shared" si="13"/>
        <v>3.1736304143228367E-3</v>
      </c>
      <c r="O238" s="14">
        <f t="shared" si="14"/>
        <v>1.0507940037586039E-2</v>
      </c>
      <c r="P238" s="14">
        <f t="array" ref="P238">MMULT(M238:O238,$I$9:$I$11)</f>
        <v>8.527983797362788E-3</v>
      </c>
    </row>
    <row r="239" spans="2:16" x14ac:dyDescent="0.25">
      <c r="B239" s="9">
        <v>35625</v>
      </c>
      <c r="C239" s="10">
        <v>6.2411909103000006E-2</v>
      </c>
      <c r="D239" s="11">
        <v>918.38</v>
      </c>
      <c r="E239" s="11">
        <v>0.91578969894148476</v>
      </c>
      <c r="L239" s="9">
        <v>35625</v>
      </c>
      <c r="M239" s="14">
        <f t="shared" si="12"/>
        <v>4.4322874149080871E-3</v>
      </c>
      <c r="N239" s="14">
        <f t="shared" si="13"/>
        <v>1.8545184797311709E-3</v>
      </c>
      <c r="O239" s="14">
        <f t="shared" si="14"/>
        <v>1.203671808173068E-2</v>
      </c>
      <c r="P239" s="14">
        <f t="array" ref="P239">MMULT(M239:O239,$I$9:$I$11)</f>
        <v>9.2879508934417491E-3</v>
      </c>
    </row>
    <row r="240" spans="2:16" x14ac:dyDescent="0.25">
      <c r="B240" s="9">
        <v>35626</v>
      </c>
      <c r="C240" s="10">
        <v>6.2421751022000004E-2</v>
      </c>
      <c r="D240" s="11">
        <v>925.76</v>
      </c>
      <c r="E240" s="11">
        <v>0.92059560458016176</v>
      </c>
      <c r="L240" s="9">
        <v>35626</v>
      </c>
      <c r="M240" s="14">
        <f t="shared" si="12"/>
        <v>1.5769296503576058E-4</v>
      </c>
      <c r="N240" s="14">
        <f t="shared" si="13"/>
        <v>8.0358892833032325E-3</v>
      </c>
      <c r="O240" s="14">
        <f t="shared" si="14"/>
        <v>5.2478267054454353E-3</v>
      </c>
      <c r="P240" s="14">
        <f t="array" ref="P240">MMULT(M240:O240,$I$9:$I$11)</f>
        <v>6.000486762453826E-3</v>
      </c>
    </row>
    <row r="241" spans="2:16" x14ac:dyDescent="0.25">
      <c r="B241" s="9">
        <v>35627</v>
      </c>
      <c r="C241" s="10">
        <v>6.1802058219999997E-2</v>
      </c>
      <c r="D241" s="11">
        <v>936.59</v>
      </c>
      <c r="E241" s="11">
        <v>0.91911296465134151</v>
      </c>
      <c r="L241" s="9">
        <v>35627</v>
      </c>
      <c r="M241" s="14">
        <f t="shared" si="12"/>
        <v>-9.9275139170895699E-3</v>
      </c>
      <c r="N241" s="14">
        <f t="shared" si="13"/>
        <v>1.1698496370549538E-2</v>
      </c>
      <c r="O241" s="14">
        <f t="shared" si="14"/>
        <v>-1.6105224937462692E-3</v>
      </c>
      <c r="P241" s="14">
        <f t="array" ref="P241">MMULT(M241:O241,$I$9:$I$11)</f>
        <v>1.9823548601125892E-3</v>
      </c>
    </row>
    <row r="242" spans="2:16" x14ac:dyDescent="0.25">
      <c r="B242" s="9">
        <v>35628</v>
      </c>
      <c r="C242" s="10">
        <v>6.1811900139000002E-2</v>
      </c>
      <c r="D242" s="11">
        <v>931.61</v>
      </c>
      <c r="E242" s="11">
        <v>0.91645433045310154</v>
      </c>
      <c r="L242" s="9">
        <v>35628</v>
      </c>
      <c r="M242" s="14">
        <f t="shared" si="12"/>
        <v>1.5924904903608095E-4</v>
      </c>
      <c r="N242" s="14">
        <f t="shared" si="13"/>
        <v>-5.3171611911295713E-3</v>
      </c>
      <c r="O242" s="14">
        <f t="shared" si="14"/>
        <v>-2.892608743962688E-3</v>
      </c>
      <c r="P242" s="14">
        <f t="array" ref="P242">MMULT(M242:O242,$I$9:$I$11)</f>
        <v>-3.5471362992611742E-3</v>
      </c>
    </row>
    <row r="243" spans="2:16" x14ac:dyDescent="0.25">
      <c r="B243" s="9">
        <v>35629</v>
      </c>
      <c r="C243" s="10">
        <v>6.2205348015000002E-2</v>
      </c>
      <c r="D243" s="11">
        <v>915.3</v>
      </c>
      <c r="E243" s="11">
        <v>0.9156863340373157</v>
      </c>
      <c r="L243" s="9">
        <v>35629</v>
      </c>
      <c r="M243" s="14">
        <f t="shared" si="12"/>
        <v>6.3652448010047546E-3</v>
      </c>
      <c r="N243" s="14">
        <f t="shared" si="13"/>
        <v>-1.750732602698557E-2</v>
      </c>
      <c r="O243" s="14">
        <f t="shared" si="14"/>
        <v>-8.3800838761505236E-4</v>
      </c>
      <c r="P243" s="14">
        <f t="array" ref="P243">MMULT(M243:O243,$I$9:$I$11)</f>
        <v>-5.3380255910953044E-3</v>
      </c>
    </row>
    <row r="244" spans="2:16" x14ac:dyDescent="0.25">
      <c r="B244" s="9">
        <v>35632</v>
      </c>
      <c r="C244" s="10">
        <v>6.2461099625000002E-2</v>
      </c>
      <c r="D244" s="11">
        <v>912.94</v>
      </c>
      <c r="E244" s="11">
        <v>0.91860116861758356</v>
      </c>
      <c r="L244" s="9">
        <v>35632</v>
      </c>
      <c r="M244" s="14">
        <f t="shared" si="12"/>
        <v>4.1114087158282686E-3</v>
      </c>
      <c r="N244" s="14">
        <f t="shared" si="13"/>
        <v>-2.5783895990384442E-3</v>
      </c>
      <c r="O244" s="14">
        <f t="shared" si="14"/>
        <v>3.183223852884387E-3</v>
      </c>
      <c r="P244" s="14">
        <f t="array" ref="P244">MMULT(M244:O244,$I$9:$I$11)</f>
        <v>1.6278296721280428E-3</v>
      </c>
    </row>
    <row r="245" spans="2:16" x14ac:dyDescent="0.25">
      <c r="B245" s="9">
        <v>35633</v>
      </c>
      <c r="C245" s="10">
        <v>6.1388931274000004E-2</v>
      </c>
      <c r="D245" s="11">
        <v>933.98</v>
      </c>
      <c r="E245" s="11">
        <v>0.92693695949855748</v>
      </c>
      <c r="L245" s="9">
        <v>35633</v>
      </c>
      <c r="M245" s="14">
        <f t="shared" si="12"/>
        <v>-1.7165377449917085E-2</v>
      </c>
      <c r="N245" s="14">
        <f t="shared" si="13"/>
        <v>2.3046421451573984E-2</v>
      </c>
      <c r="O245" s="14">
        <f t="shared" si="14"/>
        <v>9.0744396651689652E-3</v>
      </c>
      <c r="P245" s="14">
        <f t="array" ref="P245">MMULT(M245:O245,$I$9:$I$11)</f>
        <v>1.284628922528747E-2</v>
      </c>
    </row>
    <row r="246" spans="2:16" x14ac:dyDescent="0.25">
      <c r="B246" s="9">
        <v>35634</v>
      </c>
      <c r="C246" s="10">
        <v>6.1231551169999995E-2</v>
      </c>
      <c r="D246" s="11">
        <v>936.56</v>
      </c>
      <c r="E246" s="11">
        <v>0.93440148283923863</v>
      </c>
      <c r="L246" s="9">
        <v>35634</v>
      </c>
      <c r="M246" s="14">
        <f t="shared" si="12"/>
        <v>-2.5636560326741664E-3</v>
      </c>
      <c r="N246" s="14">
        <f t="shared" si="13"/>
        <v>2.7623717852629515E-3</v>
      </c>
      <c r="O246" s="14">
        <f t="shared" si="14"/>
        <v>8.0528921240978768E-3</v>
      </c>
      <c r="P246" s="14">
        <f t="array" ref="P246">MMULT(M246:O246,$I$9:$I$11)</f>
        <v>6.6246733418311313E-3</v>
      </c>
    </row>
    <row r="247" spans="2:16" x14ac:dyDescent="0.25">
      <c r="B247" s="9">
        <v>35635</v>
      </c>
      <c r="C247" s="10">
        <v>6.1290569305000001E-2</v>
      </c>
      <c r="D247" s="11">
        <v>940.3</v>
      </c>
      <c r="E247" s="11">
        <v>0.93608972510254151</v>
      </c>
      <c r="L247" s="9">
        <v>35635</v>
      </c>
      <c r="M247" s="14">
        <f t="shared" si="12"/>
        <v>9.6385170508184181E-4</v>
      </c>
      <c r="N247" s="14">
        <f t="shared" si="13"/>
        <v>3.9933373195524258E-3</v>
      </c>
      <c r="O247" s="14">
        <f t="shared" si="14"/>
        <v>1.8067632535996303E-3</v>
      </c>
      <c r="P247" s="14">
        <f t="array" ref="P247">MMULT(M247:O247,$I$9:$I$11)</f>
        <v>2.3970466189025732E-3</v>
      </c>
    </row>
    <row r="248" spans="2:16" x14ac:dyDescent="0.25">
      <c r="B248" s="9">
        <v>35636</v>
      </c>
      <c r="C248" s="10">
        <v>6.1506972312999994E-2</v>
      </c>
      <c r="D248" s="11">
        <v>938.79</v>
      </c>
      <c r="E248" s="11">
        <v>0.93946395529956161</v>
      </c>
      <c r="L248" s="9">
        <v>35636</v>
      </c>
      <c r="M248" s="14">
        <f t="shared" si="12"/>
        <v>3.5307717068691069E-3</v>
      </c>
      <c r="N248" s="14">
        <f t="shared" si="13"/>
        <v>-1.6058704668722168E-3</v>
      </c>
      <c r="O248" s="14">
        <f t="shared" si="14"/>
        <v>3.6046012540629224E-3</v>
      </c>
      <c r="P248" s="14">
        <f t="array" ref="P248">MMULT(M248:O248,$I$9:$I$11)</f>
        <v>2.1979922440410271E-3</v>
      </c>
    </row>
    <row r="249" spans="2:16" x14ac:dyDescent="0.25">
      <c r="B249" s="9">
        <v>35639</v>
      </c>
      <c r="C249" s="10">
        <v>6.1231551169999995E-2</v>
      </c>
      <c r="D249" s="11">
        <v>936.45</v>
      </c>
      <c r="E249" s="11">
        <v>0.94319823798232116</v>
      </c>
      <c r="L249" s="9">
        <v>35639</v>
      </c>
      <c r="M249" s="14">
        <f t="shared" si="12"/>
        <v>-4.4778849070706839E-3</v>
      </c>
      <c r="N249" s="14">
        <f t="shared" si="13"/>
        <v>-2.4925702233725699E-3</v>
      </c>
      <c r="O249" s="14">
        <f t="shared" si="14"/>
        <v>3.9749078841122554E-3</v>
      </c>
      <c r="P249" s="14">
        <f t="array" ref="P249">MMULT(M249:O249,$I$9:$I$11)</f>
        <v>2.2289598269419524E-3</v>
      </c>
    </row>
    <row r="250" spans="2:16" x14ac:dyDescent="0.25">
      <c r="B250" s="9">
        <v>35640</v>
      </c>
      <c r="C250" s="10">
        <v>6.0798749924000001E-2</v>
      </c>
      <c r="D250" s="11">
        <v>942.29</v>
      </c>
      <c r="E250" s="11">
        <v>0.93532268634456006</v>
      </c>
      <c r="L250" s="9">
        <v>35640</v>
      </c>
      <c r="M250" s="14">
        <f t="shared" si="12"/>
        <v>-7.0682717933829853E-3</v>
      </c>
      <c r="N250" s="14">
        <f t="shared" si="13"/>
        <v>6.2363180095039716E-3</v>
      </c>
      <c r="O250" s="14">
        <f t="shared" si="14"/>
        <v>-8.3498370974572911E-3</v>
      </c>
      <c r="P250" s="14">
        <f t="array" ref="P250">MMULT(M250:O250,$I$9:$I$11)</f>
        <v>-4.4121864788782992E-3</v>
      </c>
    </row>
    <row r="251" spans="2:16" x14ac:dyDescent="0.25">
      <c r="B251" s="9">
        <v>35641</v>
      </c>
      <c r="C251" s="10">
        <v>6.0326600074999993E-2</v>
      </c>
      <c r="D251" s="11">
        <v>952.29</v>
      </c>
      <c r="E251" s="11">
        <v>0.93972116682623508</v>
      </c>
      <c r="L251" s="9">
        <v>35641</v>
      </c>
      <c r="M251" s="14">
        <f t="shared" si="12"/>
        <v>-7.7657821845055208E-3</v>
      </c>
      <c r="N251" s="14">
        <f t="shared" si="13"/>
        <v>1.0612444152012568E-2</v>
      </c>
      <c r="O251" s="14">
        <f t="shared" si="14"/>
        <v>4.7026342308291724E-3</v>
      </c>
      <c r="P251" s="14">
        <f t="array" ref="P251">MMULT(M251:O251,$I$9:$I$11)</f>
        <v>6.2980352478337193E-3</v>
      </c>
    </row>
    <row r="252" spans="2:16" x14ac:dyDescent="0.25">
      <c r="B252" s="9">
        <v>35642</v>
      </c>
      <c r="C252" s="10">
        <v>6.0001997948000006E-2</v>
      </c>
      <c r="D252" s="11">
        <v>954.29</v>
      </c>
      <c r="E252" s="11">
        <v>0.93926030663190585</v>
      </c>
      <c r="L252" s="9">
        <v>35642</v>
      </c>
      <c r="M252" s="14">
        <f t="shared" si="12"/>
        <v>-5.380746247864665E-3</v>
      </c>
      <c r="N252" s="14">
        <f t="shared" si="13"/>
        <v>2.1002005691543868E-3</v>
      </c>
      <c r="O252" s="14">
        <f t="shared" si="14"/>
        <v>-4.9042227694595653E-4</v>
      </c>
      <c r="P252" s="14">
        <f t="array" ref="P252">MMULT(M252:O252,$I$9:$I$11)</f>
        <v>2.089373265717285E-4</v>
      </c>
    </row>
    <row r="253" spans="2:16" x14ac:dyDescent="0.25">
      <c r="B253" s="9">
        <v>35643</v>
      </c>
      <c r="C253" s="10">
        <v>6.1693859099999998E-2</v>
      </c>
      <c r="D253" s="11">
        <v>947.14</v>
      </c>
      <c r="E253" s="11">
        <v>0.94943611793141258</v>
      </c>
      <c r="L253" s="9">
        <v>35643</v>
      </c>
      <c r="M253" s="14">
        <f t="shared" si="12"/>
        <v>2.8196746939430639E-2</v>
      </c>
      <c r="N253" s="14">
        <f t="shared" si="13"/>
        <v>-7.4924813211916241E-3</v>
      </c>
      <c r="O253" s="14">
        <f t="shared" si="14"/>
        <v>1.0833856416222032E-2</v>
      </c>
      <c r="P253" s="14">
        <f t="array" ref="P253">MMULT(M253:O253,$I$9:$I$11)</f>
        <v>5.8865132268180846E-3</v>
      </c>
    </row>
    <row r="254" spans="2:16" x14ac:dyDescent="0.25">
      <c r="B254" s="9">
        <v>35646</v>
      </c>
      <c r="C254" s="10">
        <v>6.1979107857000004E-2</v>
      </c>
      <c r="D254" s="11">
        <v>950.3</v>
      </c>
      <c r="E254" s="11">
        <v>0.95311877215216856</v>
      </c>
      <c r="L254" s="9">
        <v>35646</v>
      </c>
      <c r="M254" s="14">
        <f t="shared" si="12"/>
        <v>4.623616696398436E-3</v>
      </c>
      <c r="N254" s="14">
        <f t="shared" si="13"/>
        <v>3.3363599890194884E-3</v>
      </c>
      <c r="O254" s="14">
        <f t="shared" si="14"/>
        <v>3.8787804162954131E-3</v>
      </c>
      <c r="P254" s="14">
        <f t="array" ref="P254">MMULT(M254:O254,$I$9:$I$11)</f>
        <v>3.7323496320804841E-3</v>
      </c>
    </row>
    <row r="255" spans="2:16" x14ac:dyDescent="0.25">
      <c r="B255" s="9">
        <v>35647</v>
      </c>
      <c r="C255" s="10">
        <v>6.2106990813999993E-2</v>
      </c>
      <c r="D255" s="11">
        <v>952.37</v>
      </c>
      <c r="E255" s="11">
        <v>0.96083935630103134</v>
      </c>
      <c r="L255" s="9">
        <v>35647</v>
      </c>
      <c r="M255" s="14">
        <f t="shared" si="12"/>
        <v>2.0633236169684821E-3</v>
      </c>
      <c r="N255" s="14">
        <f t="shared" si="13"/>
        <v>2.1782594970010116E-3</v>
      </c>
      <c r="O255" s="14">
        <f t="shared" si="14"/>
        <v>8.100337937348101E-3</v>
      </c>
      <c r="P255" s="14">
        <f t="array" ref="P255">MMULT(M255:O255,$I$9:$I$11)</f>
        <v>6.5016249343047578E-3</v>
      </c>
    </row>
    <row r="256" spans="2:16" x14ac:dyDescent="0.25">
      <c r="B256" s="9">
        <v>35648</v>
      </c>
      <c r="C256" s="10">
        <v>6.1920089721999999E-2</v>
      </c>
      <c r="D256" s="11">
        <v>960.32</v>
      </c>
      <c r="E256" s="11">
        <v>0.95853757054702804</v>
      </c>
      <c r="L256" s="9">
        <v>35648</v>
      </c>
      <c r="M256" s="14">
        <f t="shared" si="12"/>
        <v>-3.0093406482972762E-3</v>
      </c>
      <c r="N256" s="14">
        <f t="shared" si="13"/>
        <v>8.3475959973540181E-3</v>
      </c>
      <c r="O256" s="14">
        <f t="shared" si="14"/>
        <v>-2.3955989509677478E-3</v>
      </c>
      <c r="P256" s="14">
        <f t="array" ref="P256">MMULT(M256:O256,$I$9:$I$11)</f>
        <v>5.0461347126165546E-4</v>
      </c>
    </row>
    <row r="257" spans="2:16" x14ac:dyDescent="0.25">
      <c r="B257" s="9">
        <v>35649</v>
      </c>
      <c r="C257" s="10">
        <v>6.2293882370000005E-2</v>
      </c>
      <c r="D257" s="11">
        <v>951.19</v>
      </c>
      <c r="E257" s="11">
        <v>0.9579252578240911</v>
      </c>
      <c r="L257" s="9">
        <v>35649</v>
      </c>
      <c r="M257" s="14">
        <f t="shared" si="12"/>
        <v>6.0366942244141075E-3</v>
      </c>
      <c r="N257" s="14">
        <f t="shared" si="13"/>
        <v>-9.5072475841385673E-3</v>
      </c>
      <c r="O257" s="14">
        <f t="shared" si="14"/>
        <v>-6.3879887627926735E-4</v>
      </c>
      <c r="P257" s="14">
        <f t="array" ref="P257">MMULT(M257:O257,$I$9:$I$11)</f>
        <v>-3.0329083783558089E-3</v>
      </c>
    </row>
    <row r="258" spans="2:16" x14ac:dyDescent="0.25">
      <c r="B258" s="9">
        <v>35650</v>
      </c>
      <c r="C258" s="10">
        <v>6.364147186300001E-2</v>
      </c>
      <c r="D258" s="11">
        <v>933.54</v>
      </c>
      <c r="E258" s="11">
        <v>0.94759570103367574</v>
      </c>
      <c r="L258" s="9">
        <v>35650</v>
      </c>
      <c r="M258" s="14">
        <f t="shared" si="12"/>
        <v>2.1632774226462148E-2</v>
      </c>
      <c r="N258" s="14">
        <f t="shared" si="13"/>
        <v>-1.8555703907736754E-2</v>
      </c>
      <c r="O258" s="14">
        <f t="shared" si="14"/>
        <v>-1.0783259660444466E-2</v>
      </c>
      <c r="P258" s="14">
        <f t="array" ref="P258">MMULT(M258:O258,$I$9:$I$11)</f>
        <v>-1.2881493888298991E-2</v>
      </c>
    </row>
    <row r="259" spans="2:16" x14ac:dyDescent="0.25">
      <c r="B259" s="9">
        <v>35653</v>
      </c>
      <c r="C259" s="10">
        <v>6.364147186300001E-2</v>
      </c>
      <c r="D259" s="11">
        <v>937</v>
      </c>
      <c r="E259" s="11">
        <v>0.94825993688531496</v>
      </c>
      <c r="L259" s="9">
        <v>35653</v>
      </c>
      <c r="M259" s="14">
        <f t="shared" si="12"/>
        <v>0</v>
      </c>
      <c r="N259" s="14">
        <f t="shared" si="13"/>
        <v>3.7063221715192274E-3</v>
      </c>
      <c r="O259" s="14">
        <f t="shared" si="14"/>
        <v>7.0096967611243954E-4</v>
      </c>
      <c r="P259" s="14">
        <f t="array" ref="P259">MMULT(M259:O259,$I$9:$I$11)</f>
        <v>1.5122889049158307E-3</v>
      </c>
    </row>
    <row r="260" spans="2:16" x14ac:dyDescent="0.25">
      <c r="B260" s="9">
        <v>35654</v>
      </c>
      <c r="C260" s="10">
        <v>6.3848028183000005E-2</v>
      </c>
      <c r="D260" s="11">
        <v>926.53</v>
      </c>
      <c r="E260" s="11">
        <v>0.95235007247520242</v>
      </c>
      <c r="L260" s="9">
        <v>35654</v>
      </c>
      <c r="M260" s="14">
        <f t="shared" si="12"/>
        <v>3.2456244953706914E-3</v>
      </c>
      <c r="N260" s="14">
        <f t="shared" si="13"/>
        <v>-1.1173959445037407E-2</v>
      </c>
      <c r="O260" s="14">
        <f t="shared" si="14"/>
        <v>4.3133063317237763E-3</v>
      </c>
      <c r="P260" s="14">
        <f t="array" ref="P260">MMULT(M260:O260,$I$9:$I$11)</f>
        <v>1.3239359503852775E-4</v>
      </c>
    </row>
    <row r="261" spans="2:16" x14ac:dyDescent="0.25">
      <c r="B261" s="9">
        <v>35655</v>
      </c>
      <c r="C261" s="10">
        <v>6.3562769890000009E-2</v>
      </c>
      <c r="D261" s="11">
        <v>922.02</v>
      </c>
      <c r="E261" s="11">
        <v>0.9366007029615554</v>
      </c>
      <c r="L261" s="9">
        <v>35655</v>
      </c>
      <c r="M261" s="14">
        <f t="shared" si="12"/>
        <v>-4.4677698140088706E-3</v>
      </c>
      <c r="N261" s="14">
        <f t="shared" si="13"/>
        <v>-4.867624361866274E-3</v>
      </c>
      <c r="O261" s="14">
        <f t="shared" si="14"/>
        <v>-1.653737419551371E-2</v>
      </c>
      <c r="P261" s="14">
        <f t="array" ref="P261">MMULT(M261:O261,$I$9:$I$11)</f>
        <v>-1.3387030783273871E-2</v>
      </c>
    </row>
    <row r="262" spans="2:16" x14ac:dyDescent="0.25">
      <c r="B262" s="9">
        <v>35656</v>
      </c>
      <c r="C262" s="10">
        <v>6.2825050354000003E-2</v>
      </c>
      <c r="D262" s="11">
        <v>924.77</v>
      </c>
      <c r="E262" s="11">
        <v>0.94401660304531443</v>
      </c>
      <c r="L262" s="9">
        <v>35656</v>
      </c>
      <c r="M262" s="14">
        <f t="shared" si="12"/>
        <v>-1.1606157775639447E-2</v>
      </c>
      <c r="N262" s="14">
        <f t="shared" si="13"/>
        <v>2.9825817227391305E-3</v>
      </c>
      <c r="O262" s="14">
        <f t="shared" si="14"/>
        <v>7.9178886587525366E-3</v>
      </c>
      <c r="P262" s="14">
        <f t="array" ref="P262">MMULT(M262:O262,$I$9:$I$11)</f>
        <v>6.5855626093609659E-3</v>
      </c>
    </row>
    <row r="263" spans="2:16" x14ac:dyDescent="0.25">
      <c r="B263" s="9">
        <v>35657</v>
      </c>
      <c r="C263" s="10">
        <v>6.2707009315000006E-2</v>
      </c>
      <c r="D263" s="11">
        <v>900.81</v>
      </c>
      <c r="E263" s="11">
        <v>0.92980049533161369</v>
      </c>
      <c r="L263" s="9">
        <v>35657</v>
      </c>
      <c r="M263" s="14">
        <f t="shared" si="12"/>
        <v>-1.8788849087246762E-3</v>
      </c>
      <c r="N263" s="14">
        <f t="shared" si="13"/>
        <v>-2.5909144976588805E-2</v>
      </c>
      <c r="O263" s="14">
        <f t="shared" si="14"/>
        <v>-1.505917127711609E-2</v>
      </c>
      <c r="P263" s="14">
        <f t="array" ref="P263">MMULT(M263:O263,$I$9:$I$11)</f>
        <v>-1.798820948739158E-2</v>
      </c>
    </row>
    <row r="264" spans="2:16" x14ac:dyDescent="0.25">
      <c r="B264" s="9">
        <v>35660</v>
      </c>
      <c r="C264" s="10">
        <v>6.2264370918000002E-2</v>
      </c>
      <c r="D264" s="11">
        <v>912.49</v>
      </c>
      <c r="E264" s="11">
        <v>0.93184556921055883</v>
      </c>
      <c r="L264" s="9">
        <v>35660</v>
      </c>
      <c r="M264" s="14">
        <f t="shared" si="12"/>
        <v>-7.058834440285211E-3</v>
      </c>
      <c r="N264" s="14">
        <f t="shared" si="13"/>
        <v>1.2966108280325628E-2</v>
      </c>
      <c r="O264" s="14">
        <f t="shared" si="14"/>
        <v>2.1994760050281226E-3</v>
      </c>
      <c r="P264" s="14">
        <f t="array" ref="P264">MMULT(M264:O264,$I$9:$I$11)</f>
        <v>5.1060155233556472E-3</v>
      </c>
    </row>
    <row r="265" spans="2:16" x14ac:dyDescent="0.25">
      <c r="B265" s="9">
        <v>35661</v>
      </c>
      <c r="C265" s="10">
        <v>6.2234859467000005E-2</v>
      </c>
      <c r="D265" s="11">
        <v>926.01</v>
      </c>
      <c r="E265" s="11">
        <v>0.93905506432870423</v>
      </c>
      <c r="L265" s="9">
        <v>35661</v>
      </c>
      <c r="M265" s="14">
        <f t="shared" ref="M265:M328" si="15">C265/C264-1</f>
        <v>-4.7397011428673697E-4</v>
      </c>
      <c r="N265" s="14">
        <f t="shared" ref="N265:N328" si="16">D265/D264-1</f>
        <v>1.4816600729870899E-2</v>
      </c>
      <c r="O265" s="14">
        <f t="shared" ref="O265:O328" si="17">E265/E264-1</f>
        <v>7.7367917564421518E-3</v>
      </c>
      <c r="P265" s="14">
        <f t="array" ref="P265">MMULT(M265:O265,$I$9:$I$11)</f>
        <v>9.6480434865391443E-3</v>
      </c>
    </row>
    <row r="266" spans="2:16" x14ac:dyDescent="0.25">
      <c r="B266" s="9">
        <v>35662</v>
      </c>
      <c r="C266" s="10">
        <v>6.2500438689999993E-2</v>
      </c>
      <c r="D266" s="11">
        <v>939.35</v>
      </c>
      <c r="E266" s="11">
        <v>0.9494872710105704</v>
      </c>
      <c r="L266" s="9">
        <v>35662</v>
      </c>
      <c r="M266" s="14">
        <f t="shared" si="15"/>
        <v>4.2673708155605006E-3</v>
      </c>
      <c r="N266" s="14">
        <f t="shared" si="16"/>
        <v>1.4405891945011406E-2</v>
      </c>
      <c r="O266" s="14">
        <f t="shared" si="17"/>
        <v>1.1109259806104888E-2</v>
      </c>
      <c r="P266" s="14">
        <f t="array" ref="P266">MMULT(M266:O266,$I$9:$I$11)</f>
        <v>1.1999212332031165E-2</v>
      </c>
    </row>
    <row r="267" spans="2:16" x14ac:dyDescent="0.25">
      <c r="B267" s="9">
        <v>35663</v>
      </c>
      <c r="C267" s="10">
        <v>6.3100461960000007E-2</v>
      </c>
      <c r="D267" s="11">
        <v>925.05</v>
      </c>
      <c r="E267" s="11">
        <v>0.94191951033199028</v>
      </c>
      <c r="L267" s="9">
        <v>35663</v>
      </c>
      <c r="M267" s="14">
        <f t="shared" si="15"/>
        <v>9.6003049350759095E-3</v>
      </c>
      <c r="N267" s="14">
        <f t="shared" si="16"/>
        <v>-1.5223292702400637E-2</v>
      </c>
      <c r="O267" s="14">
        <f t="shared" si="17"/>
        <v>-7.970365595871054E-3</v>
      </c>
      <c r="P267" s="14">
        <f t="array" ref="P267">MMULT(M267:O267,$I$9:$I$11)</f>
        <v>-9.9283519670638649E-3</v>
      </c>
    </row>
    <row r="268" spans="2:16" x14ac:dyDescent="0.25">
      <c r="B268" s="9">
        <v>35664</v>
      </c>
      <c r="C268" s="10">
        <v>6.3759498595999997E-2</v>
      </c>
      <c r="D268" s="11">
        <v>923.55</v>
      </c>
      <c r="E268" s="11">
        <v>0.92928846675584431</v>
      </c>
      <c r="L268" s="9">
        <v>35664</v>
      </c>
      <c r="M268" s="14">
        <f t="shared" si="15"/>
        <v>1.0444244234182554E-2</v>
      </c>
      <c r="N268" s="14">
        <f t="shared" si="16"/>
        <v>-1.6215339711367349E-3</v>
      </c>
      <c r="O268" s="14">
        <f t="shared" si="17"/>
        <v>-1.3409896957855771E-2</v>
      </c>
      <c r="P268" s="14">
        <f t="array" ref="P268">MMULT(M268:O268,$I$9:$I$11)</f>
        <v>-1.0227532964994167E-2</v>
      </c>
    </row>
    <row r="269" spans="2:16" x14ac:dyDescent="0.25">
      <c r="B269" s="9">
        <v>35667</v>
      </c>
      <c r="C269" s="10">
        <v>6.3946390152000002E-2</v>
      </c>
      <c r="D269" s="11">
        <v>920.16</v>
      </c>
      <c r="E269" s="11">
        <v>0.93077192107310747</v>
      </c>
      <c r="L269" s="9">
        <v>35667</v>
      </c>
      <c r="M269" s="14">
        <f t="shared" si="15"/>
        <v>2.9311955099302622E-3</v>
      </c>
      <c r="N269" s="14">
        <f t="shared" si="16"/>
        <v>-3.6706188078609037E-3</v>
      </c>
      <c r="O269" s="14">
        <f t="shared" si="17"/>
        <v>1.5963335071207396E-3</v>
      </c>
      <c r="P269" s="14">
        <f t="array" ref="P269">MMULT(M269:O269,$I$9:$I$11)</f>
        <v>1.7447710363195407E-4</v>
      </c>
    </row>
    <row r="270" spans="2:16" x14ac:dyDescent="0.25">
      <c r="B270" s="9">
        <v>35668</v>
      </c>
      <c r="C270" s="10">
        <v>6.3848028183000005E-2</v>
      </c>
      <c r="D270" s="11">
        <v>913.02</v>
      </c>
      <c r="E270" s="11">
        <v>0.92069826189278403</v>
      </c>
      <c r="L270" s="9">
        <v>35668</v>
      </c>
      <c r="M270" s="14">
        <f t="shared" si="15"/>
        <v>-1.5381942399905757E-3</v>
      </c>
      <c r="N270" s="14">
        <f t="shared" si="16"/>
        <v>-7.7595200834637001E-3</v>
      </c>
      <c r="O270" s="14">
        <f t="shared" si="17"/>
        <v>-1.0822908332590586E-2</v>
      </c>
      <c r="P270" s="14">
        <f t="array" ref="P270">MMULT(M270:O270,$I$9:$I$11)</f>
        <v>-9.9959218823803299E-3</v>
      </c>
    </row>
    <row r="271" spans="2:16" x14ac:dyDescent="0.25">
      <c r="B271" s="9">
        <v>35669</v>
      </c>
      <c r="C271" s="10">
        <v>6.3808679580999991E-2</v>
      </c>
      <c r="D271" s="11">
        <v>913.7</v>
      </c>
      <c r="E271" s="11">
        <v>0.92576055466077112</v>
      </c>
      <c r="L271" s="9">
        <v>35669</v>
      </c>
      <c r="M271" s="14">
        <f t="shared" si="15"/>
        <v>-6.1628531248036911E-4</v>
      </c>
      <c r="N271" s="14">
        <f t="shared" si="16"/>
        <v>7.4478105627484581E-4</v>
      </c>
      <c r="O271" s="14">
        <f t="shared" si="17"/>
        <v>5.4983190231943091E-3</v>
      </c>
      <c r="P271" s="14">
        <f t="array" ref="P271">MMULT(M271:O271,$I$9:$I$11)</f>
        <v>4.2150629780871194E-3</v>
      </c>
    </row>
    <row r="272" spans="2:16" x14ac:dyDescent="0.25">
      <c r="B272" s="9">
        <v>35670</v>
      </c>
      <c r="C272" s="10">
        <v>6.3002099990999996E-2</v>
      </c>
      <c r="D272" s="11">
        <v>903.67</v>
      </c>
      <c r="E272" s="11">
        <v>0.91860116861758356</v>
      </c>
      <c r="L272" s="9">
        <v>35670</v>
      </c>
      <c r="M272" s="14">
        <f t="shared" si="15"/>
        <v>-1.2640593651152221E-2</v>
      </c>
      <c r="N272" s="14">
        <f t="shared" si="16"/>
        <v>-1.0977344861551996E-2</v>
      </c>
      <c r="O272" s="14">
        <f t="shared" si="17"/>
        <v>-7.7335181404558639E-3</v>
      </c>
      <c r="P272" s="14">
        <f t="array" ref="P272">MMULT(M272:O272,$I$9:$I$11)</f>
        <v>-8.6092154164838213E-3</v>
      </c>
    </row>
    <row r="273" spans="2:16" x14ac:dyDescent="0.25">
      <c r="B273" s="9">
        <v>35671</v>
      </c>
      <c r="C273" s="10">
        <v>6.3336539268000008E-2</v>
      </c>
      <c r="D273" s="11">
        <v>899.47</v>
      </c>
      <c r="E273" s="11">
        <v>0.92054418349776324</v>
      </c>
      <c r="L273" s="9">
        <v>35671</v>
      </c>
      <c r="M273" s="14">
        <f t="shared" si="15"/>
        <v>5.3083830070392857E-3</v>
      </c>
      <c r="N273" s="14">
        <f t="shared" si="16"/>
        <v>-4.647714320493046E-3</v>
      </c>
      <c r="O273" s="14">
        <f t="shared" si="17"/>
        <v>2.1151887745840536E-3</v>
      </c>
      <c r="P273" s="14">
        <f t="array" ref="P273">MMULT(M273:O273,$I$9:$I$11)</f>
        <v>2.8948835110432949E-4</v>
      </c>
    </row>
    <row r="274" spans="2:16" x14ac:dyDescent="0.25">
      <c r="B274" s="9">
        <v>35674</v>
      </c>
      <c r="C274" s="10">
        <v>6.3336539268000008E-2</v>
      </c>
      <c r="D274" s="11">
        <v>899.47</v>
      </c>
      <c r="E274" s="11">
        <v>0.92627197470323086</v>
      </c>
      <c r="L274" s="9">
        <v>35674</v>
      </c>
      <c r="M274" s="14">
        <f t="shared" si="15"/>
        <v>0</v>
      </c>
      <c r="N274" s="14">
        <f t="shared" si="16"/>
        <v>0</v>
      </c>
      <c r="O274" s="14">
        <f t="shared" si="17"/>
        <v>6.2221795630752474E-3</v>
      </c>
      <c r="P274" s="14">
        <f t="array" ref="P274">MMULT(M274:O274,$I$9:$I$11)</f>
        <v>4.5424518331980447E-3</v>
      </c>
    </row>
    <row r="275" spans="2:16" x14ac:dyDescent="0.25">
      <c r="B275" s="9">
        <v>35675</v>
      </c>
      <c r="C275" s="10">
        <v>6.2943081856000005E-2</v>
      </c>
      <c r="D275" s="11">
        <v>927.58</v>
      </c>
      <c r="E275" s="11">
        <v>0.93721515770325825</v>
      </c>
      <c r="L275" s="9">
        <v>35675</v>
      </c>
      <c r="M275" s="14">
        <f t="shared" si="15"/>
        <v>-6.2121709924052304E-3</v>
      </c>
      <c r="N275" s="14">
        <f t="shared" si="16"/>
        <v>3.125173713409013E-2</v>
      </c>
      <c r="O275" s="14">
        <f t="shared" si="17"/>
        <v>1.1814222279081132E-2</v>
      </c>
      <c r="P275" s="14">
        <f t="array" ref="P275">MMULT(M275:O275,$I$9:$I$11)</f>
        <v>1.7061536724265976E-2</v>
      </c>
    </row>
    <row r="276" spans="2:16" x14ac:dyDescent="0.25">
      <c r="B276" s="9">
        <v>35676</v>
      </c>
      <c r="C276" s="10">
        <v>6.3080787659000007E-2</v>
      </c>
      <c r="D276" s="11">
        <v>927.86</v>
      </c>
      <c r="E276" s="11">
        <v>0.92985110052194109</v>
      </c>
      <c r="L276" s="9">
        <v>35676</v>
      </c>
      <c r="M276" s="14">
        <f t="shared" si="15"/>
        <v>2.1877829769290091E-3</v>
      </c>
      <c r="N276" s="14">
        <f t="shared" si="16"/>
        <v>3.0186075594551554E-4</v>
      </c>
      <c r="O276" s="14">
        <f t="shared" si="17"/>
        <v>-7.8573816490159487E-3</v>
      </c>
      <c r="P276" s="14">
        <f t="array" ref="P276">MMULT(M276:O276,$I$9:$I$11)</f>
        <v>-5.6547281280960177E-3</v>
      </c>
    </row>
    <row r="277" spans="2:16" x14ac:dyDescent="0.25">
      <c r="B277" s="9">
        <v>35677</v>
      </c>
      <c r="C277" s="10">
        <v>6.3198828696999998E-2</v>
      </c>
      <c r="D277" s="11">
        <v>930.87</v>
      </c>
      <c r="E277" s="11">
        <v>0.92974804083495155</v>
      </c>
      <c r="L277" s="9">
        <v>35677</v>
      </c>
      <c r="M277" s="14">
        <f t="shared" si="15"/>
        <v>1.8712676613692469E-3</v>
      </c>
      <c r="N277" s="14">
        <f t="shared" si="16"/>
        <v>3.2440238829134493E-3</v>
      </c>
      <c r="O277" s="14">
        <f t="shared" si="17"/>
        <v>-1.1083461312433318E-4</v>
      </c>
      <c r="P277" s="14">
        <f t="array" ref="P277">MMULT(M277:O277,$I$9:$I$11)</f>
        <v>7.9483658914222886E-4</v>
      </c>
    </row>
    <row r="278" spans="2:16" x14ac:dyDescent="0.25">
      <c r="B278" s="9">
        <v>35678</v>
      </c>
      <c r="C278" s="10">
        <v>6.3434901236999991E-2</v>
      </c>
      <c r="D278" s="11">
        <v>929.05</v>
      </c>
      <c r="E278" s="11">
        <v>0.92391889886951684</v>
      </c>
      <c r="L278" s="9">
        <v>35678</v>
      </c>
      <c r="M278" s="14">
        <f t="shared" si="15"/>
        <v>3.7353942290896391E-3</v>
      </c>
      <c r="N278" s="14">
        <f t="shared" si="16"/>
        <v>-1.9551602264549217E-3</v>
      </c>
      <c r="O278" s="14">
        <f t="shared" si="17"/>
        <v>-6.269593168704013E-3</v>
      </c>
      <c r="P278" s="14">
        <f t="array" ref="P278">MMULT(M278:O278,$I$9:$I$11)</f>
        <v>-5.1048770787347772E-3</v>
      </c>
    </row>
    <row r="279" spans="2:16" x14ac:dyDescent="0.25">
      <c r="B279" s="9">
        <v>35681</v>
      </c>
      <c r="C279" s="10">
        <v>6.3238167763000008E-2</v>
      </c>
      <c r="D279" s="11">
        <v>931.2</v>
      </c>
      <c r="E279" s="11">
        <v>0.92570855490018333</v>
      </c>
      <c r="L279" s="9">
        <v>35681</v>
      </c>
      <c r="M279" s="14">
        <f t="shared" si="15"/>
        <v>-3.1013443729496215E-3</v>
      </c>
      <c r="N279" s="14">
        <f t="shared" si="16"/>
        <v>2.3141919164739733E-3</v>
      </c>
      <c r="O279" s="14">
        <f t="shared" si="17"/>
        <v>1.9370271923826454E-3</v>
      </c>
      <c r="P279" s="14">
        <f t="array" ref="P279">MMULT(M279:O279,$I$9:$I$11)</f>
        <v>2.0388458620892091E-3</v>
      </c>
    </row>
    <row r="280" spans="2:16" x14ac:dyDescent="0.25">
      <c r="B280" s="9">
        <v>35682</v>
      </c>
      <c r="C280" s="10">
        <v>6.3297190665999994E-2</v>
      </c>
      <c r="D280" s="11">
        <v>933.62</v>
      </c>
      <c r="E280" s="11">
        <v>0.92611755894298697</v>
      </c>
      <c r="L280" s="9">
        <v>35682</v>
      </c>
      <c r="M280" s="14">
        <f t="shared" si="15"/>
        <v>9.333430282354449E-4</v>
      </c>
      <c r="N280" s="14">
        <f t="shared" si="16"/>
        <v>2.5987972508589863E-3</v>
      </c>
      <c r="O280" s="14">
        <f t="shared" si="17"/>
        <v>4.4182809010306912E-4</v>
      </c>
      <c r="P280" s="14">
        <f t="array" ref="P280">MMULT(M280:O280,$I$9:$I$11)</f>
        <v>1.0241193716521639E-3</v>
      </c>
    </row>
    <row r="281" spans="2:16" x14ac:dyDescent="0.25">
      <c r="B281" s="9">
        <v>35683</v>
      </c>
      <c r="C281" s="10">
        <v>6.3493919373000002E-2</v>
      </c>
      <c r="D281" s="11">
        <v>919.03</v>
      </c>
      <c r="E281" s="11">
        <v>0.92120926200189535</v>
      </c>
      <c r="L281" s="9">
        <v>35683</v>
      </c>
      <c r="M281" s="14">
        <f t="shared" si="15"/>
        <v>3.1080164053107762E-3</v>
      </c>
      <c r="N281" s="14">
        <f t="shared" si="16"/>
        <v>-1.5627343030354957E-2</v>
      </c>
      <c r="O281" s="14">
        <f t="shared" si="17"/>
        <v>-5.2998638171741774E-3</v>
      </c>
      <c r="P281" s="14">
        <f t="array" ref="P281">MMULT(M281:O281,$I$9:$I$11)</f>
        <v>-8.0878504122663328E-3</v>
      </c>
    </row>
    <row r="282" spans="2:16" x14ac:dyDescent="0.25">
      <c r="B282" s="9">
        <v>35684</v>
      </c>
      <c r="C282" s="10">
        <v>6.3789010048E-2</v>
      </c>
      <c r="D282" s="11">
        <v>912.59</v>
      </c>
      <c r="E282" s="11">
        <v>0.91609643217454539</v>
      </c>
      <c r="L282" s="9">
        <v>35684</v>
      </c>
      <c r="M282" s="14">
        <f t="shared" si="15"/>
        <v>4.6475422830092317E-3</v>
      </c>
      <c r="N282" s="14">
        <f t="shared" si="16"/>
        <v>-7.0073882245410557E-3</v>
      </c>
      <c r="O282" s="14">
        <f t="shared" si="17"/>
        <v>-5.5501285519418131E-3</v>
      </c>
      <c r="P282" s="14">
        <f t="array" ref="P282">MMULT(M282:O282,$I$9:$I$11)</f>
        <v>-5.9435275943325021E-3</v>
      </c>
    </row>
    <row r="283" spans="2:16" x14ac:dyDescent="0.25">
      <c r="B283" s="9">
        <v>35685</v>
      </c>
      <c r="C283" s="10">
        <v>6.2795529365999997E-2</v>
      </c>
      <c r="D283" s="11">
        <v>923.91</v>
      </c>
      <c r="E283" s="11">
        <v>0.90504990520024897</v>
      </c>
      <c r="L283" s="9">
        <v>35685</v>
      </c>
      <c r="M283" s="14">
        <f t="shared" si="15"/>
        <v>-1.5574480325881046E-2</v>
      </c>
      <c r="N283" s="14">
        <f t="shared" si="16"/>
        <v>1.2404256018584414E-2</v>
      </c>
      <c r="O283" s="14">
        <f t="shared" si="17"/>
        <v>-1.2058257827808783E-2</v>
      </c>
      <c r="P283" s="14">
        <f t="array" ref="P283">MMULT(M283:O283,$I$9:$I$11)</f>
        <v>-5.4544042369967551E-3</v>
      </c>
    </row>
    <row r="284" spans="2:16" x14ac:dyDescent="0.25">
      <c r="B284" s="9">
        <v>35688</v>
      </c>
      <c r="C284" s="10">
        <v>6.2716851234000004E-2</v>
      </c>
      <c r="D284" s="11">
        <v>919.77</v>
      </c>
      <c r="E284" s="11">
        <v>0.90162372939566293</v>
      </c>
      <c r="L284" s="9">
        <v>35688</v>
      </c>
      <c r="M284" s="14">
        <f t="shared" si="15"/>
        <v>-1.2529256906398389E-3</v>
      </c>
      <c r="N284" s="14">
        <f t="shared" si="16"/>
        <v>-4.4809559372666063E-3</v>
      </c>
      <c r="O284" s="14">
        <f t="shared" si="17"/>
        <v>-3.7856208645510314E-3</v>
      </c>
      <c r="P284" s="14">
        <f t="array" ref="P284">MMULT(M284:O284,$I$9:$I$11)</f>
        <v>-3.9733321948584571E-3</v>
      </c>
    </row>
    <row r="285" spans="2:16" x14ac:dyDescent="0.25">
      <c r="B285" s="9">
        <v>35689</v>
      </c>
      <c r="C285" s="10">
        <v>6.1024990081999998E-2</v>
      </c>
      <c r="D285" s="11">
        <v>945.64</v>
      </c>
      <c r="E285" s="11">
        <v>0.90412974550156844</v>
      </c>
      <c r="L285" s="9">
        <v>35689</v>
      </c>
      <c r="M285" s="14">
        <f t="shared" si="15"/>
        <v>-2.6976181340602978E-2</v>
      </c>
      <c r="N285" s="14">
        <f t="shared" si="16"/>
        <v>2.8126596866608011E-2</v>
      </c>
      <c r="O285" s="14">
        <f t="shared" si="17"/>
        <v>2.7794478164246961E-3</v>
      </c>
      <c r="P285" s="14">
        <f t="array" ref="P285">MMULT(M285:O285,$I$9:$I$11)</f>
        <v>9.6221158399557652E-3</v>
      </c>
    </row>
    <row r="286" spans="2:16" x14ac:dyDescent="0.25">
      <c r="B286" s="9">
        <v>35690</v>
      </c>
      <c r="C286" s="10">
        <v>6.0906949043000001E-2</v>
      </c>
      <c r="D286" s="11">
        <v>943</v>
      </c>
      <c r="E286" s="11">
        <v>0.90438552063638422</v>
      </c>
      <c r="L286" s="9">
        <v>35690</v>
      </c>
      <c r="M286" s="14">
        <f t="shared" si="15"/>
        <v>-1.9343065659065406E-3</v>
      </c>
      <c r="N286" s="14">
        <f t="shared" si="16"/>
        <v>-2.7917600778308849E-3</v>
      </c>
      <c r="O286" s="14">
        <f t="shared" si="17"/>
        <v>2.8289649365964564E-4</v>
      </c>
      <c r="P286" s="14">
        <f t="array" ref="P286">MMULT(M286:O286,$I$9:$I$11)</f>
        <v>-5.4713193136852404E-4</v>
      </c>
    </row>
    <row r="287" spans="2:16" x14ac:dyDescent="0.25">
      <c r="B287" s="9">
        <v>35691</v>
      </c>
      <c r="C287" s="10">
        <v>6.1015148163000001E-2</v>
      </c>
      <c r="D287" s="11">
        <v>947.29</v>
      </c>
      <c r="E287" s="11">
        <v>0.90550985699039066</v>
      </c>
      <c r="L287" s="9">
        <v>35691</v>
      </c>
      <c r="M287" s="14">
        <f t="shared" si="15"/>
        <v>1.7764659320500531E-3</v>
      </c>
      <c r="N287" s="14">
        <f t="shared" si="16"/>
        <v>4.5493107104983554E-3</v>
      </c>
      <c r="O287" s="14">
        <f t="shared" si="17"/>
        <v>1.2432047266914825E-3</v>
      </c>
      <c r="P287" s="14">
        <f t="array" ref="P287">MMULT(M287:O287,$I$9:$I$11)</f>
        <v>2.135714793721542E-3</v>
      </c>
    </row>
    <row r="288" spans="2:16" x14ac:dyDescent="0.25">
      <c r="B288" s="9">
        <v>35692</v>
      </c>
      <c r="C288" s="10">
        <v>6.0847930907999996E-2</v>
      </c>
      <c r="D288" s="11">
        <v>950.51</v>
      </c>
      <c r="E288" s="11">
        <v>0.90576641360732679</v>
      </c>
      <c r="L288" s="9">
        <v>35692</v>
      </c>
      <c r="M288" s="14">
        <f t="shared" si="15"/>
        <v>-2.7405859042296532E-3</v>
      </c>
      <c r="N288" s="14">
        <f t="shared" si="16"/>
        <v>3.3991702646496424E-3</v>
      </c>
      <c r="O288" s="14">
        <f t="shared" si="17"/>
        <v>2.8332835358502173E-4</v>
      </c>
      <c r="P288" s="14">
        <f t="array" ref="P288">MMULT(M288:O288,$I$9:$I$11)</f>
        <v>1.1244750943489746E-3</v>
      </c>
    </row>
    <row r="289" spans="2:16" x14ac:dyDescent="0.25">
      <c r="B289" s="9">
        <v>35695</v>
      </c>
      <c r="C289" s="10">
        <v>6.0592179298000003E-2</v>
      </c>
      <c r="D289" s="11">
        <v>955.43</v>
      </c>
      <c r="E289" s="11">
        <v>0.91686351350387563</v>
      </c>
      <c r="L289" s="9">
        <v>35695</v>
      </c>
      <c r="M289" s="14">
        <f t="shared" si="15"/>
        <v>-4.2031274717735378E-3</v>
      </c>
      <c r="N289" s="14">
        <f t="shared" si="16"/>
        <v>5.1761685831817061E-3</v>
      </c>
      <c r="O289" s="14">
        <f t="shared" si="17"/>
        <v>1.2251613362824099E-2</v>
      </c>
      <c r="P289" s="14">
        <f t="array" ref="P289">MMULT(M289:O289,$I$9:$I$11)</f>
        <v>1.034153978215966E-2</v>
      </c>
    </row>
    <row r="290" spans="2:16" x14ac:dyDescent="0.25">
      <c r="B290" s="9">
        <v>35696</v>
      </c>
      <c r="C290" s="10">
        <v>6.0936460495000004E-2</v>
      </c>
      <c r="D290" s="11">
        <v>951.93</v>
      </c>
      <c r="E290" s="11">
        <v>0.91808984176810082</v>
      </c>
      <c r="L290" s="9">
        <v>35696</v>
      </c>
      <c r="M290" s="14">
        <f t="shared" si="15"/>
        <v>5.6819411512958329E-3</v>
      </c>
      <c r="N290" s="14">
        <f t="shared" si="16"/>
        <v>-3.6632720345812775E-3</v>
      </c>
      <c r="O290" s="14">
        <f t="shared" si="17"/>
        <v>1.3375254289906824E-3</v>
      </c>
      <c r="P290" s="14">
        <f t="array" ref="P290">MMULT(M290:O290,$I$9:$I$11)</f>
        <v>-1.2480318337798764E-5</v>
      </c>
    </row>
    <row r="291" spans="2:16" x14ac:dyDescent="0.25">
      <c r="B291" s="9">
        <v>35697</v>
      </c>
      <c r="C291" s="10">
        <v>6.0424971580999999E-2</v>
      </c>
      <c r="D291" s="11">
        <v>944.48</v>
      </c>
      <c r="E291" s="11">
        <v>0.90597027643667838</v>
      </c>
      <c r="L291" s="9">
        <v>35697</v>
      </c>
      <c r="M291" s="14">
        <f t="shared" si="15"/>
        <v>-8.3938074158733667E-3</v>
      </c>
      <c r="N291" s="14">
        <f t="shared" si="16"/>
        <v>-7.8262057084028669E-3</v>
      </c>
      <c r="O291" s="14">
        <f t="shared" si="17"/>
        <v>-1.3200848958400457E-2</v>
      </c>
      <c r="P291" s="14">
        <f t="array" ref="P291">MMULT(M291:O291,$I$9:$I$11)</f>
        <v>-1.1749920515448818E-2</v>
      </c>
    </row>
    <row r="292" spans="2:16" x14ac:dyDescent="0.25">
      <c r="B292" s="9">
        <v>35698</v>
      </c>
      <c r="C292" s="10">
        <v>6.1231551169999995E-2</v>
      </c>
      <c r="D292" s="11">
        <v>937.91</v>
      </c>
      <c r="E292" s="11">
        <v>0.90397629144128533</v>
      </c>
      <c r="L292" s="9">
        <v>35698</v>
      </c>
      <c r="M292" s="14">
        <f t="shared" si="15"/>
        <v>1.3348447966065935E-2</v>
      </c>
      <c r="N292" s="14">
        <f t="shared" si="16"/>
        <v>-6.9562087074369616E-3</v>
      </c>
      <c r="O292" s="14">
        <f t="shared" si="17"/>
        <v>-2.2009386480489335E-3</v>
      </c>
      <c r="P292" s="14">
        <f t="array" ref="P292">MMULT(M292:O292,$I$9:$I$11)</f>
        <v>-3.4846622855360387E-3</v>
      </c>
    </row>
    <row r="293" spans="2:16" x14ac:dyDescent="0.25">
      <c r="B293" s="9">
        <v>35699</v>
      </c>
      <c r="C293" s="10">
        <v>6.0798749924000001E-2</v>
      </c>
      <c r="D293" s="11">
        <v>945.22</v>
      </c>
      <c r="E293" s="11">
        <v>0.9023906347555154</v>
      </c>
      <c r="L293" s="9">
        <v>35699</v>
      </c>
      <c r="M293" s="14">
        <f t="shared" si="15"/>
        <v>-7.0682717933829853E-3</v>
      </c>
      <c r="N293" s="14">
        <f t="shared" si="16"/>
        <v>7.7939247902252262E-3</v>
      </c>
      <c r="O293" s="14">
        <f t="shared" si="17"/>
        <v>-1.7540910096677242E-3</v>
      </c>
      <c r="P293" s="14">
        <f t="array" ref="P293">MMULT(M293:O293,$I$9:$I$11)</f>
        <v>8.2347312871905074E-4</v>
      </c>
    </row>
    <row r="294" spans="2:16" x14ac:dyDescent="0.25">
      <c r="B294" s="9">
        <v>35702</v>
      </c>
      <c r="C294" s="10">
        <v>6.0965971947E-2</v>
      </c>
      <c r="D294" s="11">
        <v>953.34</v>
      </c>
      <c r="E294" s="11">
        <v>0.89942569803771399</v>
      </c>
      <c r="L294" s="9">
        <v>35702</v>
      </c>
      <c r="M294" s="14">
        <f t="shared" si="15"/>
        <v>2.7504187702713789E-3</v>
      </c>
      <c r="N294" s="14">
        <f t="shared" si="16"/>
        <v>8.5905926662575016E-3</v>
      </c>
      <c r="O294" s="14">
        <f t="shared" si="17"/>
        <v>-3.2856465965038772E-3</v>
      </c>
      <c r="P294" s="14">
        <f t="array" ref="P294">MMULT(M294:O294,$I$9:$I$11)</f>
        <v>-7.9559691731690904E-5</v>
      </c>
    </row>
    <row r="295" spans="2:16" x14ac:dyDescent="0.25">
      <c r="B295" s="9">
        <v>35703</v>
      </c>
      <c r="C295" s="10">
        <v>6.1162700653000002E-2</v>
      </c>
      <c r="D295" s="11">
        <v>947.28</v>
      </c>
      <c r="E295" s="11">
        <v>0.90315874854604594</v>
      </c>
      <c r="L295" s="9">
        <v>35703</v>
      </c>
      <c r="M295" s="14">
        <f t="shared" si="15"/>
        <v>3.2268608162440149E-3</v>
      </c>
      <c r="N295" s="14">
        <f t="shared" si="16"/>
        <v>-6.3565989049028104E-3</v>
      </c>
      <c r="O295" s="14">
        <f t="shared" si="17"/>
        <v>4.1504823761167042E-3</v>
      </c>
      <c r="P295" s="14">
        <f t="array" ref="P295">MMULT(M295:O295,$I$9:$I$11)</f>
        <v>1.3140107492709966E-3</v>
      </c>
    </row>
    <row r="296" spans="2:16" x14ac:dyDescent="0.25">
      <c r="B296" s="9">
        <v>35704</v>
      </c>
      <c r="C296" s="10">
        <v>6.0365939139999998E-2</v>
      </c>
      <c r="D296" s="11">
        <v>955.41</v>
      </c>
      <c r="E296" s="11">
        <v>0.90796501884806213</v>
      </c>
      <c r="L296" s="9">
        <v>35704</v>
      </c>
      <c r="M296" s="14">
        <f t="shared" si="15"/>
        <v>-1.3026918440379953E-2</v>
      </c>
      <c r="N296" s="14">
        <f t="shared" si="16"/>
        <v>8.5824676969850078E-3</v>
      </c>
      <c r="O296" s="14">
        <f t="shared" si="17"/>
        <v>5.3216229259291925E-3</v>
      </c>
      <c r="P296" s="14">
        <f t="array" ref="P296">MMULT(M296:O296,$I$9:$I$11)</f>
        <v>6.2019143622728291E-3</v>
      </c>
    </row>
    <row r="297" spans="2:16" x14ac:dyDescent="0.25">
      <c r="B297" s="9">
        <v>35705</v>
      </c>
      <c r="C297" s="10">
        <v>6.0139708518999996E-2</v>
      </c>
      <c r="D297" s="11">
        <v>960.46</v>
      </c>
      <c r="E297" s="11">
        <v>0.90361843435121969</v>
      </c>
      <c r="L297" s="9">
        <v>35705</v>
      </c>
      <c r="M297" s="14">
        <f t="shared" si="15"/>
        <v>-3.7476534652319815E-3</v>
      </c>
      <c r="N297" s="14">
        <f t="shared" si="16"/>
        <v>5.285688866560001E-3</v>
      </c>
      <c r="O297" s="14">
        <f t="shared" si="17"/>
        <v>-4.7871717594990537E-3</v>
      </c>
      <c r="P297" s="14">
        <f t="array" ref="P297">MMULT(M297:O297,$I$9:$I$11)</f>
        <v>-2.0679215126583363E-3</v>
      </c>
    </row>
    <row r="298" spans="2:16" x14ac:dyDescent="0.25">
      <c r="B298" s="9">
        <v>35706</v>
      </c>
      <c r="C298" s="10">
        <v>6.0100359916999996E-2</v>
      </c>
      <c r="D298" s="11">
        <v>965.03</v>
      </c>
      <c r="E298" s="11">
        <v>0.90126608604303671</v>
      </c>
      <c r="L298" s="9">
        <v>35706</v>
      </c>
      <c r="M298" s="14">
        <f t="shared" si="15"/>
        <v>-6.5428654326726843E-4</v>
      </c>
      <c r="N298" s="14">
        <f t="shared" si="16"/>
        <v>4.7581367261519958E-3</v>
      </c>
      <c r="O298" s="14">
        <f t="shared" si="17"/>
        <v>-2.6032540049627517E-3</v>
      </c>
      <c r="P298" s="14">
        <f t="array" ref="P298">MMULT(M298:O298,$I$9:$I$11)</f>
        <v>-6.1598700050441045E-4</v>
      </c>
    </row>
    <row r="299" spans="2:16" x14ac:dyDescent="0.25">
      <c r="B299" s="9">
        <v>35709</v>
      </c>
      <c r="C299" s="10">
        <v>5.9667558669999995E-2</v>
      </c>
      <c r="D299" s="11">
        <v>972.69</v>
      </c>
      <c r="E299" s="11">
        <v>0.90111369922569862</v>
      </c>
      <c r="L299" s="9">
        <v>35709</v>
      </c>
      <c r="M299" s="14">
        <f t="shared" si="15"/>
        <v>-7.2013087375467633E-3</v>
      </c>
      <c r="N299" s="14">
        <f t="shared" si="16"/>
        <v>7.937577070143087E-3</v>
      </c>
      <c r="O299" s="14">
        <f t="shared" si="17"/>
        <v>-1.6908082939981472E-4</v>
      </c>
      <c r="P299" s="14">
        <f t="array" ref="P299">MMULT(M299:O299,$I$9:$I$11)</f>
        <v>2.0193770787098383E-3</v>
      </c>
    </row>
    <row r="300" spans="2:16" x14ac:dyDescent="0.25">
      <c r="B300" s="9">
        <v>35710</v>
      </c>
      <c r="C300" s="10">
        <v>5.9421648979E-2</v>
      </c>
      <c r="D300" s="11">
        <v>983.12</v>
      </c>
      <c r="E300" s="11">
        <v>0.89686855402632848</v>
      </c>
      <c r="L300" s="9">
        <v>35710</v>
      </c>
      <c r="M300" s="14">
        <f t="shared" si="15"/>
        <v>-4.121329856313305E-3</v>
      </c>
      <c r="N300" s="14">
        <f t="shared" si="16"/>
        <v>1.0722840781749454E-2</v>
      </c>
      <c r="O300" s="14">
        <f t="shared" si="17"/>
        <v>-4.7109984045496933E-3</v>
      </c>
      <c r="P300" s="14">
        <f t="array" ref="P300">MMULT(M300:O300,$I$9:$I$11)</f>
        <v>-5.4450860834730046E-4</v>
      </c>
    </row>
    <row r="301" spans="2:16" x14ac:dyDescent="0.25">
      <c r="B301" s="9">
        <v>35711</v>
      </c>
      <c r="C301" s="10">
        <v>6.0798749924000001E-2</v>
      </c>
      <c r="D301" s="11">
        <v>973.84</v>
      </c>
      <c r="E301" s="11">
        <v>0.89692052871693573</v>
      </c>
      <c r="L301" s="9">
        <v>35711</v>
      </c>
      <c r="M301" s="14">
        <f t="shared" si="15"/>
        <v>2.317507118469031E-2</v>
      </c>
      <c r="N301" s="14">
        <f t="shared" si="16"/>
        <v>-9.4393359915371233E-3</v>
      </c>
      <c r="O301" s="14">
        <f t="shared" si="17"/>
        <v>5.7951291049240794E-5</v>
      </c>
      <c r="P301" s="14">
        <f t="array" ref="P301">MMULT(M301:O301,$I$9:$I$11)</f>
        <v>-2.5059182735388133E-3</v>
      </c>
    </row>
    <row r="302" spans="2:16" x14ac:dyDescent="0.25">
      <c r="B302" s="9">
        <v>35712</v>
      </c>
      <c r="C302" s="10">
        <v>6.0926618575999993E-2</v>
      </c>
      <c r="D302" s="11">
        <v>970.62</v>
      </c>
      <c r="E302" s="11">
        <v>0.88924959476727017</v>
      </c>
      <c r="L302" s="9">
        <v>35712</v>
      </c>
      <c r="M302" s="14">
        <f t="shared" si="15"/>
        <v>2.1031460705989158E-3</v>
      </c>
      <c r="N302" s="14">
        <f t="shared" si="16"/>
        <v>-3.3064979873490552E-3</v>
      </c>
      <c r="O302" s="14">
        <f t="shared" si="17"/>
        <v>-8.5525235559487101E-3</v>
      </c>
      <c r="P302" s="14">
        <f t="array" ref="P302">MMULT(M302:O302,$I$9:$I$11)</f>
        <v>-7.1363164970083418E-3</v>
      </c>
    </row>
    <row r="303" spans="2:16" x14ac:dyDescent="0.25">
      <c r="B303" s="9">
        <v>35713</v>
      </c>
      <c r="C303" s="10">
        <v>6.1457791328000007E-2</v>
      </c>
      <c r="D303" s="11">
        <v>966.98</v>
      </c>
      <c r="E303" s="11">
        <v>0.89482350968998081</v>
      </c>
      <c r="L303" s="9">
        <v>35713</v>
      </c>
      <c r="M303" s="14">
        <f t="shared" si="15"/>
        <v>8.7182378476728939E-3</v>
      </c>
      <c r="N303" s="14">
        <f t="shared" si="16"/>
        <v>-3.7501802971297016E-3</v>
      </c>
      <c r="O303" s="14">
        <f t="shared" si="17"/>
        <v>6.2681107256161717E-3</v>
      </c>
      <c r="P303" s="14">
        <f t="array" ref="P303">MMULT(M303:O303,$I$9:$I$11)</f>
        <v>3.563591984828013E-3</v>
      </c>
    </row>
    <row r="304" spans="2:16" x14ac:dyDescent="0.25">
      <c r="B304" s="9">
        <v>35716</v>
      </c>
      <c r="C304" s="10">
        <v>6.1457791328000007E-2</v>
      </c>
      <c r="D304" s="11">
        <v>968.1</v>
      </c>
      <c r="E304" s="11">
        <v>0.89518083360300182</v>
      </c>
      <c r="L304" s="9">
        <v>35716</v>
      </c>
      <c r="M304" s="14">
        <f t="shared" si="15"/>
        <v>0</v>
      </c>
      <c r="N304" s="14">
        <f t="shared" si="16"/>
        <v>1.1582452584335545E-3</v>
      </c>
      <c r="O304" s="14">
        <f t="shared" si="17"/>
        <v>3.9932334047065865E-4</v>
      </c>
      <c r="P304" s="14">
        <f t="array" ref="P304">MMULT(M304:O304,$I$9:$I$11)</f>
        <v>6.0420045426835497E-4</v>
      </c>
    </row>
    <row r="305" spans="2:16" x14ac:dyDescent="0.25">
      <c r="B305" s="9">
        <v>35717</v>
      </c>
      <c r="C305" s="10">
        <v>6.0769238471999998E-2</v>
      </c>
      <c r="D305" s="11">
        <v>970.28</v>
      </c>
      <c r="E305" s="11">
        <v>0.89814761377443486</v>
      </c>
      <c r="L305" s="9">
        <v>35717</v>
      </c>
      <c r="M305" s="14">
        <f t="shared" si="15"/>
        <v>-1.1203670700191681E-2</v>
      </c>
      <c r="N305" s="14">
        <f t="shared" si="16"/>
        <v>2.2518334882759561E-3</v>
      </c>
      <c r="O305" s="14">
        <f t="shared" si="17"/>
        <v>3.3141685568625068E-3</v>
      </c>
      <c r="P305" s="14">
        <f t="array" ref="P305">MMULT(M305:O305,$I$9:$I$11)</f>
        <v>3.0273826074959328E-3</v>
      </c>
    </row>
    <row r="306" spans="2:16" x14ac:dyDescent="0.25">
      <c r="B306" s="9">
        <v>35718</v>
      </c>
      <c r="C306" s="10">
        <v>6.1113510132000004E-2</v>
      </c>
      <c r="D306" s="11">
        <v>965.72</v>
      </c>
      <c r="E306" s="11">
        <v>0.89543625334681853</v>
      </c>
      <c r="L306" s="9">
        <v>35718</v>
      </c>
      <c r="M306" s="14">
        <f t="shared" si="15"/>
        <v>5.6652291300085533E-3</v>
      </c>
      <c r="N306" s="14">
        <f t="shared" si="16"/>
        <v>-4.6996743208145286E-3</v>
      </c>
      <c r="O306" s="14">
        <f t="shared" si="17"/>
        <v>-3.0188360866671982E-3</v>
      </c>
      <c r="P306" s="14">
        <f t="array" ref="P306">MMULT(M306:O306,$I$9:$I$11)</f>
        <v>-3.4725919711951735E-3</v>
      </c>
    </row>
    <row r="307" spans="2:16" x14ac:dyDescent="0.25">
      <c r="B307" s="9">
        <v>35719</v>
      </c>
      <c r="C307" s="10">
        <v>6.1064329147000003E-2</v>
      </c>
      <c r="D307" s="11">
        <v>955.23</v>
      </c>
      <c r="E307" s="11">
        <v>0.89195941135344869</v>
      </c>
      <c r="L307" s="9">
        <v>35719</v>
      </c>
      <c r="M307" s="14">
        <f t="shared" si="15"/>
        <v>-8.0474816278386374E-4</v>
      </c>
      <c r="N307" s="14">
        <f t="shared" si="16"/>
        <v>-1.0862361761173056E-2</v>
      </c>
      <c r="O307" s="14">
        <f t="shared" si="17"/>
        <v>-3.8828470260999781E-3</v>
      </c>
      <c r="P307" s="14">
        <f t="array" ref="P307">MMULT(M307:O307,$I$9:$I$11)</f>
        <v>-5.7670235148598878E-3</v>
      </c>
    </row>
    <row r="308" spans="2:16" x14ac:dyDescent="0.25">
      <c r="B308" s="9">
        <v>35720</v>
      </c>
      <c r="C308" s="10">
        <v>6.1664347649000001E-2</v>
      </c>
      <c r="D308" s="11">
        <v>944.16</v>
      </c>
      <c r="E308" s="11">
        <v>0.90443671254784053</v>
      </c>
      <c r="L308" s="9">
        <v>35720</v>
      </c>
      <c r="M308" s="14">
        <f t="shared" si="15"/>
        <v>9.8260066127242585E-3</v>
      </c>
      <c r="N308" s="14">
        <f t="shared" si="16"/>
        <v>-1.1588832009045036E-2</v>
      </c>
      <c r="O308" s="14">
        <f t="shared" si="17"/>
        <v>1.3988642348040203E-2</v>
      </c>
      <c r="P308" s="14">
        <f t="array" ref="P308">MMULT(M308:O308,$I$9:$I$11)</f>
        <v>7.0837961438613819E-3</v>
      </c>
    </row>
    <row r="309" spans="2:16" x14ac:dyDescent="0.25">
      <c r="B309" s="9">
        <v>35723</v>
      </c>
      <c r="C309" s="10">
        <v>6.1536478996000003E-2</v>
      </c>
      <c r="D309" s="11">
        <v>955.61</v>
      </c>
      <c r="E309" s="11">
        <v>0.90581776197092445</v>
      </c>
      <c r="L309" s="9">
        <v>35723</v>
      </c>
      <c r="M309" s="14">
        <f t="shared" si="15"/>
        <v>-2.0736237043783579E-3</v>
      </c>
      <c r="N309" s="14">
        <f t="shared" si="16"/>
        <v>1.2127181833587519E-2</v>
      </c>
      <c r="O309" s="14">
        <f t="shared" si="17"/>
        <v>1.5269718753383454E-3</v>
      </c>
      <c r="P309" s="14">
        <f t="array" ref="P309">MMULT(M309:O309,$I$9:$I$11)</f>
        <v>4.3885843423034478E-3</v>
      </c>
    </row>
    <row r="310" spans="2:16" x14ac:dyDescent="0.25">
      <c r="B310" s="9">
        <v>35724</v>
      </c>
      <c r="C310" s="10">
        <v>6.1506972312999994E-2</v>
      </c>
      <c r="D310" s="11">
        <v>972.28</v>
      </c>
      <c r="E310" s="11">
        <v>0.91282251841797657</v>
      </c>
      <c r="L310" s="9">
        <v>35724</v>
      </c>
      <c r="M310" s="14">
        <f t="shared" si="15"/>
        <v>-4.7949904644251085E-4</v>
      </c>
      <c r="N310" s="14">
        <f t="shared" si="16"/>
        <v>1.7444354914661897E-2</v>
      </c>
      <c r="O310" s="14">
        <f t="shared" si="17"/>
        <v>7.7330747321744386E-3</v>
      </c>
      <c r="P310" s="14">
        <f t="array" ref="P310">MMULT(M310:O310,$I$9:$I$11)</f>
        <v>1.0354713411960294E-2</v>
      </c>
    </row>
    <row r="311" spans="2:16" x14ac:dyDescent="0.25">
      <c r="B311" s="9">
        <v>35725</v>
      </c>
      <c r="C311" s="10">
        <v>6.1379089354999999E-2</v>
      </c>
      <c r="D311" s="11">
        <v>968.49</v>
      </c>
      <c r="E311" s="11">
        <v>0.91098167018108589</v>
      </c>
      <c r="L311" s="9">
        <v>35725</v>
      </c>
      <c r="M311" s="14">
        <f t="shared" si="15"/>
        <v>-2.0791619745029744E-3</v>
      </c>
      <c r="N311" s="14">
        <f t="shared" si="16"/>
        <v>-3.8980540585016321E-3</v>
      </c>
      <c r="O311" s="14">
        <f t="shared" si="17"/>
        <v>-2.0166551544774647E-3</v>
      </c>
      <c r="P311" s="14">
        <f t="array" ref="P311">MMULT(M311:O311,$I$9:$I$11)</f>
        <v>-2.5245540149995901E-3</v>
      </c>
    </row>
    <row r="312" spans="2:16" x14ac:dyDescent="0.25">
      <c r="B312" s="9">
        <v>35726</v>
      </c>
      <c r="C312" s="10">
        <v>6.0474147797000007E-2</v>
      </c>
      <c r="D312" s="11">
        <v>950.69</v>
      </c>
      <c r="E312" s="11">
        <v>0.90750404281911456</v>
      </c>
      <c r="L312" s="9">
        <v>35726</v>
      </c>
      <c r="M312" s="14">
        <f t="shared" si="15"/>
        <v>-1.4743482959906018E-2</v>
      </c>
      <c r="N312" s="14">
        <f t="shared" si="16"/>
        <v>-1.8379126268727508E-2</v>
      </c>
      <c r="O312" s="14">
        <f t="shared" si="17"/>
        <v>-3.8174504227730388E-3</v>
      </c>
      <c r="P312" s="14">
        <f t="array" ref="P312">MMULT(M312:O312,$I$9:$I$11)</f>
        <v>-7.7484926667297322E-3</v>
      </c>
    </row>
    <row r="313" spans="2:16" x14ac:dyDescent="0.25">
      <c r="B313" s="9">
        <v>35727</v>
      </c>
      <c r="C313" s="10">
        <v>6.0139708518999996E-2</v>
      </c>
      <c r="D313" s="11">
        <v>941.64</v>
      </c>
      <c r="E313" s="11">
        <v>0.90934543802038614</v>
      </c>
      <c r="L313" s="9">
        <v>35727</v>
      </c>
      <c r="M313" s="14">
        <f t="shared" si="15"/>
        <v>-5.5302850917826607E-3</v>
      </c>
      <c r="N313" s="14">
        <f t="shared" si="16"/>
        <v>-9.5194016977143692E-3</v>
      </c>
      <c r="O313" s="14">
        <f t="shared" si="17"/>
        <v>2.0290765819084289E-3</v>
      </c>
      <c r="P313" s="14">
        <f t="array" ref="P313">MMULT(M313:O313,$I$9:$I$11)</f>
        <v>-1.0885285928576268E-3</v>
      </c>
    </row>
    <row r="314" spans="2:16" x14ac:dyDescent="0.25">
      <c r="B314" s="9">
        <v>35730</v>
      </c>
      <c r="C314" s="10">
        <v>5.9313449859999999E-2</v>
      </c>
      <c r="D314" s="11">
        <v>876.98</v>
      </c>
      <c r="E314" s="11">
        <v>0.8999370047246471</v>
      </c>
      <c r="L314" s="9">
        <v>35730</v>
      </c>
      <c r="M314" s="14">
        <f t="shared" si="15"/>
        <v>-1.3738986758456861E-2</v>
      </c>
      <c r="N314" s="14">
        <f t="shared" si="16"/>
        <v>-6.8667431290089564E-2</v>
      </c>
      <c r="O314" s="14">
        <f t="shared" si="17"/>
        <v>-1.0346379827033458E-2</v>
      </c>
      <c r="P314" s="14">
        <f t="array" ref="P314">MMULT(M314:O314,$I$9:$I$11)</f>
        <v>-2.6090619668558267E-2</v>
      </c>
    </row>
    <row r="315" spans="2:16" x14ac:dyDescent="0.25">
      <c r="B315" s="9">
        <v>35731</v>
      </c>
      <c r="C315" s="10">
        <v>6.0011839867000004E-2</v>
      </c>
      <c r="D315" s="11">
        <v>921.85</v>
      </c>
      <c r="E315" s="11">
        <v>0.88198872567024156</v>
      </c>
      <c r="L315" s="9">
        <v>35731</v>
      </c>
      <c r="M315" s="14">
        <f t="shared" si="15"/>
        <v>1.1774563925188053E-2</v>
      </c>
      <c r="N315" s="14">
        <f t="shared" si="16"/>
        <v>5.1164222673265147E-2</v>
      </c>
      <c r="O315" s="14">
        <f t="shared" si="17"/>
        <v>-1.9943928252952769E-2</v>
      </c>
      <c r="P315" s="14">
        <f t="array" ref="P315">MMULT(M315:O315,$I$9:$I$11)</f>
        <v>-7.47707423859819E-4</v>
      </c>
    </row>
    <row r="316" spans="2:16" x14ac:dyDescent="0.25">
      <c r="B316" s="9">
        <v>35732</v>
      </c>
      <c r="C316" s="10">
        <v>5.9323291778999997E-2</v>
      </c>
      <c r="D316" s="11">
        <v>919.16</v>
      </c>
      <c r="E316" s="11">
        <v>0.89057837853219479</v>
      </c>
      <c r="L316" s="9">
        <v>35732</v>
      </c>
      <c r="M316" s="14">
        <f t="shared" si="15"/>
        <v>-1.147353738072332E-2</v>
      </c>
      <c r="N316" s="14">
        <f t="shared" si="16"/>
        <v>-2.9180452351250663E-3</v>
      </c>
      <c r="O316" s="14">
        <f t="shared" si="17"/>
        <v>9.7389599344659405E-3</v>
      </c>
      <c r="P316" s="14">
        <f t="array" ref="P316">MMULT(M316:O316,$I$9:$I$11)</f>
        <v>6.3220989543155328E-3</v>
      </c>
    </row>
    <row r="317" spans="2:16" x14ac:dyDescent="0.25">
      <c r="B317" s="9">
        <v>35733</v>
      </c>
      <c r="C317" s="10">
        <v>5.8733110428000002E-2</v>
      </c>
      <c r="D317" s="11">
        <v>903.68</v>
      </c>
      <c r="E317" s="11">
        <v>0.88111937327642531</v>
      </c>
      <c r="L317" s="9">
        <v>35733</v>
      </c>
      <c r="M317" s="14">
        <f t="shared" si="15"/>
        <v>-9.9485603934222899E-3</v>
      </c>
      <c r="N317" s="14">
        <f t="shared" si="16"/>
        <v>-1.6841463945341473E-2</v>
      </c>
      <c r="O317" s="14">
        <f t="shared" si="17"/>
        <v>-1.0621193466833656E-2</v>
      </c>
      <c r="P317" s="14">
        <f t="array" ref="P317">MMULT(M317:O317,$I$9:$I$11)</f>
        <v>-1.2300405823881436E-2</v>
      </c>
    </row>
    <row r="318" spans="2:16" x14ac:dyDescent="0.25">
      <c r="B318" s="9">
        <v>35734</v>
      </c>
      <c r="C318" s="10">
        <v>5.8497028351000006E-2</v>
      </c>
      <c r="D318" s="11">
        <v>914.62</v>
      </c>
      <c r="E318" s="11">
        <v>0.88009584248653205</v>
      </c>
      <c r="L318" s="9">
        <v>35734</v>
      </c>
      <c r="M318" s="14">
        <f t="shared" si="15"/>
        <v>-4.0195738873629594E-3</v>
      </c>
      <c r="N318" s="14">
        <f t="shared" si="16"/>
        <v>1.2106055240793223E-2</v>
      </c>
      <c r="O318" s="14">
        <f t="shared" si="17"/>
        <v>-1.1616255650891416E-3</v>
      </c>
      <c r="P318" s="14">
        <f t="array" ref="P318">MMULT(M318:O318,$I$9:$I$11)</f>
        <v>2.4200922453472789E-3</v>
      </c>
    </row>
    <row r="319" spans="2:16" x14ac:dyDescent="0.25">
      <c r="B319" s="9">
        <v>35737</v>
      </c>
      <c r="C319" s="10">
        <v>5.9205250740000007E-2</v>
      </c>
      <c r="D319" s="11">
        <v>938.99</v>
      </c>
      <c r="E319" s="11">
        <v>0.88781688756167709</v>
      </c>
      <c r="L319" s="9">
        <v>35737</v>
      </c>
      <c r="M319" s="14">
        <f t="shared" si="15"/>
        <v>1.2106980627297093E-2</v>
      </c>
      <c r="N319" s="14">
        <f t="shared" si="16"/>
        <v>2.6644945441822943E-2</v>
      </c>
      <c r="O319" s="14">
        <f t="shared" si="17"/>
        <v>8.772959378299916E-3</v>
      </c>
      <c r="P319" s="14">
        <f t="array" ref="P319">MMULT(M319:O319,$I$9:$I$11)</f>
        <v>1.3597646656215989E-2</v>
      </c>
    </row>
    <row r="320" spans="2:16" x14ac:dyDescent="0.25">
      <c r="B320" s="9">
        <v>35738</v>
      </c>
      <c r="C320" s="10">
        <v>5.9657731056000002E-2</v>
      </c>
      <c r="D320" s="11">
        <v>940.76</v>
      </c>
      <c r="E320" s="11">
        <v>0.88004422980500885</v>
      </c>
      <c r="L320" s="9">
        <v>35738</v>
      </c>
      <c r="M320" s="14">
        <f t="shared" si="15"/>
        <v>7.6425707237870455E-3</v>
      </c>
      <c r="N320" s="14">
        <f t="shared" si="16"/>
        <v>1.8850041001501339E-3</v>
      </c>
      <c r="O320" s="14">
        <f t="shared" si="17"/>
        <v>-8.7547982760446397E-3</v>
      </c>
      <c r="P320" s="14">
        <f t="array" ref="P320">MMULT(M320:O320,$I$9:$I$11)</f>
        <v>-5.8824975154290653E-3</v>
      </c>
    </row>
    <row r="321" spans="2:16" x14ac:dyDescent="0.25">
      <c r="B321" s="9">
        <v>35739</v>
      </c>
      <c r="C321" s="10">
        <v>5.9569201469000001E-2</v>
      </c>
      <c r="D321" s="11">
        <v>942.76</v>
      </c>
      <c r="E321" s="11">
        <v>0.88116953857219449</v>
      </c>
      <c r="L321" s="9">
        <v>35739</v>
      </c>
      <c r="M321" s="14">
        <f t="shared" si="15"/>
        <v>-1.483958330847357E-3</v>
      </c>
      <c r="N321" s="14">
        <f t="shared" si="16"/>
        <v>2.1259407287725907E-3</v>
      </c>
      <c r="O321" s="14">
        <f t="shared" si="17"/>
        <v>1.278695694004961E-3</v>
      </c>
      <c r="P321" s="14">
        <f t="array" ref="P321">MMULT(M321:O321,$I$9:$I$11)</f>
        <v>1.5074163479933825E-3</v>
      </c>
    </row>
    <row r="322" spans="2:16" x14ac:dyDescent="0.25">
      <c r="B322" s="9">
        <v>35740</v>
      </c>
      <c r="C322" s="10">
        <v>5.9057707787000001E-2</v>
      </c>
      <c r="D322" s="11">
        <v>938.03</v>
      </c>
      <c r="E322" s="11">
        <v>0.87999437716680784</v>
      </c>
      <c r="L322" s="9">
        <v>35740</v>
      </c>
      <c r="M322" s="14">
        <f t="shared" si="15"/>
        <v>-8.5865458892575575E-3</v>
      </c>
      <c r="N322" s="14">
        <f t="shared" si="16"/>
        <v>-5.0171835886121396E-3</v>
      </c>
      <c r="O322" s="14">
        <f t="shared" si="17"/>
        <v>-1.3336382545529046E-3</v>
      </c>
      <c r="P322" s="14">
        <f t="array" ref="P322">MMULT(M322:O322,$I$9:$I$11)</f>
        <v>-2.3280411288442802E-3</v>
      </c>
    </row>
    <row r="323" spans="2:16" x14ac:dyDescent="0.25">
      <c r="B323" s="9">
        <v>35741</v>
      </c>
      <c r="C323" s="10">
        <v>5.9038028717E-2</v>
      </c>
      <c r="D323" s="11">
        <v>927.51</v>
      </c>
      <c r="E323" s="11">
        <v>0.87211951370857677</v>
      </c>
      <c r="L323" s="9">
        <v>35741</v>
      </c>
      <c r="M323" s="14">
        <f t="shared" si="15"/>
        <v>-3.3321763978677588E-4</v>
      </c>
      <c r="N323" s="14">
        <f t="shared" si="16"/>
        <v>-1.1214993123887296E-2</v>
      </c>
      <c r="O323" s="14">
        <f t="shared" si="17"/>
        <v>-8.9487656541450411E-3</v>
      </c>
      <c r="P323" s="14">
        <f t="array" ref="P323">MMULT(M323:O323,$I$9:$I$11)</f>
        <v>-9.5605521004452389E-3</v>
      </c>
    </row>
    <row r="324" spans="2:16" x14ac:dyDescent="0.25">
      <c r="B324" s="9">
        <v>35744</v>
      </c>
      <c r="C324" s="10">
        <v>5.9146227836999993E-2</v>
      </c>
      <c r="D324" s="11">
        <v>921.13</v>
      </c>
      <c r="E324" s="11">
        <v>0.87523769147260977</v>
      </c>
      <c r="L324" s="9">
        <v>35744</v>
      </c>
      <c r="M324" s="14">
        <f t="shared" si="15"/>
        <v>1.8327021133894839E-3</v>
      </c>
      <c r="N324" s="14">
        <f t="shared" si="16"/>
        <v>-6.8786320363122266E-3</v>
      </c>
      <c r="O324" s="14">
        <f t="shared" si="17"/>
        <v>3.575401897353947E-3</v>
      </c>
      <c r="P324" s="14">
        <f t="array" ref="P324">MMULT(M324:O324,$I$9:$I$11)</f>
        <v>7.5325083124464409E-4</v>
      </c>
    </row>
    <row r="325" spans="2:16" x14ac:dyDescent="0.25">
      <c r="B325" s="9">
        <v>35745</v>
      </c>
      <c r="C325" s="10">
        <v>5.9146227836999993E-2</v>
      </c>
      <c r="D325" s="11">
        <v>923.78</v>
      </c>
      <c r="E325" s="11">
        <v>0.87508494113709767</v>
      </c>
      <c r="L325" s="9">
        <v>35745</v>
      </c>
      <c r="M325" s="14">
        <f t="shared" si="15"/>
        <v>0</v>
      </c>
      <c r="N325" s="14">
        <f t="shared" si="16"/>
        <v>2.8769011974423275E-3</v>
      </c>
      <c r="O325" s="14">
        <f t="shared" si="17"/>
        <v>-1.7452440291398919E-4</v>
      </c>
      <c r="P325" s="14">
        <f t="array" ref="P325">MMULT(M325:O325,$I$9:$I$11)</f>
        <v>6.4923263344554007E-4</v>
      </c>
    </row>
    <row r="326" spans="2:16" x14ac:dyDescent="0.25">
      <c r="B326" s="9">
        <v>35746</v>
      </c>
      <c r="C326" s="10">
        <v>5.89691782E-2</v>
      </c>
      <c r="D326" s="11">
        <v>905.96</v>
      </c>
      <c r="E326" s="11">
        <v>0.88147639327326677</v>
      </c>
      <c r="L326" s="9">
        <v>35746</v>
      </c>
      <c r="M326" s="14">
        <f t="shared" si="15"/>
        <v>-2.9934222937754162E-3</v>
      </c>
      <c r="N326" s="14">
        <f t="shared" si="16"/>
        <v>-1.9290307216003777E-2</v>
      </c>
      <c r="O326" s="14">
        <f t="shared" si="17"/>
        <v>7.303807705642873E-3</v>
      </c>
      <c r="P326" s="14">
        <f t="array" ref="P326">MMULT(M326:O326,$I$9:$I$11)</f>
        <v>1.2451115327001636E-4</v>
      </c>
    </row>
    <row r="327" spans="2:16" x14ac:dyDescent="0.25">
      <c r="B327" s="9">
        <v>35747</v>
      </c>
      <c r="C327" s="10">
        <v>5.8782291412000004E-2</v>
      </c>
      <c r="D327" s="11">
        <v>916.66</v>
      </c>
      <c r="E327" s="11">
        <v>0.88122119077095196</v>
      </c>
      <c r="L327" s="9">
        <v>35747</v>
      </c>
      <c r="M327" s="14">
        <f t="shared" si="15"/>
        <v>-3.1692282935696925E-3</v>
      </c>
      <c r="N327" s="14">
        <f t="shared" si="16"/>
        <v>1.1810675968033868E-2</v>
      </c>
      <c r="O327" s="14">
        <f t="shared" si="17"/>
        <v>-2.8951711499292099E-4</v>
      </c>
      <c r="P327" s="14">
        <f t="array" ref="P327">MMULT(M327:O327,$I$9:$I$11)</f>
        <v>2.9770279360443051E-3</v>
      </c>
    </row>
    <row r="328" spans="2:16" x14ac:dyDescent="0.25">
      <c r="B328" s="9">
        <v>35748</v>
      </c>
      <c r="C328" s="10">
        <v>5.8624911307999995E-2</v>
      </c>
      <c r="D328" s="11">
        <v>928.35</v>
      </c>
      <c r="E328" s="11">
        <v>0.88505706132628315</v>
      </c>
      <c r="L328" s="9">
        <v>35748</v>
      </c>
      <c r="M328" s="14">
        <f t="shared" si="15"/>
        <v>-2.6773387055796238E-3</v>
      </c>
      <c r="N328" s="14">
        <f t="shared" si="16"/>
        <v>1.275282002050937E-2</v>
      </c>
      <c r="O328" s="14">
        <f t="shared" si="17"/>
        <v>4.3529032160192216E-3</v>
      </c>
      <c r="P328" s="14">
        <f t="array" ref="P328">MMULT(M328:O328,$I$9:$I$11)</f>
        <v>6.6205287388979113E-3</v>
      </c>
    </row>
    <row r="329" spans="2:16" x14ac:dyDescent="0.25">
      <c r="B329" s="9">
        <v>35751</v>
      </c>
      <c r="C329" s="10">
        <v>5.8497028351000006E-2</v>
      </c>
      <c r="D329" s="11">
        <v>946.2</v>
      </c>
      <c r="E329" s="11">
        <v>0.88648864342740152</v>
      </c>
      <c r="L329" s="9">
        <v>35751</v>
      </c>
      <c r="M329" s="14">
        <f t="shared" ref="M329:M392" si="18">C329/C328-1</f>
        <v>-2.1813757009904178E-3</v>
      </c>
      <c r="N329" s="14">
        <f t="shared" ref="N329:N392" si="19">D329/D328-1</f>
        <v>1.9227661980933952E-2</v>
      </c>
      <c r="O329" s="14">
        <f t="shared" ref="O329:O392" si="20">E329/E328-1</f>
        <v>1.6175026036999718E-3</v>
      </c>
      <c r="P329" s="14">
        <f t="array" ref="P329">MMULT(M329:O329,$I$9:$I$11)</f>
        <v>6.3715076486584024E-3</v>
      </c>
    </row>
    <row r="330" spans="2:16" x14ac:dyDescent="0.25">
      <c r="B330" s="9">
        <v>35752</v>
      </c>
      <c r="C330" s="10">
        <v>5.8477358818000001E-2</v>
      </c>
      <c r="D330" s="11">
        <v>938.23</v>
      </c>
      <c r="E330" s="11">
        <v>0.8821926008549863</v>
      </c>
      <c r="L330" s="9">
        <v>35752</v>
      </c>
      <c r="M330" s="14">
        <f t="shared" si="18"/>
        <v>-3.3624841388490978E-4</v>
      </c>
      <c r="N330" s="14">
        <f t="shared" si="19"/>
        <v>-8.4231663496090459E-3</v>
      </c>
      <c r="O330" s="14">
        <f t="shared" si="20"/>
        <v>-4.8461337934410098E-3</v>
      </c>
      <c r="P330" s="14">
        <f t="array" ref="P330">MMULT(M330:O330,$I$9:$I$11)</f>
        <v>-5.8117826813203193E-3</v>
      </c>
    </row>
    <row r="331" spans="2:16" x14ac:dyDescent="0.25">
      <c r="B331" s="9">
        <v>35753</v>
      </c>
      <c r="C331" s="10">
        <v>5.8133091927000002E-2</v>
      </c>
      <c r="D331" s="11">
        <v>944.59</v>
      </c>
      <c r="E331" s="11">
        <v>0.88602778004063609</v>
      </c>
      <c r="L331" s="9">
        <v>35753</v>
      </c>
      <c r="M331" s="14">
        <f t="shared" si="18"/>
        <v>-5.8871826286044371E-3</v>
      </c>
      <c r="N331" s="14">
        <f t="shared" si="19"/>
        <v>6.7787216354198154E-3</v>
      </c>
      <c r="O331" s="14">
        <f t="shared" si="20"/>
        <v>4.3473264023443647E-3</v>
      </c>
      <c r="P331" s="14">
        <f t="array" ref="P331">MMULT(M331:O331,$I$9:$I$11)</f>
        <v>5.0037012230783337E-3</v>
      </c>
    </row>
    <row r="332" spans="2:16" x14ac:dyDescent="0.25">
      <c r="B332" s="9">
        <v>35754</v>
      </c>
      <c r="C332" s="10">
        <v>5.8379001617000006E-2</v>
      </c>
      <c r="D332" s="11">
        <v>958.98</v>
      </c>
      <c r="E332" s="11">
        <v>0.8853636397896959</v>
      </c>
      <c r="L332" s="9">
        <v>35754</v>
      </c>
      <c r="M332" s="14">
        <f t="shared" si="18"/>
        <v>4.2301154445527622E-3</v>
      </c>
      <c r="N332" s="14">
        <f t="shared" si="19"/>
        <v>1.5234122741083489E-2</v>
      </c>
      <c r="O332" s="14">
        <f t="shared" si="20"/>
        <v>-7.4957046031864927E-4</v>
      </c>
      <c r="P332" s="14">
        <f t="array" ref="P332">MMULT(M332:O332,$I$9:$I$11)</f>
        <v>3.5653568772934822E-3</v>
      </c>
    </row>
    <row r="333" spans="2:16" x14ac:dyDescent="0.25">
      <c r="B333" s="9">
        <v>35755</v>
      </c>
      <c r="C333" s="10">
        <v>5.8093738555999995E-2</v>
      </c>
      <c r="D333" s="11">
        <v>963.09</v>
      </c>
      <c r="E333" s="11">
        <v>0.89385229127856358</v>
      </c>
      <c r="L333" s="9">
        <v>35755</v>
      </c>
      <c r="M333" s="14">
        <f t="shared" si="18"/>
        <v>-4.8863984155039786E-3</v>
      </c>
      <c r="N333" s="14">
        <f t="shared" si="19"/>
        <v>4.2858036663955268E-3</v>
      </c>
      <c r="O333" s="14">
        <f t="shared" si="20"/>
        <v>9.587757060911084E-3</v>
      </c>
      <c r="P333" s="14">
        <f t="array" ref="P333">MMULT(M333:O333,$I$9:$I$11)</f>
        <v>8.1564518327342985E-3</v>
      </c>
    </row>
    <row r="334" spans="2:16" x14ac:dyDescent="0.25">
      <c r="B334" s="9">
        <v>35758</v>
      </c>
      <c r="C334" s="10">
        <v>5.8565888404999995E-2</v>
      </c>
      <c r="D334" s="11">
        <v>946.67</v>
      </c>
      <c r="E334" s="11">
        <v>0.88735783387357459</v>
      </c>
      <c r="L334" s="9">
        <v>35758</v>
      </c>
      <c r="M334" s="14">
        <f t="shared" si="18"/>
        <v>8.12737931377705E-3</v>
      </c>
      <c r="N334" s="14">
        <f t="shared" si="19"/>
        <v>-1.7049289266839129E-2</v>
      </c>
      <c r="O334" s="14">
        <f t="shared" si="20"/>
        <v>-7.2656941961846133E-3</v>
      </c>
      <c r="P334" s="14">
        <f t="array" ref="P334">MMULT(M334:O334,$I$9:$I$11)</f>
        <v>-9.9068548652839934E-3</v>
      </c>
    </row>
    <row r="335" spans="2:16" x14ac:dyDescent="0.25">
      <c r="B335" s="9">
        <v>35759</v>
      </c>
      <c r="C335" s="10">
        <v>5.8457679748999999E-2</v>
      </c>
      <c r="D335" s="11">
        <v>950.82</v>
      </c>
      <c r="E335" s="11">
        <v>0.89165308239883023</v>
      </c>
      <c r="L335" s="9">
        <v>35759</v>
      </c>
      <c r="M335" s="14">
        <f t="shared" si="18"/>
        <v>-1.8476396234562431E-3</v>
      </c>
      <c r="N335" s="14">
        <f t="shared" si="19"/>
        <v>4.3837873810304018E-3</v>
      </c>
      <c r="O335" s="14">
        <f t="shared" si="20"/>
        <v>4.84049203296677E-3</v>
      </c>
      <c r="P335" s="14">
        <f t="array" ref="P335">MMULT(M335:O335,$I$9:$I$11)</f>
        <v>4.7172009160125232E-3</v>
      </c>
    </row>
    <row r="336" spans="2:16" x14ac:dyDescent="0.25">
      <c r="B336" s="9">
        <v>35760</v>
      </c>
      <c r="C336" s="10">
        <v>5.8506870270000004E-2</v>
      </c>
      <c r="D336" s="11">
        <v>951.64</v>
      </c>
      <c r="E336" s="11">
        <v>0.8996298036582504</v>
      </c>
      <c r="L336" s="9">
        <v>35760</v>
      </c>
      <c r="M336" s="14">
        <f t="shared" si="18"/>
        <v>8.4147234736664522E-4</v>
      </c>
      <c r="N336" s="14">
        <f t="shared" si="19"/>
        <v>8.6241349571936077E-4</v>
      </c>
      <c r="O336" s="14">
        <f t="shared" si="20"/>
        <v>8.9459919074807992E-3</v>
      </c>
      <c r="P336" s="14">
        <f t="array" ref="P336">MMULT(M336:O336,$I$9:$I$11)</f>
        <v>6.7637644938827396E-3</v>
      </c>
    </row>
    <row r="337" spans="2:16" x14ac:dyDescent="0.25">
      <c r="B337" s="9">
        <v>35761</v>
      </c>
      <c r="C337" s="10">
        <v>5.8506870270000004E-2</v>
      </c>
      <c r="D337" s="11">
        <v>951.64</v>
      </c>
      <c r="E337" s="11">
        <v>0.90213588957976165</v>
      </c>
      <c r="L337" s="9">
        <v>35761</v>
      </c>
      <c r="M337" s="14">
        <f t="shared" si="18"/>
        <v>0</v>
      </c>
      <c r="N337" s="14">
        <f t="shared" si="19"/>
        <v>0</v>
      </c>
      <c r="O337" s="14">
        <f t="shared" si="20"/>
        <v>2.7856857468711027E-3</v>
      </c>
      <c r="P337" s="14">
        <f t="array" ref="P337">MMULT(M337:O337,$I$9:$I$11)</f>
        <v>2.0336673346235405E-3</v>
      </c>
    </row>
    <row r="338" spans="2:16" x14ac:dyDescent="0.25">
      <c r="B338" s="9">
        <v>35762</v>
      </c>
      <c r="C338" s="10">
        <v>5.8447852134999999E-2</v>
      </c>
      <c r="D338" s="11">
        <v>955.4</v>
      </c>
      <c r="E338" s="11">
        <v>0.90198155972573424</v>
      </c>
      <c r="L338" s="9">
        <v>35762</v>
      </c>
      <c r="M338" s="14">
        <f t="shared" si="18"/>
        <v>-1.0087385417754113E-3</v>
      </c>
      <c r="N338" s="14">
        <f t="shared" si="19"/>
        <v>3.9510739355217428E-3</v>
      </c>
      <c r="O338" s="14">
        <f t="shared" si="20"/>
        <v>-1.710716265809209E-4</v>
      </c>
      <c r="P338" s="14">
        <f t="array" ref="P338">MMULT(M338:O338,$I$9:$I$11)</f>
        <v>9.4173492891358771E-4</v>
      </c>
    </row>
    <row r="339" spans="2:16" x14ac:dyDescent="0.25">
      <c r="B339" s="9">
        <v>35765</v>
      </c>
      <c r="C339" s="10">
        <v>5.8408498763999998E-2</v>
      </c>
      <c r="D339" s="11">
        <v>974.77</v>
      </c>
      <c r="E339" s="11">
        <v>0.90888483209699289</v>
      </c>
      <c r="L339" s="9">
        <v>35765</v>
      </c>
      <c r="M339" s="14">
        <f t="shared" si="18"/>
        <v>-6.7330739389881433E-4</v>
      </c>
      <c r="N339" s="14">
        <f t="shared" si="19"/>
        <v>2.0274230688716699E-2</v>
      </c>
      <c r="O339" s="14">
        <f t="shared" si="20"/>
        <v>7.6534517771713606E-3</v>
      </c>
      <c r="P339" s="14">
        <f t="array" ref="P339">MMULT(M339:O339,$I$9:$I$11)</f>
        <v>1.1060533185779008E-2</v>
      </c>
    </row>
    <row r="340" spans="2:16" x14ac:dyDescent="0.25">
      <c r="B340" s="9">
        <v>35766</v>
      </c>
      <c r="C340" s="10">
        <v>5.8418340682999996E-2</v>
      </c>
      <c r="D340" s="11">
        <v>971.68</v>
      </c>
      <c r="E340" s="11">
        <v>0.90745417194904809</v>
      </c>
      <c r="L340" s="9">
        <v>35766</v>
      </c>
      <c r="M340" s="14">
        <f t="shared" si="18"/>
        <v>1.6850148879465898E-4</v>
      </c>
      <c r="N340" s="14">
        <f t="shared" si="19"/>
        <v>-3.1699785590447727E-3</v>
      </c>
      <c r="O340" s="14">
        <f t="shared" si="20"/>
        <v>-1.5740829832575631E-3</v>
      </c>
      <c r="P340" s="14">
        <f t="array" ref="P340">MMULT(M340:O340,$I$9:$I$11)</f>
        <v>-2.004907909710381E-3</v>
      </c>
    </row>
    <row r="341" spans="2:16" x14ac:dyDescent="0.25">
      <c r="B341" s="9">
        <v>35767</v>
      </c>
      <c r="C341" s="10">
        <v>5.8241291045999996E-2</v>
      </c>
      <c r="D341" s="11">
        <v>976.77</v>
      </c>
      <c r="E341" s="11">
        <v>0.90428325166973744</v>
      </c>
      <c r="L341" s="9">
        <v>35767</v>
      </c>
      <c r="M341" s="14">
        <f t="shared" si="18"/>
        <v>-3.0307200603443274E-3</v>
      </c>
      <c r="N341" s="14">
        <f t="shared" si="19"/>
        <v>5.2383500740984523E-3</v>
      </c>
      <c r="O341" s="14">
        <f t="shared" si="20"/>
        <v>-3.4943034891780078E-3</v>
      </c>
      <c r="P341" s="14">
        <f t="array" ref="P341">MMULT(M341:O341,$I$9:$I$11)</f>
        <v>-1.1368529853875498E-3</v>
      </c>
    </row>
    <row r="342" spans="2:16" x14ac:dyDescent="0.25">
      <c r="B342" s="9">
        <v>35768</v>
      </c>
      <c r="C342" s="10">
        <v>5.8339648246999998E-2</v>
      </c>
      <c r="D342" s="11">
        <v>973.1</v>
      </c>
      <c r="E342" s="11">
        <v>0.90530620129368555</v>
      </c>
      <c r="L342" s="9">
        <v>35768</v>
      </c>
      <c r="M342" s="14">
        <f t="shared" si="18"/>
        <v>1.6887881300968743E-3</v>
      </c>
      <c r="N342" s="14">
        <f t="shared" si="19"/>
        <v>-3.7572816527943198E-3</v>
      </c>
      <c r="O342" s="14">
        <f t="shared" si="20"/>
        <v>1.1312269933776431E-3</v>
      </c>
      <c r="P342" s="14">
        <f t="array" ref="P342">MMULT(M342:O342,$I$9:$I$11)</f>
        <v>-1.884654789272109E-4</v>
      </c>
    </row>
    <row r="343" spans="2:16" x14ac:dyDescent="0.25">
      <c r="B343" s="9">
        <v>35769</v>
      </c>
      <c r="C343" s="10">
        <v>5.8831467627999998E-2</v>
      </c>
      <c r="D343" s="11">
        <v>983.79</v>
      </c>
      <c r="E343" s="11">
        <v>0.9116475618573332</v>
      </c>
      <c r="L343" s="9">
        <v>35769</v>
      </c>
      <c r="M343" s="14">
        <f t="shared" si="18"/>
        <v>8.4302767633723796E-3</v>
      </c>
      <c r="N343" s="14">
        <f t="shared" si="19"/>
        <v>1.0985510225053785E-2</v>
      </c>
      <c r="O343" s="14">
        <f t="shared" si="20"/>
        <v>7.0046582632328214E-3</v>
      </c>
      <c r="P343" s="14">
        <f t="array" ref="P343">MMULT(M343:O343,$I$9:$I$11)</f>
        <v>8.0793214678256953E-3</v>
      </c>
    </row>
    <row r="344" spans="2:16" x14ac:dyDescent="0.25">
      <c r="B344" s="9">
        <v>35772</v>
      </c>
      <c r="C344" s="10">
        <v>5.9451160430999996E-2</v>
      </c>
      <c r="D344" s="11">
        <v>982.37</v>
      </c>
      <c r="E344" s="11">
        <v>0.91451057828551663</v>
      </c>
      <c r="L344" s="9">
        <v>35772</v>
      </c>
      <c r="M344" s="14">
        <f t="shared" si="18"/>
        <v>1.0533356177996556E-2</v>
      </c>
      <c r="N344" s="14">
        <f t="shared" si="19"/>
        <v>-1.4433974730378996E-3</v>
      </c>
      <c r="O344" s="14">
        <f t="shared" si="20"/>
        <v>3.1404860254882205E-3</v>
      </c>
      <c r="P344" s="14">
        <f t="array" ref="P344">MMULT(M344:O344,$I$9:$I$11)</f>
        <v>1.9030295771572175E-3</v>
      </c>
    </row>
    <row r="345" spans="2:16" x14ac:dyDescent="0.25">
      <c r="B345" s="9">
        <v>35773</v>
      </c>
      <c r="C345" s="10">
        <v>5.9352798462000006E-2</v>
      </c>
      <c r="D345" s="11">
        <v>975.78</v>
      </c>
      <c r="E345" s="11">
        <v>0.91768127023607537</v>
      </c>
      <c r="L345" s="9">
        <v>35773</v>
      </c>
      <c r="M345" s="14">
        <f t="shared" si="18"/>
        <v>-1.6545004048179601E-3</v>
      </c>
      <c r="N345" s="14">
        <f t="shared" si="19"/>
        <v>-6.70826674267333E-3</v>
      </c>
      <c r="O345" s="14">
        <f t="shared" si="20"/>
        <v>3.4670916070791424E-3</v>
      </c>
      <c r="P345" s="14">
        <f t="array" ref="P345">MMULT(M345:O345,$I$9:$I$11)</f>
        <v>7.201712702013521E-4</v>
      </c>
    </row>
    <row r="346" spans="2:16" x14ac:dyDescent="0.25">
      <c r="B346" s="9">
        <v>35774</v>
      </c>
      <c r="C346" s="10">
        <v>5.8890490531999996E-2</v>
      </c>
      <c r="D346" s="11">
        <v>969.79</v>
      </c>
      <c r="E346" s="11">
        <v>0.91174833222311258</v>
      </c>
      <c r="L346" s="9">
        <v>35774</v>
      </c>
      <c r="M346" s="14">
        <f t="shared" si="18"/>
        <v>-7.7891513455089489E-3</v>
      </c>
      <c r="N346" s="14">
        <f t="shared" si="19"/>
        <v>-6.138678800549302E-3</v>
      </c>
      <c r="O346" s="14">
        <f t="shared" si="20"/>
        <v>-6.4651401367672445E-3</v>
      </c>
      <c r="P346" s="14">
        <f t="array" ref="P346">MMULT(M346:O346,$I$9:$I$11)</f>
        <v>-6.3770092569655342E-3</v>
      </c>
    </row>
    <row r="347" spans="2:16" x14ac:dyDescent="0.25">
      <c r="B347" s="9">
        <v>35775</v>
      </c>
      <c r="C347" s="10">
        <v>5.8113408089E-2</v>
      </c>
      <c r="D347" s="11">
        <v>954.94</v>
      </c>
      <c r="E347" s="11">
        <v>0.90678958675881982</v>
      </c>
      <c r="L347" s="9">
        <v>35775</v>
      </c>
      <c r="M347" s="14">
        <f t="shared" si="18"/>
        <v>-1.3195380713932781E-2</v>
      </c>
      <c r="N347" s="14">
        <f t="shared" si="19"/>
        <v>-1.5312593448066014E-2</v>
      </c>
      <c r="O347" s="14">
        <f t="shared" si="20"/>
        <v>-5.438721727301532E-3</v>
      </c>
      <c r="P347" s="14">
        <f t="array" ref="P347">MMULT(M347:O347,$I$9:$I$11)</f>
        <v>-8.1042533087175572E-3</v>
      </c>
    </row>
    <row r="348" spans="2:16" x14ac:dyDescent="0.25">
      <c r="B348" s="9">
        <v>35776</v>
      </c>
      <c r="C348" s="10">
        <v>5.7296991347999995E-2</v>
      </c>
      <c r="D348" s="11">
        <v>953.39</v>
      </c>
      <c r="E348" s="11">
        <v>0.90673812815899979</v>
      </c>
      <c r="L348" s="9">
        <v>35776</v>
      </c>
      <c r="M348" s="14">
        <f t="shared" si="18"/>
        <v>-1.4048681153748022E-2</v>
      </c>
      <c r="N348" s="14">
        <f t="shared" si="19"/>
        <v>-1.6231386265106451E-3</v>
      </c>
      <c r="O348" s="14">
        <f t="shared" si="20"/>
        <v>-5.6748115077054351E-5</v>
      </c>
      <c r="P348" s="14">
        <f t="array" ref="P348">MMULT(M348:O348,$I$9:$I$11)</f>
        <v>-4.7960791061968535E-4</v>
      </c>
    </row>
    <row r="349" spans="2:16" x14ac:dyDescent="0.25">
      <c r="B349" s="9">
        <v>35779</v>
      </c>
      <c r="C349" s="10">
        <v>5.7700290680000002E-2</v>
      </c>
      <c r="D349" s="11">
        <v>963.39</v>
      </c>
      <c r="E349" s="11">
        <v>0.90520362641978003</v>
      </c>
      <c r="L349" s="9">
        <v>35779</v>
      </c>
      <c r="M349" s="14">
        <f t="shared" si="18"/>
        <v>7.0387523412969166E-3</v>
      </c>
      <c r="N349" s="14">
        <f t="shared" si="19"/>
        <v>1.0488887024197924E-2</v>
      </c>
      <c r="O349" s="14">
        <f t="shared" si="20"/>
        <v>-1.6923317676464933E-3</v>
      </c>
      <c r="P349" s="14">
        <f t="array" ref="P349">MMULT(M349:O349,$I$9:$I$11)</f>
        <v>1.5960868292365651E-3</v>
      </c>
    </row>
    <row r="350" spans="2:16" x14ac:dyDescent="0.25">
      <c r="B350" s="9">
        <v>35780</v>
      </c>
      <c r="C350" s="10">
        <v>5.7611761093000001E-2</v>
      </c>
      <c r="D350" s="11">
        <v>968.04</v>
      </c>
      <c r="E350" s="11">
        <v>0.91256671459730476</v>
      </c>
      <c r="L350" s="9">
        <v>35780</v>
      </c>
      <c r="M350" s="14">
        <f t="shared" si="18"/>
        <v>-1.5343005374267582E-3</v>
      </c>
      <c r="N350" s="14">
        <f t="shared" si="19"/>
        <v>4.8267056955126897E-3</v>
      </c>
      <c r="O350" s="14">
        <f t="shared" si="20"/>
        <v>8.1341788329405418E-3</v>
      </c>
      <c r="P350" s="14">
        <f t="array" ref="P350">MMULT(M350:O350,$I$9:$I$11)</f>
        <v>7.2412996917259652E-3</v>
      </c>
    </row>
    <row r="351" spans="2:16" x14ac:dyDescent="0.25">
      <c r="B351" s="9">
        <v>35781</v>
      </c>
      <c r="C351" s="10">
        <v>5.7916679382E-2</v>
      </c>
      <c r="D351" s="11">
        <v>965.54</v>
      </c>
      <c r="E351" s="11">
        <v>0.90602164791770989</v>
      </c>
      <c r="L351" s="9">
        <v>35781</v>
      </c>
      <c r="M351" s="14">
        <f t="shared" si="18"/>
        <v>5.2926396141195209E-3</v>
      </c>
      <c r="N351" s="14">
        <f t="shared" si="19"/>
        <v>-2.5825379116565239E-3</v>
      </c>
      <c r="O351" s="14">
        <f t="shared" si="20"/>
        <v>-7.1721514437255163E-3</v>
      </c>
      <c r="P351" s="14">
        <f t="array" ref="P351">MMULT(M351:O351,$I$9:$I$11)</f>
        <v>-5.9331481264657841E-3</v>
      </c>
    </row>
    <row r="352" spans="2:16" x14ac:dyDescent="0.25">
      <c r="B352" s="9">
        <v>35782</v>
      </c>
      <c r="C352" s="10">
        <v>5.7474050522000004E-2</v>
      </c>
      <c r="D352" s="11">
        <v>955.3</v>
      </c>
      <c r="E352" s="11">
        <v>0.90637974648760422</v>
      </c>
      <c r="L352" s="9">
        <v>35782</v>
      </c>
      <c r="M352" s="14">
        <f t="shared" si="18"/>
        <v>-7.6425110127698037E-3</v>
      </c>
      <c r="N352" s="14">
        <f t="shared" si="19"/>
        <v>-1.0605464299770051E-2</v>
      </c>
      <c r="O352" s="14">
        <f t="shared" si="20"/>
        <v>3.9524284073944038E-4</v>
      </c>
      <c r="P352" s="14">
        <f t="array" ref="P352">MMULT(M352:O352,$I$9:$I$11)</f>
        <v>-2.5744870818472502E-3</v>
      </c>
    </row>
    <row r="353" spans="2:16" x14ac:dyDescent="0.25">
      <c r="B353" s="9">
        <v>35783</v>
      </c>
      <c r="C353" s="10">
        <v>5.7031412125E-2</v>
      </c>
      <c r="D353" s="11">
        <v>946.78</v>
      </c>
      <c r="E353" s="11">
        <v>0.90602164791770989</v>
      </c>
      <c r="L353" s="9">
        <v>35783</v>
      </c>
      <c r="M353" s="14">
        <f t="shared" si="18"/>
        <v>-7.7015347444595594E-3</v>
      </c>
      <c r="N353" s="14">
        <f t="shared" si="19"/>
        <v>-8.9186642939390604E-3</v>
      </c>
      <c r="O353" s="14">
        <f t="shared" si="20"/>
        <v>-3.9508668555543469E-4</v>
      </c>
      <c r="P353" s="14">
        <f t="array" ref="P353">MMULT(M353:O353,$I$9:$I$11)</f>
        <v>-2.6960954432464798E-3</v>
      </c>
    </row>
    <row r="354" spans="2:16" x14ac:dyDescent="0.25">
      <c r="B354" s="9">
        <v>35786</v>
      </c>
      <c r="C354" s="10">
        <v>5.7051081656999993E-2</v>
      </c>
      <c r="D354" s="11">
        <v>953.7</v>
      </c>
      <c r="E354" s="11">
        <v>0.91041890669245062</v>
      </c>
      <c r="L354" s="9">
        <v>35786</v>
      </c>
      <c r="M354" s="14">
        <f t="shared" si="18"/>
        <v>3.4488944367860874E-4</v>
      </c>
      <c r="N354" s="14">
        <f t="shared" si="19"/>
        <v>7.3089841357021346E-3</v>
      </c>
      <c r="O354" s="14">
        <f t="shared" si="20"/>
        <v>4.8533705401485605E-3</v>
      </c>
      <c r="P354" s="14">
        <f t="array" ref="P354">MMULT(M354:O354,$I$9:$I$11)</f>
        <v>5.5162833038355317E-3</v>
      </c>
    </row>
    <row r="355" spans="2:16" x14ac:dyDescent="0.25">
      <c r="B355" s="9">
        <v>35787</v>
      </c>
      <c r="C355" s="10">
        <v>5.7080588341000001E-2</v>
      </c>
      <c r="D355" s="11">
        <v>939.08</v>
      </c>
      <c r="E355" s="11">
        <v>0.90678958675881982</v>
      </c>
      <c r="L355" s="9">
        <v>35787</v>
      </c>
      <c r="M355" s="14">
        <f t="shared" si="18"/>
        <v>5.1719762611002196E-4</v>
      </c>
      <c r="N355" s="14">
        <f t="shared" si="19"/>
        <v>-1.5329768270944788E-2</v>
      </c>
      <c r="O355" s="14">
        <f t="shared" si="20"/>
        <v>-3.9864285626669549E-3</v>
      </c>
      <c r="P355" s="14">
        <f t="array" ref="P355">MMULT(M355:O355,$I$9:$I$11)</f>
        <v>-7.0486549198880491E-3</v>
      </c>
    </row>
    <row r="356" spans="2:16" x14ac:dyDescent="0.25">
      <c r="B356" s="9">
        <v>35788</v>
      </c>
      <c r="C356" s="10">
        <v>5.7208461761000001E-2</v>
      </c>
      <c r="D356" s="11">
        <v>932.7</v>
      </c>
      <c r="E356" s="11">
        <v>0.90632833439127958</v>
      </c>
      <c r="L356" s="9">
        <v>35788</v>
      </c>
      <c r="M356" s="14">
        <f t="shared" si="18"/>
        <v>2.2402260333422852E-3</v>
      </c>
      <c r="N356" s="14">
        <f t="shared" si="19"/>
        <v>-6.7938833752182459E-3</v>
      </c>
      <c r="O356" s="14">
        <f t="shared" si="20"/>
        <v>-5.0866526730741768E-4</v>
      </c>
      <c r="P356" s="14">
        <f t="array" ref="P356">MMULT(M356:O356,$I$9:$I$11)</f>
        <v>-2.2054107625412824E-3</v>
      </c>
    </row>
    <row r="357" spans="2:16" x14ac:dyDescent="0.25">
      <c r="B357" s="9">
        <v>35789</v>
      </c>
      <c r="C357" s="10">
        <v>5.7208461761000001E-2</v>
      </c>
      <c r="D357" s="11">
        <v>932.7</v>
      </c>
      <c r="E357" s="11">
        <v>0.90632833439127958</v>
      </c>
      <c r="L357" s="9">
        <v>35789</v>
      </c>
      <c r="M357" s="14">
        <f t="shared" si="18"/>
        <v>0</v>
      </c>
      <c r="N357" s="14">
        <f t="shared" si="19"/>
        <v>0</v>
      </c>
      <c r="O357" s="14">
        <f t="shared" si="20"/>
        <v>0</v>
      </c>
      <c r="P357" s="14">
        <f t="array" ref="P357">MMULT(M357:O357,$I$9:$I$11)</f>
        <v>0</v>
      </c>
    </row>
    <row r="358" spans="2:16" x14ac:dyDescent="0.25">
      <c r="B358" s="9">
        <v>35790</v>
      </c>
      <c r="C358" s="10">
        <v>5.7198629379000006E-2</v>
      </c>
      <c r="D358" s="11">
        <v>936.46</v>
      </c>
      <c r="E358" s="11">
        <v>0.90632833439127958</v>
      </c>
      <c r="L358" s="9">
        <v>35790</v>
      </c>
      <c r="M358" s="14">
        <f t="shared" si="18"/>
        <v>-1.7186936507873618E-4</v>
      </c>
      <c r="N358" s="14">
        <f t="shared" si="19"/>
        <v>4.0313069582931238E-3</v>
      </c>
      <c r="O358" s="14">
        <f t="shared" si="20"/>
        <v>0</v>
      </c>
      <c r="P358" s="14">
        <f t="array" ref="P358">MMULT(M358:O358,$I$9:$I$11)</f>
        <v>1.0882839392287061E-3</v>
      </c>
    </row>
    <row r="359" spans="2:16" x14ac:dyDescent="0.25">
      <c r="B359" s="9">
        <v>35793</v>
      </c>
      <c r="C359" s="10">
        <v>5.7405190468000002E-2</v>
      </c>
      <c r="D359" s="11">
        <v>953.35</v>
      </c>
      <c r="E359" s="11">
        <v>0.91205563614679797</v>
      </c>
      <c r="L359" s="9">
        <v>35793</v>
      </c>
      <c r="M359" s="14">
        <f t="shared" si="18"/>
        <v>3.6112943831454469E-3</v>
      </c>
      <c r="N359" s="14">
        <f t="shared" si="19"/>
        <v>1.8036007944813415E-2</v>
      </c>
      <c r="O359" s="14">
        <f t="shared" si="20"/>
        <v>6.3192350257537111E-3</v>
      </c>
      <c r="P359" s="14">
        <f t="array" ref="P359">MMULT(M359:O359,$I$9:$I$11)</f>
        <v>9.482272700463909E-3</v>
      </c>
    </row>
    <row r="360" spans="2:16" x14ac:dyDescent="0.25">
      <c r="B360" s="9">
        <v>35794</v>
      </c>
      <c r="C360" s="10">
        <v>5.7887167930999996E-2</v>
      </c>
      <c r="D360" s="11">
        <v>970.84</v>
      </c>
      <c r="E360" s="11">
        <v>0.91609643217454539</v>
      </c>
      <c r="L360" s="9">
        <v>35794</v>
      </c>
      <c r="M360" s="14">
        <f t="shared" si="18"/>
        <v>8.3960606884261324E-3</v>
      </c>
      <c r="N360" s="14">
        <f t="shared" si="19"/>
        <v>1.8345833114805643E-2</v>
      </c>
      <c r="O360" s="14">
        <f t="shared" si="20"/>
        <v>4.4304271226465186E-3</v>
      </c>
      <c r="P360" s="14">
        <f t="array" ref="P360">MMULT(M360:O360,$I$9:$I$11)</f>
        <v>8.1870035892338423E-3</v>
      </c>
    </row>
    <row r="361" spans="2:16" x14ac:dyDescent="0.25">
      <c r="B361" s="9">
        <v>35795</v>
      </c>
      <c r="C361" s="10">
        <v>5.7356009483000001E-2</v>
      </c>
      <c r="D361" s="11">
        <v>970.43</v>
      </c>
      <c r="E361" s="11">
        <v>0.91946999928690498</v>
      </c>
      <c r="L361" s="9">
        <v>35795</v>
      </c>
      <c r="M361" s="14">
        <f t="shared" si="18"/>
        <v>-9.175754609953013E-3</v>
      </c>
      <c r="N361" s="14">
        <f t="shared" si="19"/>
        <v>-4.2231469655151788E-4</v>
      </c>
      <c r="O361" s="14">
        <f t="shared" si="20"/>
        <v>3.6825458476590356E-3</v>
      </c>
      <c r="P361" s="14">
        <f t="array" ref="P361">MMULT(M361:O361,$I$9:$I$11)</f>
        <v>2.5744055226341682E-3</v>
      </c>
    </row>
    <row r="362" spans="2:16" x14ac:dyDescent="0.25">
      <c r="B362" s="9">
        <v>35796</v>
      </c>
      <c r="C362" s="10">
        <v>5.7356009483000001E-2</v>
      </c>
      <c r="D362" s="11">
        <v>970.43</v>
      </c>
      <c r="E362" s="11">
        <v>0.91946999928690498</v>
      </c>
      <c r="L362" s="9">
        <v>35796</v>
      </c>
      <c r="M362" s="14">
        <f t="shared" si="18"/>
        <v>0</v>
      </c>
      <c r="N362" s="14">
        <f t="shared" si="19"/>
        <v>0</v>
      </c>
      <c r="O362" s="14">
        <f t="shared" si="20"/>
        <v>0</v>
      </c>
      <c r="P362" s="14">
        <f t="array" ref="P362">MMULT(M362:O362,$I$9:$I$11)</f>
        <v>0</v>
      </c>
    </row>
    <row r="363" spans="2:16" x14ac:dyDescent="0.25">
      <c r="B363" s="9">
        <v>35797</v>
      </c>
      <c r="C363" s="10">
        <v>5.6510081290999999E-2</v>
      </c>
      <c r="D363" s="11">
        <v>975.04</v>
      </c>
      <c r="E363" s="11">
        <v>0.92233406168661458</v>
      </c>
      <c r="L363" s="9">
        <v>35797</v>
      </c>
      <c r="M363" s="14">
        <f t="shared" si="18"/>
        <v>-1.4748728156388391E-2</v>
      </c>
      <c r="N363" s="14">
        <f t="shared" si="19"/>
        <v>4.7504714404955628E-3</v>
      </c>
      <c r="O363" s="14">
        <f t="shared" si="20"/>
        <v>3.1149057630275312E-3</v>
      </c>
      <c r="P363" s="14">
        <f t="array" ref="P363">MMULT(M363:O363,$I$9:$I$11)</f>
        <v>3.5564399544838476E-3</v>
      </c>
    </row>
    <row r="364" spans="2:16" x14ac:dyDescent="0.25">
      <c r="B364" s="9">
        <v>35800</v>
      </c>
      <c r="C364" s="10">
        <v>5.5123147964000002E-2</v>
      </c>
      <c r="D364" s="11">
        <v>977.07</v>
      </c>
      <c r="E364" s="11">
        <v>0.92990191728318294</v>
      </c>
      <c r="L364" s="9">
        <v>35800</v>
      </c>
      <c r="M364" s="14">
        <f t="shared" si="18"/>
        <v>-2.454311328730796E-2</v>
      </c>
      <c r="N364" s="14">
        <f t="shared" si="19"/>
        <v>2.0819658680670816E-3</v>
      </c>
      <c r="O364" s="14">
        <f t="shared" si="20"/>
        <v>8.205113430083566E-3</v>
      </c>
      <c r="P364" s="14">
        <f t="array" ref="P364">MMULT(M364:O364,$I$9:$I$11)</f>
        <v>6.5521201903697129E-3</v>
      </c>
    </row>
    <row r="365" spans="2:16" x14ac:dyDescent="0.25">
      <c r="B365" s="9">
        <v>35801</v>
      </c>
      <c r="C365" s="10">
        <v>5.4975600243000002E-2</v>
      </c>
      <c r="D365" s="11">
        <v>966.58</v>
      </c>
      <c r="E365" s="11">
        <v>0.93199838053202677</v>
      </c>
      <c r="L365" s="9">
        <v>35801</v>
      </c>
      <c r="M365" s="14">
        <f t="shared" si="18"/>
        <v>-2.6766925774334149E-3</v>
      </c>
      <c r="N365" s="14">
        <f t="shared" si="19"/>
        <v>-1.0736180621654601E-2</v>
      </c>
      <c r="O365" s="14">
        <f t="shared" si="20"/>
        <v>2.2544993293152071E-3</v>
      </c>
      <c r="P365" s="14">
        <f t="array" ref="P365">MMULT(M365:O365,$I$9:$I$11)</f>
        <v>-1.2524398585373373E-3</v>
      </c>
    </row>
    <row r="366" spans="2:16" x14ac:dyDescent="0.25">
      <c r="B366" s="9">
        <v>35802</v>
      </c>
      <c r="C366" s="10">
        <v>5.5496931075999997E-2</v>
      </c>
      <c r="D366" s="11">
        <v>964</v>
      </c>
      <c r="E366" s="11">
        <v>0.93358431890094196</v>
      </c>
      <c r="L366" s="9">
        <v>35802</v>
      </c>
      <c r="M366" s="14">
        <f t="shared" si="18"/>
        <v>9.4829493574537516E-3</v>
      </c>
      <c r="N366" s="14">
        <f t="shared" si="19"/>
        <v>-2.6692048252602296E-3</v>
      </c>
      <c r="O366" s="14">
        <f t="shared" si="20"/>
        <v>1.7016535672624844E-3</v>
      </c>
      <c r="P366" s="14">
        <f t="array" ref="P366">MMULT(M366:O366,$I$9:$I$11)</f>
        <v>5.2170497033413347E-4</v>
      </c>
    </row>
    <row r="367" spans="2:16" x14ac:dyDescent="0.25">
      <c r="B367" s="9">
        <v>35803</v>
      </c>
      <c r="C367" s="10">
        <v>5.4877238273999998E-2</v>
      </c>
      <c r="D367" s="11">
        <v>956.05</v>
      </c>
      <c r="E367" s="11">
        <v>0.92893055705947214</v>
      </c>
      <c r="L367" s="9">
        <v>35803</v>
      </c>
      <c r="M367" s="14">
        <f t="shared" si="18"/>
        <v>-1.1166253520421998E-2</v>
      </c>
      <c r="N367" s="14">
        <f t="shared" si="19"/>
        <v>-8.246887966805061E-3</v>
      </c>
      <c r="O367" s="14">
        <f t="shared" si="20"/>
        <v>-4.9848329146621184E-3</v>
      </c>
      <c r="P367" s="14">
        <f t="array" ref="P367">MMULT(M367:O367,$I$9:$I$11)</f>
        <v>-5.8654510761801714E-3</v>
      </c>
    </row>
    <row r="368" spans="2:16" x14ac:dyDescent="0.25">
      <c r="B368" s="9">
        <v>35804</v>
      </c>
      <c r="C368" s="10">
        <v>5.4031310080999997E-2</v>
      </c>
      <c r="D368" s="11">
        <v>927.69</v>
      </c>
      <c r="E368" s="11">
        <v>0.93082273525483261</v>
      </c>
      <c r="L368" s="9">
        <v>35804</v>
      </c>
      <c r="M368" s="14">
        <f t="shared" si="18"/>
        <v>-1.5414919183365461E-2</v>
      </c>
      <c r="N368" s="14">
        <f t="shared" si="19"/>
        <v>-2.9663720516709291E-2</v>
      </c>
      <c r="O368" s="14">
        <f t="shared" si="20"/>
        <v>2.0369425690442977E-3</v>
      </c>
      <c r="P368" s="14">
        <f t="array" ref="P368">MMULT(M368:O368,$I$9:$I$11)</f>
        <v>-6.5209079881192143E-3</v>
      </c>
    </row>
    <row r="369" spans="2:16" x14ac:dyDescent="0.25">
      <c r="B369" s="9">
        <v>35807</v>
      </c>
      <c r="C369" s="10">
        <v>5.3991961478999997E-2</v>
      </c>
      <c r="D369" s="11">
        <v>939.21</v>
      </c>
      <c r="E369" s="11">
        <v>0.92990191728318294</v>
      </c>
      <c r="L369" s="9">
        <v>35807</v>
      </c>
      <c r="M369" s="14">
        <f t="shared" si="18"/>
        <v>-7.2825556035960304E-4</v>
      </c>
      <c r="N369" s="14">
        <f t="shared" si="19"/>
        <v>1.241794133816243E-2</v>
      </c>
      <c r="O369" s="14">
        <f t="shared" si="20"/>
        <v>-9.8925169828123494E-4</v>
      </c>
      <c r="P369" s="14">
        <f t="array" ref="P369">MMULT(M369:O369,$I$9:$I$11)</f>
        <v>2.6301285678839654E-3</v>
      </c>
    </row>
    <row r="370" spans="2:16" x14ac:dyDescent="0.25">
      <c r="B370" s="9">
        <v>35808</v>
      </c>
      <c r="C370" s="10">
        <v>5.4228038787999998E-2</v>
      </c>
      <c r="D370" s="11">
        <v>952.12</v>
      </c>
      <c r="E370" s="11">
        <v>0.93133469866894614</v>
      </c>
      <c r="L370" s="9">
        <v>35808</v>
      </c>
      <c r="M370" s="14">
        <f t="shared" si="18"/>
        <v>4.372452908417257E-3</v>
      </c>
      <c r="N370" s="14">
        <f t="shared" si="19"/>
        <v>1.3745594701930264E-2</v>
      </c>
      <c r="O370" s="14">
        <f t="shared" si="20"/>
        <v>1.5407876455930669E-3</v>
      </c>
      <c r="P370" s="14">
        <f t="array" ref="P370">MMULT(M370:O370,$I$9:$I$11)</f>
        <v>4.8355740853785276E-3</v>
      </c>
    </row>
    <row r="371" spans="2:16" x14ac:dyDescent="0.25">
      <c r="B371" s="9">
        <v>35809</v>
      </c>
      <c r="C371" s="10">
        <v>5.4582152367000002E-2</v>
      </c>
      <c r="D371" s="11">
        <v>957.94</v>
      </c>
      <c r="E371" s="11">
        <v>0.93210038621312929</v>
      </c>
      <c r="L371" s="9">
        <v>35809</v>
      </c>
      <c r="M371" s="14">
        <f t="shared" si="18"/>
        <v>6.5300827194652022E-3</v>
      </c>
      <c r="N371" s="14">
        <f t="shared" si="19"/>
        <v>6.1126748729152247E-3</v>
      </c>
      <c r="O371" s="14">
        <f t="shared" si="20"/>
        <v>8.221400376013932E-4</v>
      </c>
      <c r="P371" s="14">
        <f t="array" ref="P371">MMULT(M371:O371,$I$9:$I$11)</f>
        <v>2.2503627333099411E-3</v>
      </c>
    </row>
    <row r="372" spans="2:16" x14ac:dyDescent="0.25">
      <c r="B372" s="9">
        <v>35810</v>
      </c>
      <c r="C372" s="10">
        <v>5.4729690551999999E-2</v>
      </c>
      <c r="D372" s="11">
        <v>950.73</v>
      </c>
      <c r="E372" s="11">
        <v>0.9363965166929793</v>
      </c>
      <c r="L372" s="9">
        <v>35810</v>
      </c>
      <c r="M372" s="14">
        <f t="shared" si="18"/>
        <v>2.7030481320702293E-3</v>
      </c>
      <c r="N372" s="14">
        <f t="shared" si="19"/>
        <v>-7.526567425934827E-3</v>
      </c>
      <c r="O372" s="14">
        <f t="shared" si="20"/>
        <v>4.6090856128748747E-3</v>
      </c>
      <c r="P372" s="14">
        <f t="array" ref="P372">MMULT(M372:O372,$I$9:$I$11)</f>
        <v>1.3329678597924929E-3</v>
      </c>
    </row>
    <row r="373" spans="2:16" x14ac:dyDescent="0.25">
      <c r="B373" s="9">
        <v>35811</v>
      </c>
      <c r="C373" s="10">
        <v>5.5270700455000002E-2</v>
      </c>
      <c r="D373" s="11">
        <v>961.51</v>
      </c>
      <c r="E373" s="11">
        <v>0.93430074196885204</v>
      </c>
      <c r="L373" s="9">
        <v>35811</v>
      </c>
      <c r="M373" s="14">
        <f t="shared" si="18"/>
        <v>9.8851262914774196E-3</v>
      </c>
      <c r="N373" s="14">
        <f t="shared" si="19"/>
        <v>1.1338655559412159E-2</v>
      </c>
      <c r="O373" s="14">
        <f t="shared" si="20"/>
        <v>-2.2381274244043237E-3</v>
      </c>
      <c r="P373" s="14">
        <f t="array" ref="P373">MMULT(M373:O373,$I$9:$I$11)</f>
        <v>1.4270350205653961E-3</v>
      </c>
    </row>
    <row r="374" spans="2:16" x14ac:dyDescent="0.25">
      <c r="B374" s="9">
        <v>35814</v>
      </c>
      <c r="C374" s="10">
        <v>5.5270700455000002E-2</v>
      </c>
      <c r="D374" s="11">
        <v>961.51</v>
      </c>
      <c r="E374" s="11">
        <v>0.93920856698793831</v>
      </c>
      <c r="L374" s="9">
        <v>35814</v>
      </c>
      <c r="M374" s="14">
        <f t="shared" si="18"/>
        <v>0</v>
      </c>
      <c r="N374" s="14">
        <f t="shared" si="19"/>
        <v>0</v>
      </c>
      <c r="O374" s="14">
        <f t="shared" si="20"/>
        <v>5.2529392289082377E-3</v>
      </c>
      <c r="P374" s="14">
        <f t="array" ref="P374">MMULT(M374:O374,$I$9:$I$11)</f>
        <v>3.8348657714145085E-3</v>
      </c>
    </row>
    <row r="375" spans="2:16" x14ac:dyDescent="0.25">
      <c r="B375" s="9">
        <v>35815</v>
      </c>
      <c r="C375" s="10">
        <v>5.5585460662999998E-2</v>
      </c>
      <c r="D375" s="11">
        <v>978.6</v>
      </c>
      <c r="E375" s="11">
        <v>0.94130573928592176</v>
      </c>
      <c r="L375" s="9">
        <v>35815</v>
      </c>
      <c r="M375" s="14">
        <f t="shared" si="18"/>
        <v>5.694883643753812E-3</v>
      </c>
      <c r="N375" s="14">
        <f t="shared" si="19"/>
        <v>1.7774126114133093E-2</v>
      </c>
      <c r="O375" s="14">
        <f t="shared" si="20"/>
        <v>2.2329143618324832E-3</v>
      </c>
      <c r="P375" s="14">
        <f t="array" ref="P375">MMULT(M375:O375,$I$9:$I$11)</f>
        <v>6.4283902512056734E-3</v>
      </c>
    </row>
    <row r="376" spans="2:16" x14ac:dyDescent="0.25">
      <c r="B376" s="9">
        <v>35816</v>
      </c>
      <c r="C376" s="10">
        <v>5.5349378586000003E-2</v>
      </c>
      <c r="D376" s="11">
        <v>970.81</v>
      </c>
      <c r="E376" s="11">
        <v>0.93440148283923863</v>
      </c>
      <c r="L376" s="9">
        <v>35816</v>
      </c>
      <c r="M376" s="14">
        <f t="shared" si="18"/>
        <v>-4.2471911572578014E-3</v>
      </c>
      <c r="N376" s="14">
        <f t="shared" si="19"/>
        <v>-7.9603515225833421E-3</v>
      </c>
      <c r="O376" s="14">
        <f t="shared" si="20"/>
        <v>-7.3347650593533764E-3</v>
      </c>
      <c r="P376" s="14">
        <f t="array" ref="P376">MMULT(M376:O376,$I$9:$I$11)</f>
        <v>-7.5036471880465284E-3</v>
      </c>
    </row>
    <row r="377" spans="2:16" x14ac:dyDescent="0.25">
      <c r="B377" s="9">
        <v>35817</v>
      </c>
      <c r="C377" s="10">
        <v>5.5496931075999997E-2</v>
      </c>
      <c r="D377" s="11">
        <v>963.04</v>
      </c>
      <c r="E377" s="11">
        <v>0.92172062702784641</v>
      </c>
      <c r="L377" s="9">
        <v>35817</v>
      </c>
      <c r="M377" s="14">
        <f t="shared" si="18"/>
        <v>2.6658382400939207E-3</v>
      </c>
      <c r="N377" s="14">
        <f t="shared" si="19"/>
        <v>-8.0036258382175651E-3</v>
      </c>
      <c r="O377" s="14">
        <f t="shared" si="20"/>
        <v>-1.3571099836935829E-2</v>
      </c>
      <c r="P377" s="14">
        <f t="array" ref="P377">MMULT(M377:O377,$I$9:$I$11)</f>
        <v>-1.2068115172765299E-2</v>
      </c>
    </row>
    <row r="378" spans="2:16" x14ac:dyDescent="0.25">
      <c r="B378" s="9">
        <v>35818</v>
      </c>
      <c r="C378" s="10">
        <v>5.6844520568999996E-2</v>
      </c>
      <c r="D378" s="11">
        <v>957.59</v>
      </c>
      <c r="E378" s="11">
        <v>0.91047068511870455</v>
      </c>
      <c r="L378" s="9">
        <v>35818</v>
      </c>
      <c r="M378" s="14">
        <f t="shared" si="18"/>
        <v>2.4282234474453102E-2</v>
      </c>
      <c r="N378" s="14">
        <f t="shared" si="19"/>
        <v>-5.6591626516031557E-3</v>
      </c>
      <c r="O378" s="14">
        <f t="shared" si="20"/>
        <v>-1.2205370672259019E-2</v>
      </c>
      <c r="P378" s="14">
        <f t="array" ref="P378">MMULT(M378:O378,$I$9:$I$11)</f>
        <v>-1.0438168837857824E-2</v>
      </c>
    </row>
    <row r="379" spans="2:16" x14ac:dyDescent="0.25">
      <c r="B379" s="9">
        <v>35821</v>
      </c>
      <c r="C379" s="10">
        <v>5.6214990616E-2</v>
      </c>
      <c r="D379" s="11">
        <v>956.95</v>
      </c>
      <c r="E379" s="11">
        <v>0.91486883465913793</v>
      </c>
      <c r="L379" s="9">
        <v>35821</v>
      </c>
      <c r="M379" s="14">
        <f t="shared" si="18"/>
        <v>-1.1074593411969147E-2</v>
      </c>
      <c r="N379" s="14">
        <f t="shared" si="19"/>
        <v>-6.6834448981289984E-4</v>
      </c>
      <c r="O379" s="14">
        <f t="shared" si="20"/>
        <v>4.8306327840308416E-3</v>
      </c>
      <c r="P379" s="14">
        <f t="array" ref="P379">MMULT(M379:O379,$I$9:$I$11)</f>
        <v>3.3461393650921745E-3</v>
      </c>
    </row>
    <row r="380" spans="2:16" x14ac:dyDescent="0.25">
      <c r="B380" s="9">
        <v>35822</v>
      </c>
      <c r="C380" s="10">
        <v>5.6854348183000003E-2</v>
      </c>
      <c r="D380" s="11">
        <v>969.02</v>
      </c>
      <c r="E380" s="11">
        <v>0.91486883465913793</v>
      </c>
      <c r="L380" s="9">
        <v>35822</v>
      </c>
      <c r="M380" s="14">
        <f t="shared" si="18"/>
        <v>1.137343544833791E-2</v>
      </c>
      <c r="N380" s="14">
        <f t="shared" si="19"/>
        <v>1.2612989184387802E-2</v>
      </c>
      <c r="O380" s="14">
        <f t="shared" si="20"/>
        <v>0</v>
      </c>
      <c r="P380" s="14">
        <f t="array" ref="P380">MMULT(M380:O380,$I$9:$I$11)</f>
        <v>3.4049785087182992E-3</v>
      </c>
    </row>
    <row r="381" spans="2:16" x14ac:dyDescent="0.25">
      <c r="B381" s="9">
        <v>35823</v>
      </c>
      <c r="C381" s="10">
        <v>5.6775660515000007E-2</v>
      </c>
      <c r="D381" s="11">
        <v>977.46</v>
      </c>
      <c r="E381" s="11">
        <v>0.92320336714055584</v>
      </c>
      <c r="L381" s="9">
        <v>35823</v>
      </c>
      <c r="M381" s="14">
        <f t="shared" si="18"/>
        <v>-1.3840219880231208E-3</v>
      </c>
      <c r="N381" s="14">
        <f t="shared" si="19"/>
        <v>8.709830550453157E-3</v>
      </c>
      <c r="O381" s="14">
        <f t="shared" si="20"/>
        <v>9.1100845997482693E-3</v>
      </c>
      <c r="P381" s="14">
        <f t="array" ref="P381">MMULT(M381:O381,$I$9:$I$11)</f>
        <v>9.0020327798383416E-3</v>
      </c>
    </row>
    <row r="382" spans="2:16" x14ac:dyDescent="0.25">
      <c r="B382" s="9">
        <v>35824</v>
      </c>
      <c r="C382" s="10">
        <v>5.5644478798000004E-2</v>
      </c>
      <c r="D382" s="11">
        <v>985.49</v>
      </c>
      <c r="E382" s="11">
        <v>0.93235700060839433</v>
      </c>
      <c r="L382" s="9">
        <v>35824</v>
      </c>
      <c r="M382" s="14">
        <f t="shared" si="18"/>
        <v>-1.9923708623365899E-2</v>
      </c>
      <c r="N382" s="14">
        <f t="shared" si="19"/>
        <v>8.2151699302273062E-3</v>
      </c>
      <c r="O382" s="14">
        <f t="shared" si="20"/>
        <v>9.9150780788312964E-3</v>
      </c>
      <c r="P382" s="14">
        <f t="array" ref="P382">MMULT(M382:O382,$I$9:$I$11)</f>
        <v>9.4561741165607033E-3</v>
      </c>
    </row>
    <row r="383" spans="2:16" x14ac:dyDescent="0.25">
      <c r="B383" s="9">
        <v>35825</v>
      </c>
      <c r="C383" s="10">
        <v>5.5201840400999999E-2</v>
      </c>
      <c r="D383" s="11">
        <v>980.28</v>
      </c>
      <c r="E383" s="11">
        <v>0.93476008006531552</v>
      </c>
      <c r="L383" s="9">
        <v>35825</v>
      </c>
      <c r="M383" s="14">
        <f t="shared" si="18"/>
        <v>-7.9547586132824311E-3</v>
      </c>
      <c r="N383" s="14">
        <f t="shared" si="19"/>
        <v>-5.2867101644867853E-3</v>
      </c>
      <c r="O383" s="14">
        <f t="shared" si="20"/>
        <v>2.5774241576490553E-3</v>
      </c>
      <c r="P383" s="14">
        <f t="array" ref="P383">MMULT(M383:O383,$I$9:$I$11)</f>
        <v>4.5443745203204138E-4</v>
      </c>
    </row>
    <row r="384" spans="2:16" x14ac:dyDescent="0.25">
      <c r="B384" s="9">
        <v>35828</v>
      </c>
      <c r="C384" s="10">
        <v>5.5742840767E-2</v>
      </c>
      <c r="D384" s="11">
        <v>1001.27</v>
      </c>
      <c r="E384" s="11">
        <v>0.93184556921055883</v>
      </c>
      <c r="L384" s="9">
        <v>35828</v>
      </c>
      <c r="M384" s="14">
        <f t="shared" si="18"/>
        <v>9.8004045167703335E-3</v>
      </c>
      <c r="N384" s="14">
        <f t="shared" si="19"/>
        <v>2.1412249561349794E-2</v>
      </c>
      <c r="O384" s="14">
        <f t="shared" si="20"/>
        <v>-3.1179239645675594E-3</v>
      </c>
      <c r="P384" s="14">
        <f t="array" ref="P384">MMULT(M384:O384,$I$9:$I$11)</f>
        <v>3.5041949043096935E-3</v>
      </c>
    </row>
    <row r="385" spans="2:16" x14ac:dyDescent="0.25">
      <c r="B385" s="9">
        <v>35829</v>
      </c>
      <c r="C385" s="10">
        <v>5.5634641647000001E-2</v>
      </c>
      <c r="D385" s="11">
        <v>1006</v>
      </c>
      <c r="E385" s="11">
        <v>0.93015732242940474</v>
      </c>
      <c r="L385" s="9">
        <v>35829</v>
      </c>
      <c r="M385" s="14">
        <f t="shared" si="18"/>
        <v>-1.9410406522384349E-3</v>
      </c>
      <c r="N385" s="14">
        <f t="shared" si="19"/>
        <v>4.724000519340521E-3</v>
      </c>
      <c r="O385" s="14">
        <f t="shared" si="20"/>
        <v>-1.8117237844296197E-3</v>
      </c>
      <c r="P385" s="14">
        <f t="array" ref="P385">MMULT(M385:O385,$I$9:$I$11)</f>
        <v>-4.7352114247668038E-5</v>
      </c>
    </row>
    <row r="386" spans="2:16" x14ac:dyDescent="0.25">
      <c r="B386" s="9">
        <v>35830</v>
      </c>
      <c r="C386" s="10">
        <v>5.5683817863000001E-2</v>
      </c>
      <c r="D386" s="11">
        <v>1006.9</v>
      </c>
      <c r="E386" s="11">
        <v>0.92463564243377638</v>
      </c>
      <c r="L386" s="9">
        <v>35830</v>
      </c>
      <c r="M386" s="14">
        <f t="shared" si="18"/>
        <v>8.8391359311734696E-4</v>
      </c>
      <c r="N386" s="14">
        <f t="shared" si="19"/>
        <v>8.9463220675933819E-4</v>
      </c>
      <c r="O386" s="14">
        <f t="shared" si="20"/>
        <v>-5.9362861125542565E-3</v>
      </c>
      <c r="P386" s="14">
        <f t="array" ref="P386">MMULT(M386:O386,$I$9:$I$11)</f>
        <v>-4.0922244288367467E-3</v>
      </c>
    </row>
    <row r="387" spans="2:16" x14ac:dyDescent="0.25">
      <c r="B387" s="9">
        <v>35831</v>
      </c>
      <c r="C387" s="10">
        <v>5.6224818230000001E-2</v>
      </c>
      <c r="D387" s="11">
        <v>1003.54</v>
      </c>
      <c r="E387" s="11">
        <v>0.91471500536312778</v>
      </c>
      <c r="L387" s="9">
        <v>35831</v>
      </c>
      <c r="M387" s="14">
        <f t="shared" si="18"/>
        <v>9.7155760463665253E-3</v>
      </c>
      <c r="N387" s="14">
        <f t="shared" si="19"/>
        <v>-3.3369748733736992E-3</v>
      </c>
      <c r="O387" s="14">
        <f t="shared" si="20"/>
        <v>-1.0729239297477267E-2</v>
      </c>
      <c r="P387" s="14">
        <f t="array" ref="P387">MMULT(M387:O387,$I$9:$I$11)</f>
        <v>-8.7336376897321957E-3</v>
      </c>
    </row>
    <row r="388" spans="2:16" x14ac:dyDescent="0.25">
      <c r="B388" s="9">
        <v>35832</v>
      </c>
      <c r="C388" s="10">
        <v>5.6175642013999993E-2</v>
      </c>
      <c r="D388" s="11">
        <v>1012.46</v>
      </c>
      <c r="E388" s="11">
        <v>0.91706738992360215</v>
      </c>
      <c r="L388" s="9">
        <v>35832</v>
      </c>
      <c r="M388" s="14">
        <f t="shared" si="18"/>
        <v>-8.746353931966544E-4</v>
      </c>
      <c r="N388" s="14">
        <f t="shared" si="19"/>
        <v>8.8885345875600041E-3</v>
      </c>
      <c r="O388" s="14">
        <f t="shared" si="20"/>
        <v>2.5717130982676473E-3</v>
      </c>
      <c r="P388" s="14">
        <f t="array" ref="P388">MMULT(M388:O388,$I$9:$I$11)</f>
        <v>4.2769901820753076E-3</v>
      </c>
    </row>
    <row r="389" spans="2:16" x14ac:dyDescent="0.25">
      <c r="B389" s="9">
        <v>35835</v>
      </c>
      <c r="C389" s="10">
        <v>5.6578941345000001E-2</v>
      </c>
      <c r="D389" s="11">
        <v>1010.74</v>
      </c>
      <c r="E389" s="11">
        <v>0.92749838934757067</v>
      </c>
      <c r="L389" s="9">
        <v>35835</v>
      </c>
      <c r="M389" s="14">
        <f t="shared" si="18"/>
        <v>7.1792562851262787E-3</v>
      </c>
      <c r="N389" s="14">
        <f t="shared" si="19"/>
        <v>-1.698832546470963E-3</v>
      </c>
      <c r="O389" s="14">
        <f t="shared" si="20"/>
        <v>1.1374299793647014E-2</v>
      </c>
      <c r="P389" s="14">
        <f t="array" ref="P389">MMULT(M389:O389,$I$9:$I$11)</f>
        <v>7.8451019160471185E-3</v>
      </c>
    </row>
    <row r="390" spans="2:16" x14ac:dyDescent="0.25">
      <c r="B390" s="9">
        <v>35836</v>
      </c>
      <c r="C390" s="10">
        <v>5.6401882172000005E-2</v>
      </c>
      <c r="D390" s="11">
        <v>1019.01</v>
      </c>
      <c r="E390" s="11">
        <v>0.92489142578854333</v>
      </c>
      <c r="L390" s="9">
        <v>35836</v>
      </c>
      <c r="M390" s="14">
        <f t="shared" si="18"/>
        <v>-3.1294182745545962E-3</v>
      </c>
      <c r="N390" s="14">
        <f t="shared" si="19"/>
        <v>8.1821239883650421E-3</v>
      </c>
      <c r="O390" s="14">
        <f t="shared" si="20"/>
        <v>-2.8107472627107999E-3</v>
      </c>
      <c r="P390" s="14">
        <f t="array" ref="P390">MMULT(M390:O390,$I$9:$I$11)</f>
        <v>1.5686729810650973E-4</v>
      </c>
    </row>
    <row r="391" spans="2:16" x14ac:dyDescent="0.25">
      <c r="B391" s="9">
        <v>35837</v>
      </c>
      <c r="C391" s="10">
        <v>5.5732998848000002E-2</v>
      </c>
      <c r="D391" s="11">
        <v>1020.01</v>
      </c>
      <c r="E391" s="11">
        <v>0.9309243804381967</v>
      </c>
      <c r="L391" s="9">
        <v>35837</v>
      </c>
      <c r="M391" s="14">
        <f t="shared" si="18"/>
        <v>-1.1859237639627263E-2</v>
      </c>
      <c r="N391" s="14">
        <f t="shared" si="19"/>
        <v>9.8134463842347586E-4</v>
      </c>
      <c r="O391" s="14">
        <f t="shared" si="20"/>
        <v>6.5228787741327121E-3</v>
      </c>
      <c r="P391" s="14">
        <f t="array" ref="P391">MMULT(M391:O391,$I$9:$I$11)</f>
        <v>5.0268967859158067E-3</v>
      </c>
    </row>
    <row r="392" spans="2:16" x14ac:dyDescent="0.25">
      <c r="B392" s="9">
        <v>35838</v>
      </c>
      <c r="C392" s="10">
        <v>5.5851039886000001E-2</v>
      </c>
      <c r="D392" s="11">
        <v>1024.1400000000001</v>
      </c>
      <c r="E392" s="11">
        <v>0.92540208990561112</v>
      </c>
      <c r="L392" s="9">
        <v>35838</v>
      </c>
      <c r="M392" s="14">
        <f t="shared" si="18"/>
        <v>2.1179739192203062E-3</v>
      </c>
      <c r="N392" s="14">
        <f t="shared" si="19"/>
        <v>4.0489799119618475E-3</v>
      </c>
      <c r="O392" s="14">
        <f t="shared" si="20"/>
        <v>-5.9320506032790599E-3</v>
      </c>
      <c r="P392" s="14">
        <f t="array" ref="P392">MMULT(M392:O392,$I$9:$I$11)</f>
        <v>-3.2375906380455004E-3</v>
      </c>
    </row>
    <row r="393" spans="2:16" x14ac:dyDescent="0.25">
      <c r="B393" s="9">
        <v>35839</v>
      </c>
      <c r="C393" s="10">
        <v>5.5457592010000001E-2</v>
      </c>
      <c r="D393" s="11">
        <v>1020.09</v>
      </c>
      <c r="E393" s="11">
        <v>0.93286899369953413</v>
      </c>
      <c r="L393" s="9">
        <v>35839</v>
      </c>
      <c r="M393" s="14">
        <f t="shared" ref="M393:M456" si="21">C393/C392-1</f>
        <v>-7.0445935617865496E-3</v>
      </c>
      <c r="N393" s="14">
        <f t="shared" ref="N393:N456" si="22">D393/D392-1</f>
        <v>-3.9545374655809429E-3</v>
      </c>
      <c r="O393" s="14">
        <f t="shared" ref="O393:O456" si="23">E393/E392-1</f>
        <v>8.0688209756307749E-3</v>
      </c>
      <c r="P393" s="14">
        <f t="array" ref="P393">MMULT(M393:O393,$I$9:$I$11)</f>
        <v>4.8230180579832468E-3</v>
      </c>
    </row>
    <row r="394" spans="2:16" x14ac:dyDescent="0.25">
      <c r="B394" s="9">
        <v>35842</v>
      </c>
      <c r="C394" s="10">
        <v>5.5457592010000001E-2</v>
      </c>
      <c r="D394" s="11">
        <v>1020.09</v>
      </c>
      <c r="E394" s="11">
        <v>0.92995263659993443</v>
      </c>
      <c r="L394" s="9">
        <v>35842</v>
      </c>
      <c r="M394" s="14">
        <f t="shared" si="21"/>
        <v>0</v>
      </c>
      <c r="N394" s="14">
        <f t="shared" si="22"/>
        <v>0</v>
      </c>
      <c r="O394" s="14">
        <f t="shared" si="23"/>
        <v>-3.1262236383633457E-3</v>
      </c>
      <c r="P394" s="14">
        <f t="array" ref="P394">MMULT(M394:O394,$I$9:$I$11)</f>
        <v>-2.2822742662945718E-3</v>
      </c>
    </row>
    <row r="395" spans="2:16" x14ac:dyDescent="0.25">
      <c r="B395" s="9">
        <v>35843</v>
      </c>
      <c r="C395" s="10">
        <v>5.5024790763999999E-2</v>
      </c>
      <c r="D395" s="11">
        <v>1022.76</v>
      </c>
      <c r="E395" s="11">
        <v>0.93312437071836218</v>
      </c>
      <c r="L395" s="9">
        <v>35843</v>
      </c>
      <c r="M395" s="14">
        <f t="shared" si="21"/>
        <v>-7.8041838874280955E-3</v>
      </c>
      <c r="N395" s="14">
        <f t="shared" si="22"/>
        <v>2.6174161103431626E-3</v>
      </c>
      <c r="O395" s="14">
        <f t="shared" si="23"/>
        <v>3.4106404924278966E-3</v>
      </c>
      <c r="P395" s="14">
        <f t="array" ref="P395">MMULT(M395:O395,$I$9:$I$11)</f>
        <v>3.1965031508266665E-3</v>
      </c>
    </row>
    <row r="396" spans="2:16" x14ac:dyDescent="0.25">
      <c r="B396" s="9">
        <v>35844</v>
      </c>
      <c r="C396" s="10">
        <v>5.5447750092000002E-2</v>
      </c>
      <c r="D396" s="11">
        <v>1032.08</v>
      </c>
      <c r="E396" s="11">
        <v>0.93046539754095081</v>
      </c>
      <c r="L396" s="9">
        <v>35844</v>
      </c>
      <c r="M396" s="14">
        <f t="shared" si="21"/>
        <v>7.6867048856954501E-3</v>
      </c>
      <c r="N396" s="14">
        <f t="shared" si="22"/>
        <v>9.1125972857757365E-3</v>
      </c>
      <c r="O396" s="14">
        <f t="shared" si="23"/>
        <v>-2.8495378117328052E-3</v>
      </c>
      <c r="P396" s="14">
        <f t="array" ref="P396">MMULT(M396:O396,$I$9:$I$11)</f>
        <v>3.7973736879438847E-4</v>
      </c>
    </row>
    <row r="397" spans="2:16" x14ac:dyDescent="0.25">
      <c r="B397" s="9">
        <v>35845</v>
      </c>
      <c r="C397" s="10">
        <v>5.5614972115000001E-2</v>
      </c>
      <c r="D397" s="11">
        <v>1028.28</v>
      </c>
      <c r="E397" s="11">
        <v>0.93286899369953413</v>
      </c>
      <c r="L397" s="9">
        <v>35845</v>
      </c>
      <c r="M397" s="14">
        <f t="shared" si="21"/>
        <v>3.0158486633369286E-3</v>
      </c>
      <c r="N397" s="14">
        <f t="shared" si="22"/>
        <v>-3.6818851251840812E-3</v>
      </c>
      <c r="O397" s="14">
        <f t="shared" si="23"/>
        <v>2.5832192846027002E-3</v>
      </c>
      <c r="P397" s="14">
        <f t="array" ref="P397">MMULT(M397:O397,$I$9:$I$11)</f>
        <v>8.9190364495992714E-4</v>
      </c>
    </row>
    <row r="398" spans="2:16" x14ac:dyDescent="0.25">
      <c r="B398" s="9">
        <v>35846</v>
      </c>
      <c r="C398" s="10">
        <v>5.5821528435000003E-2</v>
      </c>
      <c r="D398" s="11">
        <v>1034.21</v>
      </c>
      <c r="E398" s="11">
        <v>0.93158923622385881</v>
      </c>
      <c r="L398" s="9">
        <v>35846</v>
      </c>
      <c r="M398" s="14">
        <f t="shared" si="21"/>
        <v>3.7140415996772536E-3</v>
      </c>
      <c r="N398" s="14">
        <f t="shared" si="22"/>
        <v>5.7669117361029976E-3</v>
      </c>
      <c r="O398" s="14">
        <f t="shared" si="23"/>
        <v>-1.3718512291850393E-3</v>
      </c>
      <c r="P398" s="14">
        <f t="array" ref="P398">MMULT(M398:O398,$I$9:$I$11)</f>
        <v>5.5531560813590233E-4</v>
      </c>
    </row>
    <row r="399" spans="2:16" x14ac:dyDescent="0.25">
      <c r="B399" s="9">
        <v>35849</v>
      </c>
      <c r="C399" s="10">
        <v>5.6313347815999996E-2</v>
      </c>
      <c r="D399" s="11">
        <v>1038.1400000000001</v>
      </c>
      <c r="E399" s="11">
        <v>0.91982882421212342</v>
      </c>
      <c r="L399" s="9">
        <v>35849</v>
      </c>
      <c r="M399" s="14">
        <f t="shared" si="21"/>
        <v>8.8105681587109519E-3</v>
      </c>
      <c r="N399" s="14">
        <f t="shared" si="22"/>
        <v>3.8000019338433333E-3</v>
      </c>
      <c r="O399" s="14">
        <f t="shared" si="23"/>
        <v>-1.262403165949566E-2</v>
      </c>
      <c r="P399" s="14">
        <f t="array" ref="P399">MMULT(M399:O399,$I$9:$I$11)</f>
        <v>-8.1902308693540156E-3</v>
      </c>
    </row>
    <row r="400" spans="2:16" x14ac:dyDescent="0.25">
      <c r="B400" s="9">
        <v>35850</v>
      </c>
      <c r="C400" s="10">
        <v>5.7267479896999998E-2</v>
      </c>
      <c r="D400" s="11">
        <v>1030.56</v>
      </c>
      <c r="E400" s="11">
        <v>0.92141335529332369</v>
      </c>
      <c r="L400" s="9">
        <v>35850</v>
      </c>
      <c r="M400" s="14">
        <f t="shared" si="21"/>
        <v>1.6943266880839136E-2</v>
      </c>
      <c r="N400" s="14">
        <f t="shared" si="22"/>
        <v>-7.3015200262008806E-3</v>
      </c>
      <c r="O400" s="14">
        <f t="shared" si="23"/>
        <v>1.7226369075327153E-3</v>
      </c>
      <c r="P400" s="14">
        <f t="array" ref="P400">MMULT(M400:O400,$I$9:$I$11)</f>
        <v>-7.1350729028342831E-4</v>
      </c>
    </row>
    <row r="401" spans="2:16" x14ac:dyDescent="0.25">
      <c r="B401" s="9">
        <v>35851</v>
      </c>
      <c r="C401" s="10">
        <v>5.6706809997999999E-2</v>
      </c>
      <c r="D401" s="11">
        <v>1042.9000000000001</v>
      </c>
      <c r="E401" s="11">
        <v>0.92642470269224764</v>
      </c>
      <c r="L401" s="9">
        <v>35851</v>
      </c>
      <c r="M401" s="14">
        <f t="shared" si="21"/>
        <v>-9.7903714290974442E-3</v>
      </c>
      <c r="N401" s="14">
        <f t="shared" si="22"/>
        <v>1.1974072349014264E-2</v>
      </c>
      <c r="O401" s="14">
        <f t="shared" si="23"/>
        <v>5.4387614094530967E-3</v>
      </c>
      <c r="P401" s="14">
        <f t="array" ref="P401">MMULT(M401:O401,$I$9:$I$11)</f>
        <v>7.2030214886214319E-3</v>
      </c>
    </row>
    <row r="402" spans="2:16" x14ac:dyDescent="0.25">
      <c r="B402" s="9">
        <v>35852</v>
      </c>
      <c r="C402" s="10">
        <v>5.6962552071000004E-2</v>
      </c>
      <c r="D402" s="11">
        <v>1048.67</v>
      </c>
      <c r="E402" s="11">
        <v>0.92714031981317613</v>
      </c>
      <c r="L402" s="9">
        <v>35852</v>
      </c>
      <c r="M402" s="14">
        <f t="shared" si="21"/>
        <v>4.5099005394417802E-3</v>
      </c>
      <c r="N402" s="14">
        <f t="shared" si="22"/>
        <v>5.5326493431777646E-3</v>
      </c>
      <c r="O402" s="14">
        <f t="shared" si="23"/>
        <v>7.7245038787165932E-4</v>
      </c>
      <c r="P402" s="14">
        <f t="array" ref="P402">MMULT(M402:O402,$I$9:$I$11)</f>
        <v>2.0575046207019793E-3</v>
      </c>
    </row>
    <row r="403" spans="2:16" x14ac:dyDescent="0.25">
      <c r="B403" s="9">
        <v>35853</v>
      </c>
      <c r="C403" s="10">
        <v>5.6706809997999999E-2</v>
      </c>
      <c r="D403" s="11">
        <v>1049.3399999999999</v>
      </c>
      <c r="E403" s="11">
        <v>0.92801019187712919</v>
      </c>
      <c r="L403" s="9">
        <v>35853</v>
      </c>
      <c r="M403" s="14">
        <f t="shared" si="21"/>
        <v>-4.4896526525223246E-3</v>
      </c>
      <c r="N403" s="14">
        <f t="shared" si="22"/>
        <v>6.3890451715020724E-4</v>
      </c>
      <c r="O403" s="14">
        <f t="shared" si="23"/>
        <v>9.3823129613035405E-4</v>
      </c>
      <c r="P403" s="14">
        <f t="array" ref="P403">MMULT(M403:O403,$I$9:$I$11)</f>
        <v>8.5742560965812377E-4</v>
      </c>
    </row>
    <row r="404" spans="2:16" x14ac:dyDescent="0.25">
      <c r="B404" s="9">
        <v>35856</v>
      </c>
      <c r="C404" s="10">
        <v>5.7483878135999998E-2</v>
      </c>
      <c r="D404" s="11">
        <v>1047.7</v>
      </c>
      <c r="E404" s="11">
        <v>0.9266815792387042</v>
      </c>
      <c r="L404" s="9">
        <v>35856</v>
      </c>
      <c r="M404" s="14">
        <f t="shared" si="21"/>
        <v>1.3703259591350658E-2</v>
      </c>
      <c r="N404" s="14">
        <f t="shared" si="22"/>
        <v>-1.5628871481120354E-3</v>
      </c>
      <c r="O404" s="14">
        <f t="shared" si="23"/>
        <v>-1.4316789298806087E-3</v>
      </c>
      <c r="P404" s="14">
        <f t="array" ref="P404">MMULT(M404:O404,$I$9:$I$11)</f>
        <v>-1.4670996502755985E-3</v>
      </c>
    </row>
    <row r="405" spans="2:16" x14ac:dyDescent="0.25">
      <c r="B405" s="9">
        <v>35857</v>
      </c>
      <c r="C405" s="10">
        <v>5.7965869903999996E-2</v>
      </c>
      <c r="D405" s="11">
        <v>1052.02</v>
      </c>
      <c r="E405" s="11">
        <v>0.92499351353617343</v>
      </c>
      <c r="L405" s="9">
        <v>35857</v>
      </c>
      <c r="M405" s="14">
        <f t="shared" si="21"/>
        <v>8.3848164673174796E-3</v>
      </c>
      <c r="N405" s="14">
        <f t="shared" si="22"/>
        <v>4.1233177436288404E-3</v>
      </c>
      <c r="O405" s="14">
        <f t="shared" si="23"/>
        <v>-1.8216243209642213E-3</v>
      </c>
      <c r="P405" s="14">
        <f t="array" ref="P405">MMULT(M405:O405,$I$9:$I$11)</f>
        <v>-2.1673909751770038E-4</v>
      </c>
    </row>
    <row r="406" spans="2:16" x14ac:dyDescent="0.25">
      <c r="B406" s="9">
        <v>35858</v>
      </c>
      <c r="C406" s="10">
        <v>5.7877340317000002E-2</v>
      </c>
      <c r="D406" s="11">
        <v>1047.33</v>
      </c>
      <c r="E406" s="11">
        <v>0.93000501108834088</v>
      </c>
      <c r="L406" s="9">
        <v>35858</v>
      </c>
      <c r="M406" s="14">
        <f t="shared" si="21"/>
        <v>-1.5272709121180172E-3</v>
      </c>
      <c r="N406" s="14">
        <f t="shared" si="22"/>
        <v>-4.4580901503774584E-3</v>
      </c>
      <c r="O406" s="14">
        <f t="shared" si="23"/>
        <v>5.4178731837901672E-3</v>
      </c>
      <c r="P406" s="14">
        <f t="array" ref="P406">MMULT(M406:O406,$I$9:$I$11)</f>
        <v>2.7517769544082929E-3</v>
      </c>
    </row>
    <row r="407" spans="2:16" x14ac:dyDescent="0.25">
      <c r="B407" s="9">
        <v>35859</v>
      </c>
      <c r="C407" s="10">
        <v>5.8103580475E-2</v>
      </c>
      <c r="D407" s="11">
        <v>1035.05</v>
      </c>
      <c r="E407" s="11">
        <v>0.93527127532304544</v>
      </c>
      <c r="L407" s="9">
        <v>35859</v>
      </c>
      <c r="M407" s="14">
        <f t="shared" si="21"/>
        <v>3.9089591325527362E-3</v>
      </c>
      <c r="N407" s="14">
        <f t="shared" si="22"/>
        <v>-1.1725053230595917E-2</v>
      </c>
      <c r="O407" s="14">
        <f t="shared" si="23"/>
        <v>5.6626192030317934E-3</v>
      </c>
      <c r="P407" s="14">
        <f t="array" ref="P407">MMULT(M407:O407,$I$9:$I$11)</f>
        <v>9.686763091126642E-4</v>
      </c>
    </row>
    <row r="408" spans="2:16" x14ac:dyDescent="0.25">
      <c r="B408" s="9">
        <v>35860</v>
      </c>
      <c r="C408" s="10">
        <v>5.7552738190000001E-2</v>
      </c>
      <c r="D408" s="11">
        <v>1055.69</v>
      </c>
      <c r="E408" s="11">
        <v>0.93690782963143759</v>
      </c>
      <c r="L408" s="9">
        <v>35860</v>
      </c>
      <c r="M408" s="14">
        <f t="shared" si="21"/>
        <v>-9.4803501005761293E-3</v>
      </c>
      <c r="N408" s="14">
        <f t="shared" si="22"/>
        <v>1.9941065649002665E-2</v>
      </c>
      <c r="O408" s="14">
        <f t="shared" si="23"/>
        <v>1.7498177818269234E-3</v>
      </c>
      <c r="P408" s="14">
        <f t="array" ref="P408">MMULT(M408:O408,$I$9:$I$11)</f>
        <v>6.660692367462067E-3</v>
      </c>
    </row>
    <row r="409" spans="2:16" x14ac:dyDescent="0.25">
      <c r="B409" s="9">
        <v>35863</v>
      </c>
      <c r="C409" s="10">
        <v>5.7051081656999993E-2</v>
      </c>
      <c r="D409" s="11">
        <v>1052.31</v>
      </c>
      <c r="E409" s="11">
        <v>0.93424954726783116</v>
      </c>
      <c r="L409" s="9">
        <v>35863</v>
      </c>
      <c r="M409" s="14">
        <f t="shared" si="21"/>
        <v>-8.7164668228969511E-3</v>
      </c>
      <c r="N409" s="14">
        <f t="shared" si="22"/>
        <v>-3.2016974680068033E-3</v>
      </c>
      <c r="O409" s="14">
        <f t="shared" si="23"/>
        <v>-2.8372933596383376E-3</v>
      </c>
      <c r="P409" s="14">
        <f t="array" ref="P409">MMULT(M409:O409,$I$9:$I$11)</f>
        <v>-2.9356671978573627E-3</v>
      </c>
    </row>
    <row r="410" spans="2:16" x14ac:dyDescent="0.25">
      <c r="B410" s="9">
        <v>35864</v>
      </c>
      <c r="C410" s="10">
        <v>5.7001900673000004E-2</v>
      </c>
      <c r="D410" s="11">
        <v>1064.25</v>
      </c>
      <c r="E410" s="11">
        <v>0.9363965166929793</v>
      </c>
      <c r="L410" s="9">
        <v>35864</v>
      </c>
      <c r="M410" s="14">
        <f t="shared" si="21"/>
        <v>-8.6205173629616549E-4</v>
      </c>
      <c r="N410" s="14">
        <f t="shared" si="22"/>
        <v>1.1346466345468542E-2</v>
      </c>
      <c r="O410" s="14">
        <f t="shared" si="23"/>
        <v>2.2980684672813112E-3</v>
      </c>
      <c r="P410" s="14">
        <f t="array" ref="P410">MMULT(M410:O410,$I$9:$I$11)</f>
        <v>4.7407567042375047E-3</v>
      </c>
    </row>
    <row r="411" spans="2:16" x14ac:dyDescent="0.25">
      <c r="B411" s="9">
        <v>35865</v>
      </c>
      <c r="C411" s="10">
        <v>5.6647791861999995E-2</v>
      </c>
      <c r="D411" s="11">
        <v>1068.47</v>
      </c>
      <c r="E411" s="11">
        <v>0.9391585154033546</v>
      </c>
      <c r="L411" s="9">
        <v>35865</v>
      </c>
      <c r="M411" s="14">
        <f t="shared" si="21"/>
        <v>-6.2122281330829754E-3</v>
      </c>
      <c r="N411" s="14">
        <f t="shared" si="22"/>
        <v>3.9652337326756548E-3</v>
      </c>
      <c r="O411" s="14">
        <f t="shared" si="23"/>
        <v>2.9496037855092361E-3</v>
      </c>
      <c r="P411" s="14">
        <f t="array" ref="P411">MMULT(M411:O411,$I$9:$I$11)</f>
        <v>3.2237813093584497E-3</v>
      </c>
    </row>
    <row r="412" spans="2:16" x14ac:dyDescent="0.25">
      <c r="B412" s="9">
        <v>35866</v>
      </c>
      <c r="C412" s="10">
        <v>5.6018261909E-2</v>
      </c>
      <c r="D412" s="11">
        <v>1069.92</v>
      </c>
      <c r="E412" s="11">
        <v>0.9346575955825327</v>
      </c>
      <c r="L412" s="9">
        <v>35866</v>
      </c>
      <c r="M412" s="14">
        <f t="shared" si="21"/>
        <v>-1.1113053700903208E-2</v>
      </c>
      <c r="N412" s="14">
        <f t="shared" si="22"/>
        <v>1.3570806854661388E-3</v>
      </c>
      <c r="O412" s="14">
        <f t="shared" si="23"/>
        <v>-4.7925028065031183E-3</v>
      </c>
      <c r="P412" s="14">
        <f t="array" ref="P412">MMULT(M412:O412,$I$9:$I$11)</f>
        <v>-3.1323729735494494E-3</v>
      </c>
    </row>
    <row r="413" spans="2:16" x14ac:dyDescent="0.25">
      <c r="B413" s="9">
        <v>35867</v>
      </c>
      <c r="C413" s="10">
        <v>5.6175642013999993E-2</v>
      </c>
      <c r="D413" s="11">
        <v>1068.6099999999999</v>
      </c>
      <c r="E413" s="11">
        <v>0.92898117046755713</v>
      </c>
      <c r="L413" s="9">
        <v>35867</v>
      </c>
      <c r="M413" s="14">
        <f t="shared" si="21"/>
        <v>2.8094428430438523E-3</v>
      </c>
      <c r="N413" s="14">
        <f t="shared" si="22"/>
        <v>-1.2243906086437661E-3</v>
      </c>
      <c r="O413" s="14">
        <f t="shared" si="23"/>
        <v>-6.0732669822660679E-3</v>
      </c>
      <c r="P413" s="14">
        <f t="array" ref="P413">MMULT(M413:O413,$I$9:$I$11)</f>
        <v>-4.7642735626845997E-3</v>
      </c>
    </row>
    <row r="414" spans="2:16" x14ac:dyDescent="0.25">
      <c r="B414" s="9">
        <v>35870</v>
      </c>
      <c r="C414" s="10">
        <v>5.5831370354000001E-2</v>
      </c>
      <c r="D414" s="11">
        <v>1079.27</v>
      </c>
      <c r="E414" s="11">
        <v>0.93107864654142847</v>
      </c>
      <c r="L414" s="9">
        <v>35870</v>
      </c>
      <c r="M414" s="14">
        <f t="shared" si="21"/>
        <v>-6.1284864339279377E-3</v>
      </c>
      <c r="N414" s="14">
        <f t="shared" si="22"/>
        <v>9.9755757479342844E-3</v>
      </c>
      <c r="O414" s="14">
        <f t="shared" si="23"/>
        <v>2.2578240986474984E-3</v>
      </c>
      <c r="P414" s="14">
        <f t="array" ref="P414">MMULT(M414:O414,$I$9:$I$11)</f>
        <v>4.341293617036863E-3</v>
      </c>
    </row>
    <row r="415" spans="2:16" x14ac:dyDescent="0.25">
      <c r="B415" s="9">
        <v>35871</v>
      </c>
      <c r="C415" s="10">
        <v>5.6057610511999999E-2</v>
      </c>
      <c r="D415" s="11">
        <v>1080.45</v>
      </c>
      <c r="E415" s="11">
        <v>0.92749838934757067</v>
      </c>
      <c r="L415" s="9">
        <v>35871</v>
      </c>
      <c r="M415" s="14">
        <f t="shared" si="21"/>
        <v>4.0522049981133179E-3</v>
      </c>
      <c r="N415" s="14">
        <f t="shared" si="22"/>
        <v>1.093331603769343E-3</v>
      </c>
      <c r="O415" s="14">
        <f t="shared" si="23"/>
        <v>-3.8452790289595917E-3</v>
      </c>
      <c r="P415" s="14">
        <f t="array" ref="P415">MMULT(M415:O415,$I$9:$I$11)</f>
        <v>-2.5120611199024616E-3</v>
      </c>
    </row>
    <row r="416" spans="2:16" x14ac:dyDescent="0.25">
      <c r="B416" s="9">
        <v>35872</v>
      </c>
      <c r="C416" s="10">
        <v>5.6224818230000001E-2</v>
      </c>
      <c r="D416" s="11">
        <v>1085.52</v>
      </c>
      <c r="E416" s="11">
        <v>0.93373770106891485</v>
      </c>
      <c r="L416" s="9">
        <v>35872</v>
      </c>
      <c r="M416" s="14">
        <f t="shared" si="21"/>
        <v>2.9827835413036574E-3</v>
      </c>
      <c r="N416" s="14">
        <f t="shared" si="22"/>
        <v>4.6924892405941776E-3</v>
      </c>
      <c r="O416" s="14">
        <f t="shared" si="23"/>
        <v>6.727032405666078E-3</v>
      </c>
      <c r="P416" s="14">
        <f t="array" ref="P416">MMULT(M416:O416,$I$9:$I$11)</f>
        <v>6.1777910124597478E-3</v>
      </c>
    </row>
    <row r="417" spans="2:16" x14ac:dyDescent="0.25">
      <c r="B417" s="9">
        <v>35873</v>
      </c>
      <c r="C417" s="10">
        <v>5.6313347815999996E-2</v>
      </c>
      <c r="D417" s="11">
        <v>1089.74</v>
      </c>
      <c r="E417" s="11">
        <v>0.93440148283923863</v>
      </c>
      <c r="L417" s="9">
        <v>35873</v>
      </c>
      <c r="M417" s="14">
        <f t="shared" si="21"/>
        <v>1.5745642011300021E-3</v>
      </c>
      <c r="N417" s="14">
        <f t="shared" si="22"/>
        <v>3.8875377699167935E-3</v>
      </c>
      <c r="O417" s="14">
        <f t="shared" si="23"/>
        <v>7.1088676141473073E-4</v>
      </c>
      <c r="P417" s="14">
        <f t="array" ref="P417">MMULT(M417:O417,$I$9:$I$11)</f>
        <v>1.5684494101670401E-3</v>
      </c>
    </row>
    <row r="418" spans="2:16" x14ac:dyDescent="0.25">
      <c r="B418" s="9">
        <v>35874</v>
      </c>
      <c r="C418" s="10">
        <v>5.6077280045000004E-2</v>
      </c>
      <c r="D418" s="11">
        <v>1099.1600000000001</v>
      </c>
      <c r="E418" s="11">
        <v>0.93798184373532922</v>
      </c>
      <c r="L418" s="9">
        <v>35874</v>
      </c>
      <c r="M418" s="14">
        <f t="shared" si="21"/>
        <v>-4.1920393682032264E-3</v>
      </c>
      <c r="N418" s="14">
        <f t="shared" si="22"/>
        <v>8.6442637693395774E-3</v>
      </c>
      <c r="O418" s="14">
        <f t="shared" si="23"/>
        <v>3.8317157686986736E-3</v>
      </c>
      <c r="P418" s="14">
        <f t="array" ref="P418">MMULT(M418:O418,$I$9:$I$11)</f>
        <v>5.130902049984053E-3</v>
      </c>
    </row>
    <row r="419" spans="2:16" x14ac:dyDescent="0.25">
      <c r="B419" s="9">
        <v>35877</v>
      </c>
      <c r="C419" s="10">
        <v>5.6087121964000002E-2</v>
      </c>
      <c r="D419" s="11">
        <v>1095.55</v>
      </c>
      <c r="E419" s="11">
        <v>0.93486269111485876</v>
      </c>
      <c r="L419" s="9">
        <v>35877</v>
      </c>
      <c r="M419" s="14">
        <f t="shared" si="21"/>
        <v>1.755063546609037E-4</v>
      </c>
      <c r="N419" s="14">
        <f t="shared" si="22"/>
        <v>-3.2843262127444373E-3</v>
      </c>
      <c r="O419" s="14">
        <f t="shared" si="23"/>
        <v>-3.3253869904870115E-3</v>
      </c>
      <c r="P419" s="14">
        <f t="array" ref="P419">MMULT(M419:O419,$I$9:$I$11)</f>
        <v>-3.3143023012257395E-3</v>
      </c>
    </row>
    <row r="420" spans="2:16" x14ac:dyDescent="0.25">
      <c r="B420" s="9">
        <v>35878</v>
      </c>
      <c r="C420" s="10">
        <v>5.6106791496000001E-2</v>
      </c>
      <c r="D420" s="11">
        <v>1105.6500000000001</v>
      </c>
      <c r="E420" s="11">
        <v>0.93552796957433493</v>
      </c>
      <c r="L420" s="9">
        <v>35878</v>
      </c>
      <c r="M420" s="14">
        <f t="shared" si="21"/>
        <v>3.5069604770643359E-4</v>
      </c>
      <c r="N420" s="14">
        <f t="shared" si="22"/>
        <v>9.2191136871893065E-3</v>
      </c>
      <c r="O420" s="14">
        <f t="shared" si="23"/>
        <v>7.1163227049186872E-4</v>
      </c>
      <c r="P420" s="14">
        <f t="array" ref="P420">MMULT(M420:O420,$I$9:$I$11)</f>
        <v>3.0082957309688703E-3</v>
      </c>
    </row>
    <row r="421" spans="2:16" x14ac:dyDescent="0.25">
      <c r="B421" s="9">
        <v>35879</v>
      </c>
      <c r="C421" s="10">
        <v>5.6716642380000001E-2</v>
      </c>
      <c r="D421" s="11">
        <v>1101.93</v>
      </c>
      <c r="E421" s="11">
        <v>0.93404461665304661</v>
      </c>
      <c r="L421" s="9">
        <v>35879</v>
      </c>
      <c r="M421" s="14">
        <f t="shared" si="21"/>
        <v>1.0869466382576576E-2</v>
      </c>
      <c r="N421" s="14">
        <f t="shared" si="22"/>
        <v>-3.3645366978700686E-3</v>
      </c>
      <c r="O421" s="14">
        <f t="shared" si="23"/>
        <v>-1.5855783787663835E-3</v>
      </c>
      <c r="P421" s="14">
        <f t="array" ref="P421">MMULT(M421:O421,$I$9:$I$11)</f>
        <v>-2.0658225743256206E-3</v>
      </c>
    </row>
    <row r="422" spans="2:16" x14ac:dyDescent="0.25">
      <c r="B422" s="9">
        <v>35880</v>
      </c>
      <c r="C422" s="10">
        <v>5.7001900673000004E-2</v>
      </c>
      <c r="D422" s="11">
        <v>1100.8</v>
      </c>
      <c r="E422" s="11">
        <v>0.93235700060839433</v>
      </c>
      <c r="L422" s="9">
        <v>35880</v>
      </c>
      <c r="M422" s="14">
        <f t="shared" si="21"/>
        <v>5.0295342077688598E-3</v>
      </c>
      <c r="N422" s="14">
        <f t="shared" si="22"/>
        <v>-1.0254734874266536E-3</v>
      </c>
      <c r="O422" s="14">
        <f t="shared" si="23"/>
        <v>-1.8067831178124605E-3</v>
      </c>
      <c r="P422" s="14">
        <f t="array" ref="P422">MMULT(M422:O422,$I$9:$I$11)</f>
        <v>-1.5958622598598311E-3</v>
      </c>
    </row>
    <row r="423" spans="2:16" x14ac:dyDescent="0.25">
      <c r="B423" s="9">
        <v>35881</v>
      </c>
      <c r="C423" s="10">
        <v>5.7080588341000001E-2</v>
      </c>
      <c r="D423" s="11">
        <v>1095.44</v>
      </c>
      <c r="E423" s="11">
        <v>0.934708835014742</v>
      </c>
      <c r="L423" s="9">
        <v>35881</v>
      </c>
      <c r="M423" s="14">
        <f t="shared" si="21"/>
        <v>1.3804393725640463E-3</v>
      </c>
      <c r="N423" s="14">
        <f t="shared" si="22"/>
        <v>-4.8691860465115422E-3</v>
      </c>
      <c r="O423" s="14">
        <f t="shared" si="23"/>
        <v>2.5224612512300126E-3</v>
      </c>
      <c r="P423" s="14">
        <f t="array" ref="P423">MMULT(M423:O423,$I$9:$I$11)</f>
        <v>5.2702624174084164E-4</v>
      </c>
    </row>
    <row r="424" spans="2:16" x14ac:dyDescent="0.25">
      <c r="B424" s="9">
        <v>35884</v>
      </c>
      <c r="C424" s="10">
        <v>5.7424860001000007E-2</v>
      </c>
      <c r="D424" s="11">
        <v>1093.55</v>
      </c>
      <c r="E424" s="11">
        <v>0.94324861503671287</v>
      </c>
      <c r="L424" s="9">
        <v>35884</v>
      </c>
      <c r="M424" s="14">
        <f t="shared" si="21"/>
        <v>6.0313264107112463E-3</v>
      </c>
      <c r="N424" s="14">
        <f t="shared" si="22"/>
        <v>-1.7253341123202315E-3</v>
      </c>
      <c r="O424" s="14">
        <f t="shared" si="23"/>
        <v>9.1362996711550348E-3</v>
      </c>
      <c r="P424" s="14">
        <f t="array" ref="P424">MMULT(M424:O424,$I$9:$I$11)</f>
        <v>6.2041137268366358E-3</v>
      </c>
    </row>
    <row r="425" spans="2:16" x14ac:dyDescent="0.25">
      <c r="B425" s="9">
        <v>35885</v>
      </c>
      <c r="C425" s="10">
        <v>5.6982231139999999E-2</v>
      </c>
      <c r="D425" s="11">
        <v>1101.75</v>
      </c>
      <c r="E425" s="11">
        <v>0.94570312349304431</v>
      </c>
      <c r="L425" s="9">
        <v>35885</v>
      </c>
      <c r="M425" s="14">
        <f t="shared" si="21"/>
        <v>-7.7079658703965714E-3</v>
      </c>
      <c r="N425" s="14">
        <f t="shared" si="22"/>
        <v>7.4985140139911532E-3</v>
      </c>
      <c r="O425" s="14">
        <f t="shared" si="23"/>
        <v>2.6021861227285559E-3</v>
      </c>
      <c r="P425" s="14">
        <f t="array" ref="P425">MMULT(M425:O425,$I$9:$I$11)</f>
        <v>3.9239894635276894E-3</v>
      </c>
    </row>
    <row r="426" spans="2:16" x14ac:dyDescent="0.25">
      <c r="B426" s="9">
        <v>35886</v>
      </c>
      <c r="C426" s="10">
        <v>5.6510081290999999E-2</v>
      </c>
      <c r="D426" s="11">
        <v>1108.1500000000001</v>
      </c>
      <c r="E426" s="11">
        <v>0.94585699447375937</v>
      </c>
      <c r="L426" s="9">
        <v>35886</v>
      </c>
      <c r="M426" s="14">
        <f t="shared" si="21"/>
        <v>-8.2859136884263496E-3</v>
      </c>
      <c r="N426" s="14">
        <f t="shared" si="22"/>
        <v>5.8089403222147951E-3</v>
      </c>
      <c r="O426" s="14">
        <f t="shared" si="23"/>
        <v>1.6270537433227261E-4</v>
      </c>
      <c r="P426" s="14">
        <f t="array" ref="P426">MMULT(M426:O426,$I$9:$I$11)</f>
        <v>1.6869521941512429E-3</v>
      </c>
    </row>
    <row r="427" spans="2:16" x14ac:dyDescent="0.25">
      <c r="B427" s="9">
        <v>35887</v>
      </c>
      <c r="C427" s="10">
        <v>5.5929732323000005E-2</v>
      </c>
      <c r="D427" s="11">
        <v>1120.01</v>
      </c>
      <c r="E427" s="11">
        <v>0.94549846634754697</v>
      </c>
      <c r="L427" s="9">
        <v>35887</v>
      </c>
      <c r="M427" s="14">
        <f t="shared" si="21"/>
        <v>-1.026983070527665E-2</v>
      </c>
      <c r="N427" s="14">
        <f t="shared" si="22"/>
        <v>1.0702522221720745E-2</v>
      </c>
      <c r="O427" s="14">
        <f t="shared" si="23"/>
        <v>-3.7905109155733641E-4</v>
      </c>
      <c r="P427" s="14">
        <f t="array" ref="P427">MMULT(M427:O427,$I$9:$I$11)</f>
        <v>2.6125093088276044E-3</v>
      </c>
    </row>
    <row r="428" spans="2:16" x14ac:dyDescent="0.25">
      <c r="B428" s="9">
        <v>35888</v>
      </c>
      <c r="C428" s="10">
        <v>5.5034618378E-2</v>
      </c>
      <c r="D428" s="11">
        <v>1122.7</v>
      </c>
      <c r="E428" s="11">
        <v>0.94462870326798132</v>
      </c>
      <c r="L428" s="9">
        <v>35888</v>
      </c>
      <c r="M428" s="14">
        <f t="shared" si="21"/>
        <v>-1.6004259413054722E-2</v>
      </c>
      <c r="N428" s="14">
        <f t="shared" si="22"/>
        <v>2.4017642699618591E-3</v>
      </c>
      <c r="O428" s="14">
        <f t="shared" si="23"/>
        <v>-9.1989898505662193E-4</v>
      </c>
      <c r="P428" s="14">
        <f t="array" ref="P428">MMULT(M428:O428,$I$9:$I$11)</f>
        <v>-2.3189106756178182E-5</v>
      </c>
    </row>
    <row r="429" spans="2:16" x14ac:dyDescent="0.25">
      <c r="B429" s="9">
        <v>35891</v>
      </c>
      <c r="C429" s="10">
        <v>5.5526437759E-2</v>
      </c>
      <c r="D429" s="11">
        <v>1121.3800000000001</v>
      </c>
      <c r="E429" s="11">
        <v>0.94227702239201661</v>
      </c>
      <c r="L429" s="9">
        <v>35891</v>
      </c>
      <c r="M429" s="14">
        <f t="shared" si="21"/>
        <v>8.9365456778855989E-3</v>
      </c>
      <c r="N429" s="14">
        <f t="shared" si="22"/>
        <v>-1.1757370624386754E-3</v>
      </c>
      <c r="O429" s="14">
        <f t="shared" si="23"/>
        <v>-2.4895293439940458E-3</v>
      </c>
      <c r="P429" s="14">
        <f t="array" ref="P429">MMULT(M429:O429,$I$9:$I$11)</f>
        <v>-2.1348604849139811E-3</v>
      </c>
    </row>
    <row r="430" spans="2:16" x14ac:dyDescent="0.25">
      <c r="B430" s="9">
        <v>35892</v>
      </c>
      <c r="C430" s="10">
        <v>5.5713329314999997E-2</v>
      </c>
      <c r="D430" s="11">
        <v>1109.55</v>
      </c>
      <c r="E430" s="11">
        <v>0.94028270103962452</v>
      </c>
      <c r="L430" s="9">
        <v>35892</v>
      </c>
      <c r="M430" s="14">
        <f t="shared" si="21"/>
        <v>3.365812098574672E-3</v>
      </c>
      <c r="N430" s="14">
        <f t="shared" si="22"/>
        <v>-1.054950150707179E-2</v>
      </c>
      <c r="O430" s="14">
        <f t="shared" si="23"/>
        <v>-2.1164915465404777E-3</v>
      </c>
      <c r="P430" s="14">
        <f t="array" ref="P430">MMULT(M430:O430,$I$9:$I$11)</f>
        <v>-4.393050834719252E-3</v>
      </c>
    </row>
    <row r="431" spans="2:16" x14ac:dyDescent="0.25">
      <c r="B431" s="9">
        <v>35893</v>
      </c>
      <c r="C431" s="10">
        <v>5.6224818230000001E-2</v>
      </c>
      <c r="D431" s="11">
        <v>1101.6500000000001</v>
      </c>
      <c r="E431" s="11">
        <v>0.93291993337444079</v>
      </c>
      <c r="L431" s="9">
        <v>35893</v>
      </c>
      <c r="M431" s="14">
        <f t="shared" si="21"/>
        <v>9.1807278669000514E-3</v>
      </c>
      <c r="N431" s="14">
        <f t="shared" si="22"/>
        <v>-7.1200036050650395E-3</v>
      </c>
      <c r="O431" s="14">
        <f t="shared" si="23"/>
        <v>-7.8303766059325541E-3</v>
      </c>
      <c r="P431" s="14">
        <f t="array" ref="P431">MMULT(M431:O431,$I$9:$I$11)</f>
        <v>-7.638605665216805E-3</v>
      </c>
    </row>
    <row r="432" spans="2:16" x14ac:dyDescent="0.25">
      <c r="B432" s="9">
        <v>35894</v>
      </c>
      <c r="C432" s="10">
        <v>5.6116619109999995E-2</v>
      </c>
      <c r="D432" s="11">
        <v>1110.67</v>
      </c>
      <c r="E432" s="11">
        <v>0.92944219119335125</v>
      </c>
      <c r="L432" s="9">
        <v>35894</v>
      </c>
      <c r="M432" s="14">
        <f t="shared" si="21"/>
        <v>-1.9244014192699721E-3</v>
      </c>
      <c r="N432" s="14">
        <f t="shared" si="22"/>
        <v>8.1877184223664301E-3</v>
      </c>
      <c r="O432" s="14">
        <f t="shared" si="23"/>
        <v>-3.7278034873906574E-3</v>
      </c>
      <c r="P432" s="14">
        <f t="array" ref="P432">MMULT(M432:O432,$I$9:$I$11)</f>
        <v>-5.1111191414293482E-4</v>
      </c>
    </row>
    <row r="433" spans="2:16" x14ac:dyDescent="0.25">
      <c r="B433" s="9">
        <v>35895</v>
      </c>
      <c r="C433" s="10">
        <v>5.6116619109999995E-2</v>
      </c>
      <c r="D433" s="11">
        <v>1110.67</v>
      </c>
      <c r="E433" s="11">
        <v>0.92944219119335125</v>
      </c>
      <c r="L433" s="9">
        <v>35895</v>
      </c>
      <c r="M433" s="14">
        <f t="shared" si="21"/>
        <v>0</v>
      </c>
      <c r="N433" s="14">
        <f t="shared" si="22"/>
        <v>0</v>
      </c>
      <c r="O433" s="14">
        <f t="shared" si="23"/>
        <v>0</v>
      </c>
      <c r="P433" s="14">
        <f t="array" ref="P433">MMULT(M433:O433,$I$9:$I$11)</f>
        <v>0</v>
      </c>
    </row>
    <row r="434" spans="2:16" x14ac:dyDescent="0.25">
      <c r="B434" s="9">
        <v>35898</v>
      </c>
      <c r="C434" s="10">
        <v>5.6883859634E-2</v>
      </c>
      <c r="D434" s="11">
        <v>1109.69</v>
      </c>
      <c r="E434" s="11">
        <v>0.93220396808926997</v>
      </c>
      <c r="L434" s="9">
        <v>35898</v>
      </c>
      <c r="M434" s="14">
        <f t="shared" si="21"/>
        <v>1.3672251396614987E-2</v>
      </c>
      <c r="N434" s="14">
        <f t="shared" si="22"/>
        <v>-8.8235029306638069E-4</v>
      </c>
      <c r="O434" s="14">
        <f t="shared" si="23"/>
        <v>2.9714348262721568E-3</v>
      </c>
      <c r="P434" s="14">
        <f t="array" ref="P434">MMULT(M434:O434,$I$9:$I$11)</f>
        <v>1.9310743441741923E-3</v>
      </c>
    </row>
    <row r="435" spans="2:16" x14ac:dyDescent="0.25">
      <c r="B435" s="9">
        <v>35899</v>
      </c>
      <c r="C435" s="10">
        <v>5.6519918442000001E-2</v>
      </c>
      <c r="D435" s="11">
        <v>1115.75</v>
      </c>
      <c r="E435" s="11">
        <v>0.92233406168661458</v>
      </c>
      <c r="L435" s="9">
        <v>35899</v>
      </c>
      <c r="M435" s="14">
        <f t="shared" si="21"/>
        <v>-6.397969377282986E-3</v>
      </c>
      <c r="N435" s="14">
        <f t="shared" si="22"/>
        <v>5.4609845993025541E-3</v>
      </c>
      <c r="O435" s="14">
        <f t="shared" si="23"/>
        <v>-1.0587711209689044E-2</v>
      </c>
      <c r="P435" s="14">
        <f t="array" ref="P435">MMULT(M435:O435,$I$9:$I$11)</f>
        <v>-6.2552358920844511E-3</v>
      </c>
    </row>
    <row r="436" spans="2:16" x14ac:dyDescent="0.25">
      <c r="B436" s="9">
        <v>35900</v>
      </c>
      <c r="C436" s="10">
        <v>5.6283841133000001E-2</v>
      </c>
      <c r="D436" s="11">
        <v>1119.32</v>
      </c>
      <c r="E436" s="11">
        <v>0.91890827853723367</v>
      </c>
      <c r="L436" s="9">
        <v>35900</v>
      </c>
      <c r="M436" s="14">
        <f t="shared" si="21"/>
        <v>-4.1768869366338723E-3</v>
      </c>
      <c r="N436" s="14">
        <f t="shared" si="22"/>
        <v>3.1996414967510045E-3</v>
      </c>
      <c r="O436" s="14">
        <f t="shared" si="23"/>
        <v>-3.714254185860133E-3</v>
      </c>
      <c r="P436" s="14">
        <f t="array" ref="P436">MMULT(M436:O436,$I$9:$I$11)</f>
        <v>-1.8477920913749705E-3</v>
      </c>
    </row>
    <row r="437" spans="2:16" x14ac:dyDescent="0.25">
      <c r="B437" s="9">
        <v>35901</v>
      </c>
      <c r="C437" s="10">
        <v>5.6155967712000002E-2</v>
      </c>
      <c r="D437" s="11">
        <v>1108.17</v>
      </c>
      <c r="E437" s="11">
        <v>0.92432815589736139</v>
      </c>
      <c r="L437" s="9">
        <v>35901</v>
      </c>
      <c r="M437" s="14">
        <f t="shared" si="21"/>
        <v>-2.2719384183078617E-3</v>
      </c>
      <c r="N437" s="14">
        <f t="shared" si="22"/>
        <v>-9.9614051388341451E-3</v>
      </c>
      <c r="O437" s="14">
        <f t="shared" si="23"/>
        <v>5.8981701294011923E-3</v>
      </c>
      <c r="P437" s="14">
        <f t="array" ref="P437">MMULT(M437:O437,$I$9:$I$11)</f>
        <v>1.6167494323483505E-3</v>
      </c>
    </row>
    <row r="438" spans="2:16" x14ac:dyDescent="0.25">
      <c r="B438" s="9">
        <v>35902</v>
      </c>
      <c r="C438" s="10">
        <v>5.6126461029000006E-2</v>
      </c>
      <c r="D438" s="11">
        <v>1122.72</v>
      </c>
      <c r="E438" s="11">
        <v>0.92427794639215011</v>
      </c>
      <c r="L438" s="9">
        <v>35902</v>
      </c>
      <c r="M438" s="14">
        <f t="shared" si="21"/>
        <v>-5.2544162628131996E-4</v>
      </c>
      <c r="N438" s="14">
        <f t="shared" si="22"/>
        <v>1.3129754460055709E-2</v>
      </c>
      <c r="O438" s="14">
        <f t="shared" si="23"/>
        <v>-5.4319999765128912E-5</v>
      </c>
      <c r="P438" s="14">
        <f t="array" ref="P438">MMULT(M438:O438,$I$9:$I$11)</f>
        <v>3.5048276009160715E-3</v>
      </c>
    </row>
    <row r="439" spans="2:16" x14ac:dyDescent="0.25">
      <c r="B439" s="9">
        <v>35905</v>
      </c>
      <c r="C439" s="10">
        <v>5.6618280410999998E-2</v>
      </c>
      <c r="D439" s="11">
        <v>1123.6500000000001</v>
      </c>
      <c r="E439" s="11">
        <v>0.92166908019294569</v>
      </c>
      <c r="L439" s="9">
        <v>35905</v>
      </c>
      <c r="M439" s="14">
        <f t="shared" si="21"/>
        <v>8.7627007472619312E-3</v>
      </c>
      <c r="N439" s="14">
        <f t="shared" si="22"/>
        <v>8.283454467721274E-4</v>
      </c>
      <c r="O439" s="14">
        <f t="shared" si="23"/>
        <v>-2.8225992077253181E-3</v>
      </c>
      <c r="P439" s="14">
        <f t="array" ref="P439">MMULT(M439:O439,$I$9:$I$11)</f>
        <v>-1.8369971507227504E-3</v>
      </c>
    </row>
    <row r="440" spans="2:16" x14ac:dyDescent="0.25">
      <c r="B440" s="9">
        <v>35906</v>
      </c>
      <c r="C440" s="10">
        <v>5.7001900673000004E-2</v>
      </c>
      <c r="D440" s="11">
        <v>1126.67</v>
      </c>
      <c r="E440" s="11">
        <v>0.91553382842737951</v>
      </c>
      <c r="L440" s="9">
        <v>35906</v>
      </c>
      <c r="M440" s="14">
        <f t="shared" si="21"/>
        <v>6.7755548069501348E-3</v>
      </c>
      <c r="N440" s="14">
        <f t="shared" si="22"/>
        <v>2.6876696480220286E-3</v>
      </c>
      <c r="O440" s="14">
        <f t="shared" si="23"/>
        <v>-6.6566752616695757E-3</v>
      </c>
      <c r="P440" s="14">
        <f t="array" ref="P440">MMULT(M440:O440,$I$9:$I$11)</f>
        <v>-4.1340937284249273E-3</v>
      </c>
    </row>
    <row r="441" spans="2:16" x14ac:dyDescent="0.25">
      <c r="B441" s="9">
        <v>35907</v>
      </c>
      <c r="C441" s="10">
        <v>5.7021570205999995E-2</v>
      </c>
      <c r="D441" s="11">
        <v>1130.54</v>
      </c>
      <c r="E441" s="11">
        <v>0.91619818852048263</v>
      </c>
      <c r="L441" s="9">
        <v>35907</v>
      </c>
      <c r="M441" s="14">
        <f t="shared" si="21"/>
        <v>3.4506801997413739E-4</v>
      </c>
      <c r="N441" s="14">
        <f t="shared" si="22"/>
        <v>3.4349010801741908E-3</v>
      </c>
      <c r="O441" s="14">
        <f t="shared" si="23"/>
        <v>7.2565324456030922E-4</v>
      </c>
      <c r="P441" s="14">
        <f t="array" ref="P441">MMULT(M441:O441,$I$9:$I$11)</f>
        <v>1.4570366240430521E-3</v>
      </c>
    </row>
    <row r="442" spans="2:16" x14ac:dyDescent="0.25">
      <c r="B442" s="9">
        <v>35908</v>
      </c>
      <c r="C442" s="10">
        <v>5.7110099791999998E-2</v>
      </c>
      <c r="D442" s="11">
        <v>1119.58</v>
      </c>
      <c r="E442" s="11">
        <v>0.91977758959281597</v>
      </c>
      <c r="L442" s="9">
        <v>35908</v>
      </c>
      <c r="M442" s="14">
        <f t="shared" si="21"/>
        <v>1.5525631034041254E-3</v>
      </c>
      <c r="N442" s="14">
        <f t="shared" si="22"/>
        <v>-9.6944822828028965E-3</v>
      </c>
      <c r="O442" s="14">
        <f t="shared" si="23"/>
        <v>3.906797805520057E-3</v>
      </c>
      <c r="P442" s="14">
        <f t="array" ref="P442">MMULT(M442:O442,$I$9:$I$11)</f>
        <v>2.3502216893089107E-4</v>
      </c>
    </row>
    <row r="443" spans="2:16" x14ac:dyDescent="0.25">
      <c r="B443" s="9">
        <v>35909</v>
      </c>
      <c r="C443" s="10">
        <v>5.6834678649999998E-2</v>
      </c>
      <c r="D443" s="11">
        <v>1107.9000000000001</v>
      </c>
      <c r="E443" s="11">
        <v>0.91803880059924303</v>
      </c>
      <c r="L443" s="9">
        <v>35909</v>
      </c>
      <c r="M443" s="14">
        <f t="shared" si="21"/>
        <v>-4.8226345778261681E-3</v>
      </c>
      <c r="N443" s="14">
        <f t="shared" si="22"/>
        <v>-1.0432483609924992E-2</v>
      </c>
      <c r="O443" s="14">
        <f t="shared" si="23"/>
        <v>-1.8904450524204197E-3</v>
      </c>
      <c r="P443" s="14">
        <f t="array" ref="P443">MMULT(M443:O443,$I$9:$I$11)</f>
        <v>-4.1964374927332794E-3</v>
      </c>
    </row>
    <row r="444" spans="2:16" x14ac:dyDescent="0.25">
      <c r="B444" s="9">
        <v>35912</v>
      </c>
      <c r="C444" s="10">
        <v>5.8241291045999996E-2</v>
      </c>
      <c r="D444" s="11">
        <v>1086.54</v>
      </c>
      <c r="E444" s="11">
        <v>0.91512423373130414</v>
      </c>
      <c r="L444" s="9">
        <v>35912</v>
      </c>
      <c r="M444" s="14">
        <f t="shared" si="21"/>
        <v>2.4749192384146523E-2</v>
      </c>
      <c r="N444" s="14">
        <f t="shared" si="22"/>
        <v>-1.9279718386136069E-2</v>
      </c>
      <c r="O444" s="14">
        <f t="shared" si="23"/>
        <v>-3.17477525572607E-3</v>
      </c>
      <c r="P444" s="14">
        <f t="array" ref="P444">MMULT(M444:O444,$I$9:$I$11)</f>
        <v>-7.5224349929636936E-3</v>
      </c>
    </row>
    <row r="445" spans="2:16" x14ac:dyDescent="0.25">
      <c r="B445" s="9">
        <v>35913</v>
      </c>
      <c r="C445" s="10">
        <v>5.8290472030999997E-2</v>
      </c>
      <c r="D445" s="11">
        <v>1085.1099999999999</v>
      </c>
      <c r="E445" s="11">
        <v>0.91793663501510214</v>
      </c>
      <c r="L445" s="9">
        <v>35913</v>
      </c>
      <c r="M445" s="14">
        <f t="shared" si="21"/>
        <v>8.4443500679198813E-4</v>
      </c>
      <c r="N445" s="14">
        <f t="shared" si="22"/>
        <v>-1.3161043311797904E-3</v>
      </c>
      <c r="O445" s="14">
        <f t="shared" si="23"/>
        <v>3.073245336680408E-3</v>
      </c>
      <c r="P445" s="14">
        <f t="array" ref="P445">MMULT(M445:O445,$I$9:$I$11)</f>
        <v>1.8883048703226548E-3</v>
      </c>
    </row>
    <row r="446" spans="2:16" x14ac:dyDescent="0.25">
      <c r="B446" s="9">
        <v>35914</v>
      </c>
      <c r="C446" s="10">
        <v>5.8359317780000003E-2</v>
      </c>
      <c r="D446" s="11">
        <v>1094.6300000000001</v>
      </c>
      <c r="E446" s="11">
        <v>0.91727145732590487</v>
      </c>
      <c r="L446" s="9">
        <v>35914</v>
      </c>
      <c r="M446" s="14">
        <f t="shared" si="21"/>
        <v>1.1810806569449994E-3</v>
      </c>
      <c r="N446" s="14">
        <f t="shared" si="22"/>
        <v>8.7733040889865777E-3</v>
      </c>
      <c r="O446" s="14">
        <f t="shared" si="23"/>
        <v>-7.246444512876149E-4</v>
      </c>
      <c r="P446" s="14">
        <f t="array" ref="P446">MMULT(M446:O446,$I$9:$I$11)</f>
        <v>1.8394036251649037E-3</v>
      </c>
    </row>
    <row r="447" spans="2:16" x14ac:dyDescent="0.25">
      <c r="B447" s="9">
        <v>35915</v>
      </c>
      <c r="C447" s="10">
        <v>5.7060918807999995E-2</v>
      </c>
      <c r="D447" s="11">
        <v>1111.75</v>
      </c>
      <c r="E447" s="11">
        <v>0.91763017411309278</v>
      </c>
      <c r="L447" s="9">
        <v>35915</v>
      </c>
      <c r="M447" s="14">
        <f t="shared" si="21"/>
        <v>-2.2248357612654868E-2</v>
      </c>
      <c r="N447" s="14">
        <f t="shared" si="22"/>
        <v>1.563998794113064E-2</v>
      </c>
      <c r="O447" s="14">
        <f t="shared" si="23"/>
        <v>3.9106938771826805E-4</v>
      </c>
      <c r="P447" s="14">
        <f t="array" ref="P447">MMULT(M447:O447,$I$9:$I$11)</f>
        <v>4.507638362488622E-3</v>
      </c>
    </row>
    <row r="448" spans="2:16" x14ac:dyDescent="0.25">
      <c r="B448" s="9">
        <v>35916</v>
      </c>
      <c r="C448" s="10">
        <v>5.6893701552999998E-2</v>
      </c>
      <c r="D448" s="11">
        <v>1121</v>
      </c>
      <c r="E448" s="11">
        <v>0.9098567393960284</v>
      </c>
      <c r="L448" s="9">
        <v>35916</v>
      </c>
      <c r="M448" s="14">
        <f t="shared" si="21"/>
        <v>-2.930504073421103E-3</v>
      </c>
      <c r="N448" s="14">
        <f t="shared" si="22"/>
        <v>8.3202158758712841E-3</v>
      </c>
      <c r="O448" s="14">
        <f t="shared" si="23"/>
        <v>-8.4712065234532341E-3</v>
      </c>
      <c r="P448" s="14">
        <f t="array" ref="P448">MMULT(M448:O448,$I$9:$I$11)</f>
        <v>-3.9382261518153333E-3</v>
      </c>
    </row>
    <row r="449" spans="2:16" x14ac:dyDescent="0.25">
      <c r="B449" s="9">
        <v>35919</v>
      </c>
      <c r="C449" s="10">
        <v>5.6933050156000004E-2</v>
      </c>
      <c r="D449" s="11">
        <v>1122.07</v>
      </c>
      <c r="E449" s="11">
        <v>0.91098167018108589</v>
      </c>
      <c r="L449" s="9">
        <v>35919</v>
      </c>
      <c r="M449" s="14">
        <f t="shared" si="21"/>
        <v>6.916161530350351E-4</v>
      </c>
      <c r="N449" s="14">
        <f t="shared" si="22"/>
        <v>9.5450490633353091E-4</v>
      </c>
      <c r="O449" s="14">
        <f t="shared" si="23"/>
        <v>1.2363823186101186E-3</v>
      </c>
      <c r="P449" s="14">
        <f t="array" ref="P449">MMULT(M449:O449,$I$9:$I$11)</f>
        <v>1.1602872298992744E-3</v>
      </c>
    </row>
    <row r="450" spans="2:16" x14ac:dyDescent="0.25">
      <c r="B450" s="9">
        <v>35920</v>
      </c>
      <c r="C450" s="10">
        <v>5.7218298911999997E-2</v>
      </c>
      <c r="D450" s="11">
        <v>1115.5</v>
      </c>
      <c r="E450" s="11">
        <v>0.9065340176969916</v>
      </c>
      <c r="L450" s="9">
        <v>35920</v>
      </c>
      <c r="M450" s="14">
        <f t="shared" si="21"/>
        <v>5.0102489717025467E-3</v>
      </c>
      <c r="N450" s="14">
        <f t="shared" si="22"/>
        <v>-5.8552496724803005E-3</v>
      </c>
      <c r="O450" s="14">
        <f t="shared" si="23"/>
        <v>-4.8822634194277681E-3</v>
      </c>
      <c r="P450" s="14">
        <f t="array" ref="P450">MMULT(M450:O450,$I$9:$I$11)</f>
        <v>-5.1449289329305471E-3</v>
      </c>
    </row>
    <row r="451" spans="2:16" x14ac:dyDescent="0.25">
      <c r="B451" s="9">
        <v>35921</v>
      </c>
      <c r="C451" s="10">
        <v>5.6913371086000003E-2</v>
      </c>
      <c r="D451" s="11">
        <v>1104.92</v>
      </c>
      <c r="E451" s="11">
        <v>0.90244315438172051</v>
      </c>
      <c r="L451" s="9">
        <v>35921</v>
      </c>
      <c r="M451" s="14">
        <f t="shared" si="21"/>
        <v>-5.3292011786117977E-3</v>
      </c>
      <c r="N451" s="14">
        <f t="shared" si="22"/>
        <v>-9.4845360824741265E-3</v>
      </c>
      <c r="O451" s="14">
        <f t="shared" si="23"/>
        <v>-4.5126418153217385E-3</v>
      </c>
      <c r="P451" s="14">
        <f t="array" ref="P451">MMULT(M451:O451,$I$9:$I$11)</f>
        <v>-5.8548449108598161E-3</v>
      </c>
    </row>
    <row r="452" spans="2:16" x14ac:dyDescent="0.25">
      <c r="B452" s="9">
        <v>35922</v>
      </c>
      <c r="C452" s="10">
        <v>5.6913371086000003E-2</v>
      </c>
      <c r="D452" s="11">
        <v>1095.1400000000001</v>
      </c>
      <c r="E452" s="11">
        <v>0.90193064543818435</v>
      </c>
      <c r="L452" s="9">
        <v>35922</v>
      </c>
      <c r="M452" s="14">
        <f t="shared" si="21"/>
        <v>0</v>
      </c>
      <c r="N452" s="14">
        <f t="shared" si="22"/>
        <v>-8.8513195525468102E-3</v>
      </c>
      <c r="O452" s="14">
        <f t="shared" si="23"/>
        <v>-5.6791271677081312E-4</v>
      </c>
      <c r="P452" s="14">
        <f t="array" ref="P452">MMULT(M452:O452,$I$9:$I$11)</f>
        <v>-2.8040854306663494E-3</v>
      </c>
    </row>
    <row r="453" spans="2:16" x14ac:dyDescent="0.25">
      <c r="B453" s="9">
        <v>35923</v>
      </c>
      <c r="C453" s="10">
        <v>5.7208461761000001E-2</v>
      </c>
      <c r="D453" s="11">
        <v>1108.1400000000001</v>
      </c>
      <c r="E453" s="11">
        <v>0.90448791017315722</v>
      </c>
      <c r="L453" s="9">
        <v>35923</v>
      </c>
      <c r="M453" s="14">
        <f t="shared" si="21"/>
        <v>5.1849094398941364E-3</v>
      </c>
      <c r="N453" s="14">
        <f t="shared" si="22"/>
        <v>1.1870628412805617E-2</v>
      </c>
      <c r="O453" s="14">
        <f t="shared" si="23"/>
        <v>2.8353230349884573E-3</v>
      </c>
      <c r="P453" s="14">
        <f t="array" ref="P453">MMULT(M453:O453,$I$9:$I$11)</f>
        <v>5.2744768455106174E-3</v>
      </c>
    </row>
    <row r="454" spans="2:16" x14ac:dyDescent="0.25">
      <c r="B454" s="9">
        <v>35926</v>
      </c>
      <c r="C454" s="10">
        <v>5.8015050887999998E-2</v>
      </c>
      <c r="D454" s="11">
        <v>1106.6400000000001</v>
      </c>
      <c r="E454" s="11">
        <v>0.90842459426839084</v>
      </c>
      <c r="L454" s="9">
        <v>35926</v>
      </c>
      <c r="M454" s="14">
        <f t="shared" si="21"/>
        <v>1.4099122790081076E-2</v>
      </c>
      <c r="N454" s="14">
        <f t="shared" si="22"/>
        <v>-1.3536195787535732E-3</v>
      </c>
      <c r="O454" s="14">
        <f t="shared" si="23"/>
        <v>4.3523899556379142E-3</v>
      </c>
      <c r="P454" s="14">
        <f t="array" ref="P454">MMULT(M454:O454,$I$9:$I$11)</f>
        <v>2.8120065024281474E-3</v>
      </c>
    </row>
    <row r="455" spans="2:16" x14ac:dyDescent="0.25">
      <c r="B455" s="9">
        <v>35927</v>
      </c>
      <c r="C455" s="10">
        <v>5.7159280776999999E-2</v>
      </c>
      <c r="D455" s="11">
        <v>1115.79</v>
      </c>
      <c r="E455" s="11">
        <v>0.90750404281911456</v>
      </c>
      <c r="L455" s="9">
        <v>35927</v>
      </c>
      <c r="M455" s="14">
        <f t="shared" si="21"/>
        <v>-1.4750829274494559E-2</v>
      </c>
      <c r="N455" s="14">
        <f t="shared" si="22"/>
        <v>8.2682715246149563E-3</v>
      </c>
      <c r="O455" s="14">
        <f t="shared" si="23"/>
        <v>-1.0133493248469794E-3</v>
      </c>
      <c r="P455" s="14">
        <f t="array" ref="P455">MMULT(M455:O455,$I$9:$I$11)</f>
        <v>1.4922993407055335E-3</v>
      </c>
    </row>
    <row r="456" spans="2:16" x14ac:dyDescent="0.25">
      <c r="B456" s="9">
        <v>35928</v>
      </c>
      <c r="C456" s="10">
        <v>5.6962552071000004E-2</v>
      </c>
      <c r="D456" s="11">
        <v>1118.8599999999999</v>
      </c>
      <c r="E456" s="11">
        <v>0.90909000272817631</v>
      </c>
      <c r="L456" s="9">
        <v>35928</v>
      </c>
      <c r="M456" s="14">
        <f t="shared" si="21"/>
        <v>-3.4417631454725095E-3</v>
      </c>
      <c r="N456" s="14">
        <f t="shared" si="22"/>
        <v>2.7514137965027885E-3</v>
      </c>
      <c r="O456" s="14">
        <f t="shared" si="23"/>
        <v>1.7476064394545965E-3</v>
      </c>
      <c r="P456" s="14">
        <f t="array" ref="P456">MMULT(M456:O456,$I$9:$I$11)</f>
        <v>2.0185923594197939E-3</v>
      </c>
    </row>
    <row r="457" spans="2:16" x14ac:dyDescent="0.25">
      <c r="B457" s="9">
        <v>35929</v>
      </c>
      <c r="C457" s="10">
        <v>5.7296991347999995E-2</v>
      </c>
      <c r="D457" s="11">
        <v>1117.3699999999999</v>
      </c>
      <c r="E457" s="11">
        <v>0.90914172862585274</v>
      </c>
      <c r="L457" s="9">
        <v>35929</v>
      </c>
      <c r="M457" s="14">
        <f t="shared" ref="M457:M520" si="24">C457/C456-1</f>
        <v>5.8712130134748186E-3</v>
      </c>
      <c r="N457" s="14">
        <f t="shared" ref="N457:N520" si="25">D457/D456-1</f>
        <v>-1.3317126360760101E-3</v>
      </c>
      <c r="O457" s="14">
        <f t="shared" ref="O457:O520" si="26">E457/E456-1</f>
        <v>5.6898544171790633E-5</v>
      </c>
      <c r="P457" s="14">
        <f t="array" ref="P457">MMULT(M457:O457,$I$9:$I$11)</f>
        <v>-3.1796828212837054E-4</v>
      </c>
    </row>
    <row r="458" spans="2:16" x14ac:dyDescent="0.25">
      <c r="B458" s="9">
        <v>35930</v>
      </c>
      <c r="C458" s="10">
        <v>5.7267479896999998E-2</v>
      </c>
      <c r="D458" s="11">
        <v>1108.73</v>
      </c>
      <c r="E458" s="11">
        <v>0.91093131737635213</v>
      </c>
      <c r="L458" s="9">
        <v>35930</v>
      </c>
      <c r="M458" s="14">
        <f t="shared" si="24"/>
        <v>-5.1506109318644189E-4</v>
      </c>
      <c r="N458" s="14">
        <f t="shared" si="25"/>
        <v>-7.7324431477485689E-3</v>
      </c>
      <c r="O458" s="14">
        <f t="shared" si="26"/>
        <v>1.9684375869584159E-3</v>
      </c>
      <c r="P458" s="14">
        <f t="array" ref="P458">MMULT(M458:O458,$I$9:$I$11)</f>
        <v>-6.5039367773515704E-4</v>
      </c>
    </row>
    <row r="459" spans="2:16" x14ac:dyDescent="0.25">
      <c r="B459" s="9">
        <v>35933</v>
      </c>
      <c r="C459" s="10">
        <v>5.6864190102000001E-2</v>
      </c>
      <c r="D459" s="11">
        <v>1105.82</v>
      </c>
      <c r="E459" s="11">
        <v>0.91491962371864577</v>
      </c>
      <c r="L459" s="9">
        <v>35933</v>
      </c>
      <c r="M459" s="14">
        <f t="shared" si="24"/>
        <v>-7.0422130627250112E-3</v>
      </c>
      <c r="N459" s="14">
        <f t="shared" si="25"/>
        <v>-2.6246245704545368E-3</v>
      </c>
      <c r="O459" s="14">
        <f t="shared" si="26"/>
        <v>4.378273384848308E-3</v>
      </c>
      <c r="P459" s="14">
        <f t="array" ref="P459">MMULT(M459:O459,$I$9:$I$11)</f>
        <v>2.4877844065442438E-3</v>
      </c>
    </row>
    <row r="460" spans="2:16" x14ac:dyDescent="0.25">
      <c r="B460" s="9">
        <v>35934</v>
      </c>
      <c r="C460" s="10">
        <v>5.7001900673000004E-2</v>
      </c>
      <c r="D460" s="11">
        <v>1109.52</v>
      </c>
      <c r="E460" s="11">
        <v>0.91251628576370036</v>
      </c>
      <c r="L460" s="9">
        <v>35934</v>
      </c>
      <c r="M460" s="14">
        <f t="shared" si="24"/>
        <v>2.4217450517274308E-3</v>
      </c>
      <c r="N460" s="14">
        <f t="shared" si="25"/>
        <v>3.3459333345391418E-3</v>
      </c>
      <c r="O460" s="14">
        <f t="shared" si="26"/>
        <v>-2.6268296062742502E-3</v>
      </c>
      <c r="P460" s="14">
        <f t="array" ref="P460">MMULT(M460:O460,$I$9:$I$11)</f>
        <v>-1.0144339121344547E-3</v>
      </c>
    </row>
    <row r="461" spans="2:16" x14ac:dyDescent="0.25">
      <c r="B461" s="9">
        <v>35935</v>
      </c>
      <c r="C461" s="10">
        <v>5.6569099425999997E-2</v>
      </c>
      <c r="D461" s="11">
        <v>1119.06</v>
      </c>
      <c r="E461" s="11">
        <v>0.9051011723552197</v>
      </c>
      <c r="L461" s="9">
        <v>35935</v>
      </c>
      <c r="M461" s="14">
        <f t="shared" si="24"/>
        <v>-7.592751151980659E-3</v>
      </c>
      <c r="N461" s="14">
        <f t="shared" si="25"/>
        <v>8.5983127839064366E-3</v>
      </c>
      <c r="O461" s="14">
        <f t="shared" si="26"/>
        <v>-8.1260066523358709E-3</v>
      </c>
      <c r="P461" s="14">
        <f t="array" ref="P461">MMULT(M461:O461,$I$9:$I$11)</f>
        <v>-3.6111412686541207E-3</v>
      </c>
    </row>
    <row r="462" spans="2:16" x14ac:dyDescent="0.25">
      <c r="B462" s="9">
        <v>35936</v>
      </c>
      <c r="C462" s="10">
        <v>5.7021570205999995E-2</v>
      </c>
      <c r="D462" s="11">
        <v>1114.6400000000001</v>
      </c>
      <c r="E462" s="11">
        <v>0.89870965019111948</v>
      </c>
      <c r="L462" s="9">
        <v>35936</v>
      </c>
      <c r="M462" s="14">
        <f t="shared" si="24"/>
        <v>7.9985501729948894E-3</v>
      </c>
      <c r="N462" s="14">
        <f t="shared" si="25"/>
        <v>-3.9497435347521925E-3</v>
      </c>
      <c r="O462" s="14">
        <f t="shared" si="26"/>
        <v>-7.0616659875364363E-3</v>
      </c>
      <c r="P462" s="14">
        <f t="array" ref="P462">MMULT(M462:O462,$I$9:$I$11)</f>
        <v>-6.221577336255904E-3</v>
      </c>
    </row>
    <row r="463" spans="2:16" x14ac:dyDescent="0.25">
      <c r="B463" s="9">
        <v>35937</v>
      </c>
      <c r="C463" s="10">
        <v>5.6775660515000007E-2</v>
      </c>
      <c r="D463" s="11">
        <v>1110.47</v>
      </c>
      <c r="E463" s="11">
        <v>0.89865910452243436</v>
      </c>
      <c r="L463" s="9">
        <v>35937</v>
      </c>
      <c r="M463" s="14">
        <f t="shared" si="24"/>
        <v>-4.3125731212171337E-3</v>
      </c>
      <c r="N463" s="14">
        <f t="shared" si="25"/>
        <v>-3.7411182085695938E-3</v>
      </c>
      <c r="O463" s="14">
        <f t="shared" si="26"/>
        <v>-5.6242490190649974E-5</v>
      </c>
      <c r="P463" s="14">
        <f t="array" ref="P463">MMULT(M463:O463,$I$9:$I$11)</f>
        <v>-1.0510045124960865E-3</v>
      </c>
    </row>
    <row r="464" spans="2:16" x14ac:dyDescent="0.25">
      <c r="B464" s="9">
        <v>35940</v>
      </c>
      <c r="C464" s="10">
        <v>5.6775660515000007E-2</v>
      </c>
      <c r="D464" s="11">
        <v>1110.47</v>
      </c>
      <c r="E464" s="11">
        <v>0.90366953945662198</v>
      </c>
      <c r="L464" s="9">
        <v>35940</v>
      </c>
      <c r="M464" s="14">
        <f t="shared" si="24"/>
        <v>0</v>
      </c>
      <c r="N464" s="14">
        <f t="shared" si="25"/>
        <v>0</v>
      </c>
      <c r="O464" s="14">
        <f t="shared" si="26"/>
        <v>5.5754567098613705E-3</v>
      </c>
      <c r="P464" s="14">
        <f t="array" ref="P464">MMULT(M464:O464,$I$9:$I$11)</f>
        <v>4.0703170482127467E-3</v>
      </c>
    </row>
    <row r="465" spans="2:16" x14ac:dyDescent="0.25">
      <c r="B465" s="9">
        <v>35941</v>
      </c>
      <c r="C465" s="10">
        <v>5.6352701187000004E-2</v>
      </c>
      <c r="D465" s="11">
        <v>1094.02</v>
      </c>
      <c r="E465" s="11">
        <v>0.90617569935819553</v>
      </c>
      <c r="L465" s="9">
        <v>35941</v>
      </c>
      <c r="M465" s="14">
        <f t="shared" si="24"/>
        <v>-7.4496593111101905E-3</v>
      </c>
      <c r="N465" s="14">
        <f t="shared" si="25"/>
        <v>-1.4813547416859585E-2</v>
      </c>
      <c r="O465" s="14">
        <f t="shared" si="26"/>
        <v>2.7733145714754492E-3</v>
      </c>
      <c r="P465" s="14">
        <f t="array" ref="P465">MMULT(M465:O465,$I$9:$I$11)</f>
        <v>-1.974401154801225E-3</v>
      </c>
    </row>
    <row r="466" spans="2:16" x14ac:dyDescent="0.25">
      <c r="B466" s="9">
        <v>35942</v>
      </c>
      <c r="C466" s="10">
        <v>5.6126461029000006E-2</v>
      </c>
      <c r="D466" s="11">
        <v>1092.23</v>
      </c>
      <c r="E466" s="11">
        <v>0.91103361149212891</v>
      </c>
      <c r="L466" s="9">
        <v>35942</v>
      </c>
      <c r="M466" s="14">
        <f t="shared" si="24"/>
        <v>-4.0147171871893761E-3</v>
      </c>
      <c r="N466" s="14">
        <f t="shared" si="25"/>
        <v>-1.6361675289299216E-3</v>
      </c>
      <c r="O466" s="14">
        <f t="shared" si="26"/>
        <v>5.3608942916634206E-3</v>
      </c>
      <c r="P466" s="14">
        <f t="array" ref="P466">MMULT(M466:O466,$I$9:$I$11)</f>
        <v>3.4719808251567059E-3</v>
      </c>
    </row>
    <row r="467" spans="2:16" x14ac:dyDescent="0.25">
      <c r="B467" s="9">
        <v>35943</v>
      </c>
      <c r="C467" s="10">
        <v>5.6274008750999999E-2</v>
      </c>
      <c r="D467" s="11">
        <v>1097.5999999999999</v>
      </c>
      <c r="E467" s="11">
        <v>0.90919178515927945</v>
      </c>
      <c r="L467" s="9">
        <v>35943</v>
      </c>
      <c r="M467" s="14">
        <f t="shared" si="24"/>
        <v>2.6288442081490171E-3</v>
      </c>
      <c r="N467" s="14">
        <f t="shared" si="25"/>
        <v>4.9165468811513957E-3</v>
      </c>
      <c r="O467" s="14">
        <f t="shared" si="26"/>
        <v>-2.0216886727514316E-3</v>
      </c>
      <c r="P467" s="14">
        <f t="array" ref="P467">MMULT(M467:O467,$I$9:$I$11)</f>
        <v>-1.4865583302565988E-4</v>
      </c>
    </row>
    <row r="468" spans="2:16" x14ac:dyDescent="0.25">
      <c r="B468" s="9">
        <v>35944</v>
      </c>
      <c r="C468" s="10">
        <v>5.6047768593000001E-2</v>
      </c>
      <c r="D468" s="11">
        <v>1090.82</v>
      </c>
      <c r="E468" s="11">
        <v>0.9116475618573332</v>
      </c>
      <c r="L468" s="9">
        <v>35944</v>
      </c>
      <c r="M468" s="14">
        <f t="shared" si="24"/>
        <v>-4.0203312865280116E-3</v>
      </c>
      <c r="N468" s="14">
        <f t="shared" si="25"/>
        <v>-6.1771137026238598E-3</v>
      </c>
      <c r="O468" s="14">
        <f t="shared" si="26"/>
        <v>2.701054648908352E-3</v>
      </c>
      <c r="P468" s="14">
        <f t="array" ref="P468">MMULT(M468:O468,$I$9:$I$11)</f>
        <v>3.0432125036009743E-4</v>
      </c>
    </row>
    <row r="469" spans="2:16" x14ac:dyDescent="0.25">
      <c r="B469" s="9">
        <v>35947</v>
      </c>
      <c r="C469" s="10">
        <v>5.5654320717000001E-2</v>
      </c>
      <c r="D469" s="11">
        <v>1090.98</v>
      </c>
      <c r="E469" s="11">
        <v>0.91036861616105569</v>
      </c>
      <c r="L469" s="9">
        <v>35947</v>
      </c>
      <c r="M469" s="14">
        <f t="shared" si="24"/>
        <v>-7.0198669077636833E-3</v>
      </c>
      <c r="N469" s="14">
        <f t="shared" si="25"/>
        <v>1.4667864542272646E-4</v>
      </c>
      <c r="O469" s="14">
        <f t="shared" si="26"/>
        <v>-1.4028948793236573E-3</v>
      </c>
      <c r="P469" s="14">
        <f t="array" ref="P469">MMULT(M469:O469,$I$9:$I$11)</f>
        <v>-9.8457496543907287E-4</v>
      </c>
    </row>
    <row r="470" spans="2:16" x14ac:dyDescent="0.25">
      <c r="B470" s="9">
        <v>35948</v>
      </c>
      <c r="C470" s="10">
        <v>5.5890388488999992E-2</v>
      </c>
      <c r="D470" s="11">
        <v>1093.22</v>
      </c>
      <c r="E470" s="11">
        <v>0.91113582962886874</v>
      </c>
      <c r="L470" s="9">
        <v>35948</v>
      </c>
      <c r="M470" s="14">
        <f t="shared" si="24"/>
        <v>4.2416791537243093E-3</v>
      </c>
      <c r="N470" s="14">
        <f t="shared" si="25"/>
        <v>2.0531998753414715E-3</v>
      </c>
      <c r="O470" s="14">
        <f t="shared" si="26"/>
        <v>8.4275034770886492E-4</v>
      </c>
      <c r="P470" s="14">
        <f t="array" ref="P470">MMULT(M470:O470,$I$9:$I$11)</f>
        <v>1.1695209940025169E-3</v>
      </c>
    </row>
    <row r="471" spans="2:16" x14ac:dyDescent="0.25">
      <c r="B471" s="9">
        <v>35949</v>
      </c>
      <c r="C471" s="10">
        <v>5.5959239006E-2</v>
      </c>
      <c r="D471" s="11">
        <v>1082.73</v>
      </c>
      <c r="E471" s="11">
        <v>0.90607302522493405</v>
      </c>
      <c r="L471" s="9">
        <v>35949</v>
      </c>
      <c r="M471" s="14">
        <f t="shared" si="24"/>
        <v>1.2318847455061732E-3</v>
      </c>
      <c r="N471" s="14">
        <f t="shared" si="25"/>
        <v>-9.5955068513199349E-3</v>
      </c>
      <c r="O471" s="14">
        <f t="shared" si="26"/>
        <v>-5.5565857902842852E-3</v>
      </c>
      <c r="P471" s="14">
        <f t="array" ref="P471">MMULT(M471:O471,$I$9:$I$11)</f>
        <v>-6.646925218170157E-3</v>
      </c>
    </row>
    <row r="472" spans="2:16" x14ac:dyDescent="0.25">
      <c r="B472" s="9">
        <v>35950</v>
      </c>
      <c r="C472" s="10">
        <v>5.6155967712000002E-2</v>
      </c>
      <c r="D472" s="11">
        <v>1094.83</v>
      </c>
      <c r="E472" s="11">
        <v>0.90187973681690392</v>
      </c>
      <c r="L472" s="9">
        <v>35950</v>
      </c>
      <c r="M472" s="14">
        <f t="shared" si="24"/>
        <v>3.5155715033743373E-3</v>
      </c>
      <c r="N472" s="14">
        <f t="shared" si="25"/>
        <v>1.1175454637813553E-2</v>
      </c>
      <c r="O472" s="14">
        <f t="shared" si="26"/>
        <v>-4.6279806277084168E-3</v>
      </c>
      <c r="P472" s="14">
        <f t="array" ref="P472">MMULT(M472:O472,$I$9:$I$11)</f>
        <v>-3.617153787356395E-4</v>
      </c>
    </row>
    <row r="473" spans="2:16" x14ac:dyDescent="0.25">
      <c r="B473" s="9">
        <v>35951</v>
      </c>
      <c r="C473" s="10">
        <v>5.6008419991000001E-2</v>
      </c>
      <c r="D473" s="11">
        <v>1113.8599999999999</v>
      </c>
      <c r="E473" s="11">
        <v>0.90668667548141346</v>
      </c>
      <c r="L473" s="9">
        <v>35951</v>
      </c>
      <c r="M473" s="14">
        <f t="shared" si="24"/>
        <v>-2.6274628861657767E-3</v>
      </c>
      <c r="N473" s="14">
        <f t="shared" si="25"/>
        <v>1.7381693961619593E-2</v>
      </c>
      <c r="O473" s="14">
        <f t="shared" si="26"/>
        <v>5.3299109274538292E-3</v>
      </c>
      <c r="P473" s="14">
        <f t="array" ref="P473">MMULT(M473:O473,$I$9:$I$11)</f>
        <v>8.5833872940128501E-3</v>
      </c>
    </row>
    <row r="474" spans="2:16" x14ac:dyDescent="0.25">
      <c r="B474" s="9">
        <v>35954</v>
      </c>
      <c r="C474" s="10">
        <v>5.6018261909E-2</v>
      </c>
      <c r="D474" s="11">
        <v>1115.72</v>
      </c>
      <c r="E474" s="11">
        <v>0.90893653464881963</v>
      </c>
      <c r="L474" s="9">
        <v>35954</v>
      </c>
      <c r="M474" s="14">
        <f t="shared" si="24"/>
        <v>1.7572211466743148E-4</v>
      </c>
      <c r="N474" s="14">
        <f t="shared" si="25"/>
        <v>1.6698687447256333E-3</v>
      </c>
      <c r="O474" s="14">
        <f t="shared" si="26"/>
        <v>2.481407555936066E-3</v>
      </c>
      <c r="P474" s="14">
        <f t="array" ref="P474">MMULT(M474:O474,$I$9:$I$11)</f>
        <v>2.2623260859715422E-3</v>
      </c>
    </row>
    <row r="475" spans="2:16" x14ac:dyDescent="0.25">
      <c r="B475" s="9">
        <v>35955</v>
      </c>
      <c r="C475" s="10">
        <v>5.6047768593000001E-2</v>
      </c>
      <c r="D475" s="11">
        <v>1118.4100000000001</v>
      </c>
      <c r="E475" s="11">
        <v>0.9100106171120701</v>
      </c>
      <c r="L475" s="9">
        <v>35955</v>
      </c>
      <c r="M475" s="14">
        <f t="shared" si="24"/>
        <v>5.2673330079278102E-4</v>
      </c>
      <c r="N475" s="14">
        <f t="shared" si="25"/>
        <v>2.4109991754204252E-3</v>
      </c>
      <c r="O475" s="14">
        <f t="shared" si="26"/>
        <v>1.181691374816829E-3</v>
      </c>
      <c r="P475" s="14">
        <f t="array" ref="P475">MMULT(M475:O475,$I$9:$I$11)</f>
        <v>1.5135529645212025E-3</v>
      </c>
    </row>
    <row r="476" spans="2:16" x14ac:dyDescent="0.25">
      <c r="B476" s="9">
        <v>35956</v>
      </c>
      <c r="C476" s="10">
        <v>5.5319881438999997E-2</v>
      </c>
      <c r="D476" s="11">
        <v>1112.28</v>
      </c>
      <c r="E476" s="11">
        <v>0.91870348227198895</v>
      </c>
      <c r="L476" s="9">
        <v>35956</v>
      </c>
      <c r="M476" s="14">
        <f t="shared" si="24"/>
        <v>-1.2986906923729169E-2</v>
      </c>
      <c r="N476" s="14">
        <f t="shared" si="25"/>
        <v>-5.4809953416010693E-3</v>
      </c>
      <c r="O476" s="14">
        <f t="shared" si="26"/>
        <v>9.5524876264694303E-3</v>
      </c>
      <c r="P476" s="14">
        <f t="array" ref="P476">MMULT(M476:O476,$I$9:$I$11)</f>
        <v>5.4940772315074382E-3</v>
      </c>
    </row>
    <row r="477" spans="2:16" x14ac:dyDescent="0.25">
      <c r="B477" s="9">
        <v>35957</v>
      </c>
      <c r="C477" s="10">
        <v>5.4601821899000001E-2</v>
      </c>
      <c r="D477" s="11">
        <v>1094.58</v>
      </c>
      <c r="E477" s="11">
        <v>0.92253885671692937</v>
      </c>
      <c r="L477" s="9">
        <v>35957</v>
      </c>
      <c r="M477" s="14">
        <f t="shared" si="24"/>
        <v>-1.2980135194103459E-2</v>
      </c>
      <c r="N477" s="14">
        <f t="shared" si="25"/>
        <v>-1.5913259251267742E-2</v>
      </c>
      <c r="O477" s="14">
        <f t="shared" si="26"/>
        <v>4.1747685939486079E-3</v>
      </c>
      <c r="P477" s="14">
        <f t="array" ref="P477">MMULT(M477:O477,$I$9:$I$11)</f>
        <v>-1.248157097620225E-3</v>
      </c>
    </row>
    <row r="478" spans="2:16" x14ac:dyDescent="0.25">
      <c r="B478" s="9">
        <v>35958</v>
      </c>
      <c r="C478" s="10">
        <v>5.4454269409E-2</v>
      </c>
      <c r="D478" s="11">
        <v>1098.8399999999999</v>
      </c>
      <c r="E478" s="11">
        <v>0.92269187833350541</v>
      </c>
      <c r="L478" s="9">
        <v>35958</v>
      </c>
      <c r="M478" s="14">
        <f t="shared" si="24"/>
        <v>-2.702336384909243E-3</v>
      </c>
      <c r="N478" s="14">
        <f t="shared" si="25"/>
        <v>3.8919037439018034E-3</v>
      </c>
      <c r="O478" s="14">
        <f t="shared" si="26"/>
        <v>1.658701045077482E-4</v>
      </c>
      <c r="P478" s="14">
        <f t="array" ref="P478">MMULT(M478:O478,$I$9:$I$11)</f>
        <v>1.1717430406870701E-3</v>
      </c>
    </row>
    <row r="479" spans="2:16" x14ac:dyDescent="0.25">
      <c r="B479" s="9">
        <v>35961</v>
      </c>
      <c r="C479" s="10">
        <v>5.4159178733999995E-2</v>
      </c>
      <c r="D479" s="11">
        <v>1077.01</v>
      </c>
      <c r="E479" s="11">
        <v>0.9271923779950294</v>
      </c>
      <c r="L479" s="9">
        <v>35961</v>
      </c>
      <c r="M479" s="14">
        <f t="shared" si="24"/>
        <v>-5.4190548914284653E-3</v>
      </c>
      <c r="N479" s="14">
        <f t="shared" si="25"/>
        <v>-1.9866404572094098E-2</v>
      </c>
      <c r="O479" s="14">
        <f t="shared" si="26"/>
        <v>4.8775758920220902E-3</v>
      </c>
      <c r="P479" s="14">
        <f t="array" ref="P479">MMULT(M479:O479,$I$9:$I$11)</f>
        <v>-1.8022618901864301E-3</v>
      </c>
    </row>
    <row r="480" spans="2:16" x14ac:dyDescent="0.25">
      <c r="B480" s="9">
        <v>35962</v>
      </c>
      <c r="C480" s="10">
        <v>5.4778881073000003E-2</v>
      </c>
      <c r="D480" s="11">
        <v>1087.5899999999999</v>
      </c>
      <c r="E480" s="11">
        <v>0.91941870378393509</v>
      </c>
      <c r="L480" s="9">
        <v>35962</v>
      </c>
      <c r="M480" s="14">
        <f t="shared" si="24"/>
        <v>1.1442240327233177E-2</v>
      </c>
      <c r="N480" s="14">
        <f t="shared" si="25"/>
        <v>9.8234928180795933E-3</v>
      </c>
      <c r="O480" s="14">
        <f t="shared" si="26"/>
        <v>-8.3841006414485664E-3</v>
      </c>
      <c r="P480" s="14">
        <f t="array" ref="P480">MMULT(M480:O480,$I$9:$I$11)</f>
        <v>-3.4688134308711021E-3</v>
      </c>
    </row>
    <row r="481" spans="2:16" x14ac:dyDescent="0.25">
      <c r="B481" s="9">
        <v>35963</v>
      </c>
      <c r="C481" s="10">
        <v>5.5752677916999997E-2</v>
      </c>
      <c r="D481" s="11">
        <v>1107.1099999999999</v>
      </c>
      <c r="E481" s="11">
        <v>0.91532893528123149</v>
      </c>
      <c r="L481" s="9">
        <v>35963</v>
      </c>
      <c r="M481" s="14">
        <f t="shared" si="24"/>
        <v>1.7776866283600867E-2</v>
      </c>
      <c r="N481" s="14">
        <f t="shared" si="25"/>
        <v>1.794793994060262E-2</v>
      </c>
      <c r="O481" s="14">
        <f t="shared" si="26"/>
        <v>-4.4482111206480823E-3</v>
      </c>
      <c r="P481" s="14">
        <f t="array" ref="P481">MMULT(M481:O481,$I$9:$I$11)</f>
        <v>1.5978111129996615E-3</v>
      </c>
    </row>
    <row r="482" spans="2:16" x14ac:dyDescent="0.25">
      <c r="B482" s="9">
        <v>35964</v>
      </c>
      <c r="C482" s="10">
        <v>5.5369057655000005E-2</v>
      </c>
      <c r="D482" s="11">
        <v>1106.3699999999999</v>
      </c>
      <c r="E482" s="11">
        <v>0.91527820071105415</v>
      </c>
      <c r="L482" s="9">
        <v>35964</v>
      </c>
      <c r="M482" s="14">
        <f t="shared" si="24"/>
        <v>-6.8807504201160441E-3</v>
      </c>
      <c r="N482" s="14">
        <f t="shared" si="25"/>
        <v>-6.684069333671161E-4</v>
      </c>
      <c r="O482" s="14">
        <f t="shared" si="26"/>
        <v>-5.5427691862175443E-5</v>
      </c>
      <c r="P482" s="14">
        <f t="array" ref="P482">MMULT(M482:O482,$I$9:$I$11)</f>
        <v>-2.2090639901894152E-4</v>
      </c>
    </row>
    <row r="483" spans="2:16" x14ac:dyDescent="0.25">
      <c r="B483" s="9">
        <v>35965</v>
      </c>
      <c r="C483" s="10">
        <v>5.5073971748000002E-2</v>
      </c>
      <c r="D483" s="11">
        <v>1100.6500000000001</v>
      </c>
      <c r="E483" s="11">
        <v>0.91169789471656637</v>
      </c>
      <c r="L483" s="9">
        <v>35965</v>
      </c>
      <c r="M483" s="14">
        <f t="shared" si="24"/>
        <v>-5.3294370447598549E-3</v>
      </c>
      <c r="N483" s="14">
        <f t="shared" si="25"/>
        <v>-5.1700606487882217E-3</v>
      </c>
      <c r="O483" s="14">
        <f t="shared" si="26"/>
        <v>-3.9117133913014746E-3</v>
      </c>
      <c r="P483" s="14">
        <f t="array" ref="P483">MMULT(M483:O483,$I$9:$I$11)</f>
        <v>-4.2514144174111666E-3</v>
      </c>
    </row>
    <row r="484" spans="2:16" x14ac:dyDescent="0.25">
      <c r="B484" s="9">
        <v>35968</v>
      </c>
      <c r="C484" s="10">
        <v>5.4985442161999999E-2</v>
      </c>
      <c r="D484" s="11">
        <v>1103.24</v>
      </c>
      <c r="E484" s="11">
        <v>0.91757918412462647</v>
      </c>
      <c r="L484" s="9">
        <v>35968</v>
      </c>
      <c r="M484" s="14">
        <f t="shared" si="24"/>
        <v>-1.6074668884438204E-3</v>
      </c>
      <c r="N484" s="14">
        <f t="shared" si="25"/>
        <v>2.3531549538908791E-3</v>
      </c>
      <c r="O484" s="14">
        <f t="shared" si="26"/>
        <v>6.4509191500201624E-3</v>
      </c>
      <c r="P484" s="14">
        <f t="array" ref="P484">MMULT(M484:O484,$I$9:$I$11)</f>
        <v>5.3446945415914068E-3</v>
      </c>
    </row>
    <row r="485" spans="2:16" x14ac:dyDescent="0.25">
      <c r="B485" s="9">
        <v>35969</v>
      </c>
      <c r="C485" s="10">
        <v>5.4818220138999993E-2</v>
      </c>
      <c r="D485" s="11">
        <v>1119.49</v>
      </c>
      <c r="E485" s="11">
        <v>0.92090233106102648</v>
      </c>
      <c r="L485" s="9">
        <v>35969</v>
      </c>
      <c r="M485" s="14">
        <f t="shared" si="24"/>
        <v>-3.0412053886432755E-3</v>
      </c>
      <c r="N485" s="14">
        <f t="shared" si="25"/>
        <v>1.4729342663427625E-2</v>
      </c>
      <c r="O485" s="14">
        <f t="shared" si="26"/>
        <v>3.6216459504476717E-3</v>
      </c>
      <c r="P485" s="14">
        <f t="array" ref="P485">MMULT(M485:O485,$I$9:$I$11)</f>
        <v>6.6202585740018543E-3</v>
      </c>
    </row>
    <row r="486" spans="2:16" x14ac:dyDescent="0.25">
      <c r="B486" s="9">
        <v>35970</v>
      </c>
      <c r="C486" s="10">
        <v>5.4936261176999998E-2</v>
      </c>
      <c r="D486" s="11">
        <v>1132.8800000000001</v>
      </c>
      <c r="E486" s="11">
        <v>0.92120926200189535</v>
      </c>
      <c r="L486" s="9">
        <v>35970</v>
      </c>
      <c r="M486" s="14">
        <f t="shared" si="24"/>
        <v>2.1533175958776685E-3</v>
      </c>
      <c r="N486" s="14">
        <f t="shared" si="25"/>
        <v>1.1960803580201684E-2</v>
      </c>
      <c r="O486" s="14">
        <f t="shared" si="26"/>
        <v>3.3329369523382724E-4</v>
      </c>
      <c r="P486" s="14">
        <f t="array" ref="P486">MMULT(M486:O486,$I$9:$I$11)</f>
        <v>3.4722340914747829E-3</v>
      </c>
    </row>
    <row r="487" spans="2:16" x14ac:dyDescent="0.25">
      <c r="B487" s="9">
        <v>35971</v>
      </c>
      <c r="C487" s="10">
        <v>5.4975600243000002E-2</v>
      </c>
      <c r="D487" s="11">
        <v>1129.28</v>
      </c>
      <c r="E487" s="11">
        <v>0.91814098901210273</v>
      </c>
      <c r="L487" s="9">
        <v>35971</v>
      </c>
      <c r="M487" s="14">
        <f t="shared" si="24"/>
        <v>7.1608560825153766E-4</v>
      </c>
      <c r="N487" s="14">
        <f t="shared" si="25"/>
        <v>-3.1777416849093632E-3</v>
      </c>
      <c r="O487" s="14">
        <f t="shared" si="26"/>
        <v>-3.330701412103565E-3</v>
      </c>
      <c r="P487" s="14">
        <f t="array" ref="P487">MMULT(M487:O487,$I$9:$I$11)</f>
        <v>-3.2894086958265749E-3</v>
      </c>
    </row>
    <row r="488" spans="2:16" x14ac:dyDescent="0.25">
      <c r="B488" s="9">
        <v>35972</v>
      </c>
      <c r="C488" s="10">
        <v>5.4798550606000002E-2</v>
      </c>
      <c r="D488" s="11">
        <v>1133.2</v>
      </c>
      <c r="E488" s="11">
        <v>0.92545395315021783</v>
      </c>
      <c r="L488" s="9">
        <v>35972</v>
      </c>
      <c r="M488" s="14">
        <f t="shared" si="24"/>
        <v>-3.2205130315524633E-3</v>
      </c>
      <c r="N488" s="14">
        <f t="shared" si="25"/>
        <v>3.471238311136382E-3</v>
      </c>
      <c r="O488" s="14">
        <f t="shared" si="26"/>
        <v>7.9649685893923294E-3</v>
      </c>
      <c r="P488" s="14">
        <f t="array" ref="P488">MMULT(M488:O488,$I$9:$I$11)</f>
        <v>6.7518497324937877E-3</v>
      </c>
    </row>
    <row r="489" spans="2:16" x14ac:dyDescent="0.25">
      <c r="B489" s="9">
        <v>35975</v>
      </c>
      <c r="C489" s="10">
        <v>5.4955930710000003E-2</v>
      </c>
      <c r="D489" s="11">
        <v>1138.49</v>
      </c>
      <c r="E489" s="11">
        <v>0.92724280216346555</v>
      </c>
      <c r="L489" s="9">
        <v>35975</v>
      </c>
      <c r="M489" s="14">
        <f t="shared" si="24"/>
        <v>2.8719756683266429E-3</v>
      </c>
      <c r="N489" s="14">
        <f t="shared" si="25"/>
        <v>4.6681962583832171E-3</v>
      </c>
      <c r="O489" s="14">
        <f t="shared" si="26"/>
        <v>1.9329422140976771E-3</v>
      </c>
      <c r="P489" s="14">
        <f t="array" ref="P489">MMULT(M489:O489,$I$9:$I$11)</f>
        <v>2.6713461800826144E-3</v>
      </c>
    </row>
    <row r="490" spans="2:16" x14ac:dyDescent="0.25">
      <c r="B490" s="9">
        <v>35976</v>
      </c>
      <c r="C490" s="10">
        <v>5.4739527702000003E-2</v>
      </c>
      <c r="D490" s="11">
        <v>1133.8399999999999</v>
      </c>
      <c r="E490" s="11">
        <v>0.92299837855610334</v>
      </c>
      <c r="L490" s="9">
        <v>35976</v>
      </c>
      <c r="M490" s="14">
        <f t="shared" si="24"/>
        <v>-3.9377553105587326E-3</v>
      </c>
      <c r="N490" s="14">
        <f t="shared" si="25"/>
        <v>-4.0843573505258135E-3</v>
      </c>
      <c r="O490" s="14">
        <f t="shared" si="26"/>
        <v>-4.5774673014005174E-3</v>
      </c>
      <c r="P490" s="14">
        <f t="array" ref="P490">MMULT(M490:O490,$I$9:$I$11)</f>
        <v>-4.4443482793655358E-3</v>
      </c>
    </row>
    <row r="491" spans="2:16" x14ac:dyDescent="0.25">
      <c r="B491" s="9">
        <v>35977</v>
      </c>
      <c r="C491" s="10">
        <v>5.4611649512999995E-2</v>
      </c>
      <c r="D491" s="11">
        <v>1148.56</v>
      </c>
      <c r="E491" s="11">
        <v>0.92990191728318294</v>
      </c>
      <c r="L491" s="9">
        <v>35977</v>
      </c>
      <c r="M491" s="14">
        <f t="shared" si="24"/>
        <v>-2.3361215262245327E-3</v>
      </c>
      <c r="N491" s="14">
        <f t="shared" si="25"/>
        <v>1.2982431383616655E-2</v>
      </c>
      <c r="O491" s="14">
        <f t="shared" si="26"/>
        <v>7.4794700483431509E-3</v>
      </c>
      <c r="P491" s="14">
        <f t="array" ref="P491">MMULT(M491:O491,$I$9:$I$11)</f>
        <v>8.9650389969082572E-3</v>
      </c>
    </row>
    <row r="492" spans="2:16" x14ac:dyDescent="0.25">
      <c r="B492" s="9">
        <v>35978</v>
      </c>
      <c r="C492" s="10">
        <v>5.4385418892E-2</v>
      </c>
      <c r="D492" s="11">
        <v>1146.42</v>
      </c>
      <c r="E492" s="11">
        <v>0.9317437228611275</v>
      </c>
      <c r="L492" s="9">
        <v>35978</v>
      </c>
      <c r="M492" s="14">
        <f t="shared" si="24"/>
        <v>-4.1425341116302361E-3</v>
      </c>
      <c r="N492" s="14">
        <f t="shared" si="25"/>
        <v>-1.8632026189314699E-3</v>
      </c>
      <c r="O492" s="14">
        <f t="shared" si="26"/>
        <v>1.9806449946093707E-3</v>
      </c>
      <c r="P492" s="14">
        <f t="array" ref="P492">MMULT(M492:O492,$I$9:$I$11)</f>
        <v>9.4296722262688824E-4</v>
      </c>
    </row>
    <row r="493" spans="2:16" x14ac:dyDescent="0.25">
      <c r="B493" s="9">
        <v>35979</v>
      </c>
      <c r="C493" s="10">
        <v>5.4385418892E-2</v>
      </c>
      <c r="D493" s="11">
        <v>1146.42</v>
      </c>
      <c r="E493" s="11">
        <v>0.92990191728318294</v>
      </c>
      <c r="L493" s="9">
        <v>35979</v>
      </c>
      <c r="M493" s="14">
        <f t="shared" si="24"/>
        <v>0</v>
      </c>
      <c r="N493" s="14">
        <f t="shared" si="25"/>
        <v>0</v>
      </c>
      <c r="O493" s="14">
        <f t="shared" si="26"/>
        <v>-1.976729794635923E-3</v>
      </c>
      <c r="P493" s="14">
        <f t="array" ref="P493">MMULT(M493:O493,$I$9:$I$11)</f>
        <v>-1.4430955886691361E-3</v>
      </c>
    </row>
    <row r="494" spans="2:16" x14ac:dyDescent="0.25">
      <c r="B494" s="9">
        <v>35982</v>
      </c>
      <c r="C494" s="10">
        <v>5.4169020653000007E-2</v>
      </c>
      <c r="D494" s="11">
        <v>1157.33</v>
      </c>
      <c r="E494" s="11">
        <v>0.92453363366004704</v>
      </c>
      <c r="L494" s="9">
        <v>35982</v>
      </c>
      <c r="M494" s="14">
        <f t="shared" si="24"/>
        <v>-3.9789753100867298E-3</v>
      </c>
      <c r="N494" s="14">
        <f t="shared" si="25"/>
        <v>9.5165820554419245E-3</v>
      </c>
      <c r="O494" s="14">
        <f t="shared" si="26"/>
        <v>-5.7729568284147215E-3</v>
      </c>
      <c r="P494" s="14">
        <f t="array" ref="P494">MMULT(M494:O494,$I$9:$I$11)</f>
        <v>-1.6454220666958625E-3</v>
      </c>
    </row>
    <row r="495" spans="2:16" x14ac:dyDescent="0.25">
      <c r="B495" s="9">
        <v>35983</v>
      </c>
      <c r="C495" s="10">
        <v>5.4414930343999995E-2</v>
      </c>
      <c r="D495" s="11">
        <v>1154.6600000000001</v>
      </c>
      <c r="E495" s="11">
        <v>0.9266815792387042</v>
      </c>
      <c r="L495" s="9">
        <v>35983</v>
      </c>
      <c r="M495" s="14">
        <f t="shared" si="24"/>
        <v>4.5396739323617652E-3</v>
      </c>
      <c r="N495" s="14">
        <f t="shared" si="25"/>
        <v>-2.3070342944534472E-3</v>
      </c>
      <c r="O495" s="14">
        <f t="shared" si="26"/>
        <v>2.323274676502507E-3</v>
      </c>
      <c r="P495" s="14">
        <f t="array" ref="P495">MMULT(M495:O495,$I$9:$I$11)</f>
        <v>1.0732852961623058E-3</v>
      </c>
    </row>
    <row r="496" spans="2:16" x14ac:dyDescent="0.25">
      <c r="B496" s="9">
        <v>35984</v>
      </c>
      <c r="C496" s="10">
        <v>5.4582152367000002E-2</v>
      </c>
      <c r="D496" s="11">
        <v>1166.3800000000001</v>
      </c>
      <c r="E496" s="11">
        <v>0.92959596649797493</v>
      </c>
      <c r="L496" s="9">
        <v>35984</v>
      </c>
      <c r="M496" s="14">
        <f t="shared" si="24"/>
        <v>3.0730908216340946E-3</v>
      </c>
      <c r="N496" s="14">
        <f t="shared" si="25"/>
        <v>1.0150174077217633E-2</v>
      </c>
      <c r="O496" s="14">
        <f t="shared" si="26"/>
        <v>3.1449716111384696E-3</v>
      </c>
      <c r="P496" s="14">
        <f t="array" ref="P496">MMULT(M496:O496,$I$9:$I$11)</f>
        <v>5.0360827107772755E-3</v>
      </c>
    </row>
    <row r="497" spans="2:16" x14ac:dyDescent="0.25">
      <c r="B497" s="9">
        <v>35985</v>
      </c>
      <c r="C497" s="10">
        <v>5.4316558838000004E-2</v>
      </c>
      <c r="D497" s="11">
        <v>1158.56</v>
      </c>
      <c r="E497" s="11">
        <v>0.93537399872740634</v>
      </c>
      <c r="L497" s="9">
        <v>35985</v>
      </c>
      <c r="M497" s="14">
        <f t="shared" si="24"/>
        <v>-4.8659409254182551E-3</v>
      </c>
      <c r="N497" s="14">
        <f t="shared" si="25"/>
        <v>-6.7045045354002797E-3</v>
      </c>
      <c r="O497" s="14">
        <f t="shared" si="26"/>
        <v>6.2156382317348768E-3</v>
      </c>
      <c r="P497" s="14">
        <f t="array" ref="P497">MMULT(M497:O497,$I$9:$I$11)</f>
        <v>2.7277411275241541E-3</v>
      </c>
    </row>
    <row r="498" spans="2:16" x14ac:dyDescent="0.25">
      <c r="B498" s="9">
        <v>35986</v>
      </c>
      <c r="C498" s="10">
        <v>5.4375581741000004E-2</v>
      </c>
      <c r="D498" s="11">
        <v>1164.33</v>
      </c>
      <c r="E498" s="11">
        <v>0.92980049533161369</v>
      </c>
      <c r="L498" s="9">
        <v>35986</v>
      </c>
      <c r="M498" s="14">
        <f t="shared" si="24"/>
        <v>1.0866465818653026E-3</v>
      </c>
      <c r="N498" s="14">
        <f t="shared" si="25"/>
        <v>4.9803203977349941E-3</v>
      </c>
      <c r="O498" s="14">
        <f t="shared" si="26"/>
        <v>-5.9585827737091979E-3</v>
      </c>
      <c r="P498" s="14">
        <f t="array" ref="P498">MMULT(M498:O498,$I$9:$I$11)</f>
        <v>-3.0055373327584163E-3</v>
      </c>
    </row>
    <row r="499" spans="2:16" x14ac:dyDescent="0.25">
      <c r="B499" s="9">
        <v>35989</v>
      </c>
      <c r="C499" s="10">
        <v>5.4955930710000003E-2</v>
      </c>
      <c r="D499" s="11">
        <v>1165.19</v>
      </c>
      <c r="E499" s="11">
        <v>0.92228254761077388</v>
      </c>
      <c r="L499" s="9">
        <v>35989</v>
      </c>
      <c r="M499" s="14">
        <f t="shared" si="24"/>
        <v>1.0672970300608542E-2</v>
      </c>
      <c r="N499" s="14">
        <f t="shared" si="25"/>
        <v>7.3862221191589583E-4</v>
      </c>
      <c r="O499" s="14">
        <f t="shared" si="26"/>
        <v>-8.0855492749103419E-3</v>
      </c>
      <c r="P499" s="14">
        <f t="array" ref="P499">MMULT(M499:O499,$I$9:$I$11)</f>
        <v>-5.7033927669923904E-3</v>
      </c>
    </row>
    <row r="500" spans="2:16" x14ac:dyDescent="0.25">
      <c r="B500" s="9">
        <v>35990</v>
      </c>
      <c r="C500" s="10">
        <v>5.5191998482000001E-2</v>
      </c>
      <c r="D500" s="11">
        <v>1177.58</v>
      </c>
      <c r="E500" s="11">
        <v>0.91982882421212342</v>
      </c>
      <c r="L500" s="9">
        <v>35990</v>
      </c>
      <c r="M500" s="14">
        <f t="shared" si="24"/>
        <v>4.295583187294616E-3</v>
      </c>
      <c r="N500" s="14">
        <f t="shared" si="25"/>
        <v>1.0633458920862537E-2</v>
      </c>
      <c r="O500" s="14">
        <f t="shared" si="26"/>
        <v>-2.6604898954306622E-3</v>
      </c>
      <c r="P500" s="14">
        <f t="array" ref="P500">MMULT(M500:O500,$I$9:$I$11)</f>
        <v>9.2831917700623599E-4</v>
      </c>
    </row>
    <row r="501" spans="2:16" x14ac:dyDescent="0.25">
      <c r="B501" s="9">
        <v>35991</v>
      </c>
      <c r="C501" s="10">
        <v>5.5152659415999998E-2</v>
      </c>
      <c r="D501" s="11">
        <v>1174.81</v>
      </c>
      <c r="E501" s="11">
        <v>0.92197652253720863</v>
      </c>
      <c r="L501" s="9">
        <v>35991</v>
      </c>
      <c r="M501" s="14">
        <f t="shared" si="24"/>
        <v>-7.1276755837779149E-4</v>
      </c>
      <c r="N501" s="14">
        <f t="shared" si="25"/>
        <v>-2.3522817982641886E-3</v>
      </c>
      <c r="O501" s="14">
        <f t="shared" si="26"/>
        <v>2.334889132143525E-3</v>
      </c>
      <c r="P501" s="14">
        <f t="array" ref="P501">MMULT(M501:O501,$I$9:$I$11)</f>
        <v>1.0695494056588504E-3</v>
      </c>
    </row>
    <row r="502" spans="2:16" x14ac:dyDescent="0.25">
      <c r="B502" s="9">
        <v>35992</v>
      </c>
      <c r="C502" s="10">
        <v>5.5349378586000003E-2</v>
      </c>
      <c r="D502" s="11">
        <v>1183.99</v>
      </c>
      <c r="E502" s="11">
        <v>0.9163508154694564</v>
      </c>
      <c r="L502" s="9">
        <v>35992</v>
      </c>
      <c r="M502" s="14">
        <f t="shared" si="24"/>
        <v>3.5668120464729114E-3</v>
      </c>
      <c r="N502" s="14">
        <f t="shared" si="25"/>
        <v>7.8140295026429829E-3</v>
      </c>
      <c r="O502" s="14">
        <f t="shared" si="26"/>
        <v>-6.101789937416946E-3</v>
      </c>
      <c r="P502" s="14">
        <f t="array" ref="P502">MMULT(M502:O502,$I$9:$I$11)</f>
        <v>-2.3451018572227178E-3</v>
      </c>
    </row>
    <row r="503" spans="2:16" x14ac:dyDescent="0.25">
      <c r="B503" s="9">
        <v>35993</v>
      </c>
      <c r="C503" s="10">
        <v>5.5437908172999997E-2</v>
      </c>
      <c r="D503" s="11">
        <v>1186.75</v>
      </c>
      <c r="E503" s="11">
        <v>0.91435686934919069</v>
      </c>
      <c r="L503" s="9">
        <v>35993</v>
      </c>
      <c r="M503" s="14">
        <f t="shared" si="24"/>
        <v>1.5994684901916578E-3</v>
      </c>
      <c r="N503" s="14">
        <f t="shared" si="25"/>
        <v>2.331100769432215E-3</v>
      </c>
      <c r="O503" s="14">
        <f t="shared" si="26"/>
        <v>-2.1759637101912421E-3</v>
      </c>
      <c r="P503" s="14">
        <f t="array" ref="P503">MMULT(M503:O503,$I$9:$I$11)</f>
        <v>-9.592451777182937E-4</v>
      </c>
    </row>
    <row r="504" spans="2:16" x14ac:dyDescent="0.25">
      <c r="B504" s="9">
        <v>35996</v>
      </c>
      <c r="C504" s="10">
        <v>5.5132989883E-2</v>
      </c>
      <c r="D504" s="11">
        <v>1184.0999999999999</v>
      </c>
      <c r="E504" s="11">
        <v>0.90944737624985805</v>
      </c>
      <c r="L504" s="9">
        <v>35996</v>
      </c>
      <c r="M504" s="14">
        <f t="shared" si="24"/>
        <v>-5.5001766850305556E-3</v>
      </c>
      <c r="N504" s="14">
        <f t="shared" si="25"/>
        <v>-2.2329892563724973E-3</v>
      </c>
      <c r="O504" s="14">
        <f t="shared" si="26"/>
        <v>-5.3693402039260985E-3</v>
      </c>
      <c r="P504" s="14">
        <f t="array" ref="P504">MMULT(M504:O504,$I$9:$I$11)</f>
        <v>-4.5226568827799202E-3</v>
      </c>
    </row>
    <row r="505" spans="2:16" x14ac:dyDescent="0.25">
      <c r="B505" s="9">
        <v>35997</v>
      </c>
      <c r="C505" s="10">
        <v>5.4837889670999999E-2</v>
      </c>
      <c r="D505" s="11">
        <v>1165.07</v>
      </c>
      <c r="E505" s="11">
        <v>0.9141017988424377</v>
      </c>
      <c r="L505" s="9">
        <v>35997</v>
      </c>
      <c r="M505" s="14">
        <f t="shared" si="24"/>
        <v>-5.3525160276314265E-3</v>
      </c>
      <c r="N505" s="14">
        <f t="shared" si="25"/>
        <v>-1.6071277763702319E-2</v>
      </c>
      <c r="O505" s="14">
        <f t="shared" si="26"/>
        <v>5.1178580686794817E-3</v>
      </c>
      <c r="P505" s="14">
        <f t="array" ref="P505">MMULT(M505:O505,$I$9:$I$11)</f>
        <v>-6.0232063542005288E-4</v>
      </c>
    </row>
    <row r="506" spans="2:16" x14ac:dyDescent="0.25">
      <c r="B506" s="9">
        <v>35998</v>
      </c>
      <c r="C506" s="10">
        <v>5.4936261176999998E-2</v>
      </c>
      <c r="D506" s="11">
        <v>1164.08</v>
      </c>
      <c r="E506" s="11">
        <v>0.9156863340373157</v>
      </c>
      <c r="L506" s="9">
        <v>35998</v>
      </c>
      <c r="M506" s="14">
        <f t="shared" si="24"/>
        <v>1.7938601684013289E-3</v>
      </c>
      <c r="N506" s="14">
        <f t="shared" si="25"/>
        <v>-8.4973435072566161E-4</v>
      </c>
      <c r="O506" s="14">
        <f t="shared" si="26"/>
        <v>1.7334340626882216E-3</v>
      </c>
      <c r="P506" s="14">
        <f t="array" ref="P506">MMULT(M506:O506,$I$9:$I$11)</f>
        <v>1.0360868436038399E-3</v>
      </c>
    </row>
    <row r="507" spans="2:16" x14ac:dyDescent="0.25">
      <c r="B507" s="9">
        <v>35999</v>
      </c>
      <c r="C507" s="10">
        <v>5.4729690551999999E-2</v>
      </c>
      <c r="D507" s="11">
        <v>1139.75</v>
      </c>
      <c r="E507" s="11">
        <v>0.9166581250782031</v>
      </c>
      <c r="L507" s="9">
        <v>35999</v>
      </c>
      <c r="M507" s="14">
        <f t="shared" si="24"/>
        <v>-3.7601871800930775E-3</v>
      </c>
      <c r="N507" s="14">
        <f t="shared" si="25"/>
        <v>-2.0900625386571337E-2</v>
      </c>
      <c r="O507" s="14">
        <f t="shared" si="26"/>
        <v>1.0612706608852385E-3</v>
      </c>
      <c r="P507" s="14">
        <f t="array" ref="P507">MMULT(M507:O507,$I$9:$I$11)</f>
        <v>-4.8675209173122966E-3</v>
      </c>
    </row>
    <row r="508" spans="2:16" x14ac:dyDescent="0.25">
      <c r="B508" s="9">
        <v>36000</v>
      </c>
      <c r="C508" s="10">
        <v>5.4818220138999993E-2</v>
      </c>
      <c r="D508" s="11">
        <v>1140.8</v>
      </c>
      <c r="E508" s="11">
        <v>0.9096010168141605</v>
      </c>
      <c r="L508" s="9">
        <v>36000</v>
      </c>
      <c r="M508" s="14">
        <f t="shared" si="24"/>
        <v>1.6175787969399114E-3</v>
      </c>
      <c r="N508" s="14">
        <f t="shared" si="25"/>
        <v>9.2125466110992704E-4</v>
      </c>
      <c r="O508" s="14">
        <f t="shared" si="26"/>
        <v>-7.6987352983322044E-3</v>
      </c>
      <c r="P508" s="14">
        <f t="array" ref="P508">MMULT(M508:O508,$I$9:$I$11)</f>
        <v>-5.3716992461965117E-3</v>
      </c>
    </row>
    <row r="509" spans="2:16" x14ac:dyDescent="0.25">
      <c r="B509" s="9">
        <v>36003</v>
      </c>
      <c r="C509" s="10">
        <v>5.5014948844999995E-2</v>
      </c>
      <c r="D509" s="11">
        <v>1147.27</v>
      </c>
      <c r="E509" s="11">
        <v>0.91144281984073938</v>
      </c>
      <c r="L509" s="9">
        <v>36003</v>
      </c>
      <c r="M509" s="14">
        <f t="shared" si="24"/>
        <v>3.5887466886221908E-3</v>
      </c>
      <c r="N509" s="14">
        <f t="shared" si="25"/>
        <v>5.6714586255259825E-3</v>
      </c>
      <c r="O509" s="14">
        <f t="shared" si="26"/>
        <v>2.0248471500501353E-3</v>
      </c>
      <c r="P509" s="14">
        <f t="array" ref="P509">MMULT(M509:O509,$I$9:$I$11)</f>
        <v>3.0092794303068992E-3</v>
      </c>
    </row>
    <row r="510" spans="2:16" x14ac:dyDescent="0.25">
      <c r="B510" s="9">
        <v>36004</v>
      </c>
      <c r="C510" s="10">
        <v>5.5251021385000001E-2</v>
      </c>
      <c r="D510" s="11">
        <v>1130.24</v>
      </c>
      <c r="E510" s="11">
        <v>0.90786341263845527</v>
      </c>
      <c r="L510" s="9">
        <v>36004</v>
      </c>
      <c r="M510" s="14">
        <f t="shared" si="24"/>
        <v>4.2910617015226027E-3</v>
      </c>
      <c r="N510" s="14">
        <f t="shared" si="25"/>
        <v>-1.4843933860381631E-2</v>
      </c>
      <c r="O510" s="14">
        <f t="shared" si="26"/>
        <v>-3.9271878875621891E-3</v>
      </c>
      <c r="P510" s="14">
        <f t="array" ref="P510">MMULT(M510:O510,$I$9:$I$11)</f>
        <v>-6.8742518134234272E-3</v>
      </c>
    </row>
    <row r="511" spans="2:16" x14ac:dyDescent="0.25">
      <c r="B511" s="9">
        <v>36005</v>
      </c>
      <c r="C511" s="10">
        <v>5.5536270142000001E-2</v>
      </c>
      <c r="D511" s="11">
        <v>1125.21</v>
      </c>
      <c r="E511" s="11">
        <v>0.90694233063685159</v>
      </c>
      <c r="L511" s="9">
        <v>36005</v>
      </c>
      <c r="M511" s="14">
        <f t="shared" si="24"/>
        <v>5.1627779876199931E-3</v>
      </c>
      <c r="N511" s="14">
        <f t="shared" si="25"/>
        <v>-4.4503822197055065E-3</v>
      </c>
      <c r="O511" s="14">
        <f t="shared" si="26"/>
        <v>-1.0145601075901567E-3</v>
      </c>
      <c r="P511" s="14">
        <f t="array" ref="P511">MMULT(M511:O511,$I$9:$I$11)</f>
        <v>-1.9420880932648475E-3</v>
      </c>
    </row>
    <row r="512" spans="2:16" x14ac:dyDescent="0.25">
      <c r="B512" s="9">
        <v>36006</v>
      </c>
      <c r="C512" s="10">
        <v>5.5300202369999996E-2</v>
      </c>
      <c r="D512" s="11">
        <v>1142.95</v>
      </c>
      <c r="E512" s="11">
        <v>0.90745417194904809</v>
      </c>
      <c r="L512" s="9">
        <v>36006</v>
      </c>
      <c r="M512" s="14">
        <f t="shared" si="24"/>
        <v>-4.2506954715613166E-3</v>
      </c>
      <c r="N512" s="14">
        <f t="shared" si="25"/>
        <v>1.5765945912318502E-2</v>
      </c>
      <c r="O512" s="14">
        <f t="shared" si="26"/>
        <v>5.6435927060216606E-4</v>
      </c>
      <c r="P512" s="14">
        <f t="array" ref="P512">MMULT(M512:O512,$I$9:$I$11)</f>
        <v>4.6681506127474919E-3</v>
      </c>
    </row>
    <row r="513" spans="2:16" x14ac:dyDescent="0.25">
      <c r="B513" s="9">
        <v>36007</v>
      </c>
      <c r="C513" s="10">
        <v>5.5231351852000003E-2</v>
      </c>
      <c r="D513" s="11">
        <v>1120.67</v>
      </c>
      <c r="E513" s="11">
        <v>0.90949914274203325</v>
      </c>
      <c r="L513" s="9">
        <v>36007</v>
      </c>
      <c r="M513" s="14">
        <f t="shared" si="24"/>
        <v>-1.2450319356759332E-3</v>
      </c>
      <c r="N513" s="14">
        <f t="shared" si="25"/>
        <v>-1.9493416159936938E-2</v>
      </c>
      <c r="O513" s="14">
        <f t="shared" si="26"/>
        <v>2.2535251434161463E-3</v>
      </c>
      <c r="P513" s="14">
        <f t="array" ref="P513">MMULT(M513:O513,$I$9:$I$11)</f>
        <v>-3.6172376619568324E-3</v>
      </c>
    </row>
    <row r="514" spans="2:16" x14ac:dyDescent="0.25">
      <c r="B514" s="9">
        <v>36010</v>
      </c>
      <c r="C514" s="10">
        <v>5.4719858170000003E-2</v>
      </c>
      <c r="D514" s="11">
        <v>1112.44</v>
      </c>
      <c r="E514" s="11">
        <v>0.9124658625032267</v>
      </c>
      <c r="L514" s="9">
        <v>36010</v>
      </c>
      <c r="M514" s="14">
        <f t="shared" si="24"/>
        <v>-9.2609299763405373E-3</v>
      </c>
      <c r="N514" s="14">
        <f t="shared" si="25"/>
        <v>-7.3438211070163684E-3</v>
      </c>
      <c r="O514" s="14">
        <f t="shared" si="26"/>
        <v>3.261926946131144E-3</v>
      </c>
      <c r="P514" s="14">
        <f t="array" ref="P514">MMULT(M514:O514,$I$9:$I$11)</f>
        <v>3.9881942562778683E-4</v>
      </c>
    </row>
    <row r="515" spans="2:16" x14ac:dyDescent="0.25">
      <c r="B515" s="9">
        <v>36011</v>
      </c>
      <c r="C515" s="10">
        <v>5.4513292312999999E-2</v>
      </c>
      <c r="D515" s="11">
        <v>1072.1199999999999</v>
      </c>
      <c r="E515" s="11">
        <v>0.9118507108153675</v>
      </c>
      <c r="L515" s="9">
        <v>36011</v>
      </c>
      <c r="M515" s="14">
        <f t="shared" si="24"/>
        <v>-3.7749706214197376E-3</v>
      </c>
      <c r="N515" s="14">
        <f t="shared" si="25"/>
        <v>-3.624465139692945E-2</v>
      </c>
      <c r="O515" s="14">
        <f t="shared" si="26"/>
        <v>-6.7416405713149885E-4</v>
      </c>
      <c r="P515" s="14">
        <f t="array" ref="P515">MMULT(M515:O515,$I$9:$I$11)</f>
        <v>-1.02767049906134E-2</v>
      </c>
    </row>
    <row r="516" spans="2:16" x14ac:dyDescent="0.25">
      <c r="B516" s="9">
        <v>36012</v>
      </c>
      <c r="C516" s="10">
        <v>5.4493618011E-2</v>
      </c>
      <c r="D516" s="11">
        <v>1081.43</v>
      </c>
      <c r="E516" s="11">
        <v>0.90607302522493405</v>
      </c>
      <c r="L516" s="9">
        <v>36012</v>
      </c>
      <c r="M516" s="14">
        <f t="shared" si="24"/>
        <v>-3.6090834299706831E-4</v>
      </c>
      <c r="N516" s="14">
        <f t="shared" si="25"/>
        <v>8.6837294332724468E-3</v>
      </c>
      <c r="O516" s="14">
        <f t="shared" si="26"/>
        <v>-6.3362187712362461E-3</v>
      </c>
      <c r="P516" s="14">
        <f t="array" ref="P516">MMULT(M516:O516,$I$9:$I$11)</f>
        <v>-2.2814621952361837E-3</v>
      </c>
    </row>
    <row r="517" spans="2:16" x14ac:dyDescent="0.25">
      <c r="B517" s="9">
        <v>36013</v>
      </c>
      <c r="C517" s="10">
        <v>5.4611649512999995E-2</v>
      </c>
      <c r="D517" s="11">
        <v>1089.6300000000001</v>
      </c>
      <c r="E517" s="11">
        <v>0.90418090846046728</v>
      </c>
      <c r="L517" s="9">
        <v>36013</v>
      </c>
      <c r="M517" s="14">
        <f t="shared" si="24"/>
        <v>2.1659692695787935E-3</v>
      </c>
      <c r="N517" s="14">
        <f t="shared" si="25"/>
        <v>7.5825527311059737E-3</v>
      </c>
      <c r="O517" s="14">
        <f t="shared" si="26"/>
        <v>-2.0882607822885202E-3</v>
      </c>
      <c r="P517" s="14">
        <f t="array" ref="P517">MMULT(M517:O517,$I$9:$I$11)</f>
        <v>5.2245359267421654E-4</v>
      </c>
    </row>
    <row r="518" spans="2:16" x14ac:dyDescent="0.25">
      <c r="B518" s="9">
        <v>36014</v>
      </c>
      <c r="C518" s="10">
        <v>5.4100170135E-2</v>
      </c>
      <c r="D518" s="11">
        <v>1089.45</v>
      </c>
      <c r="E518" s="11">
        <v>0.90648258809838655</v>
      </c>
      <c r="L518" s="9">
        <v>36014</v>
      </c>
      <c r="M518" s="14">
        <f t="shared" si="24"/>
        <v>-9.3657558883702974E-3</v>
      </c>
      <c r="N518" s="14">
        <f t="shared" si="25"/>
        <v>-1.6519368960110636E-4</v>
      </c>
      <c r="O518" s="14">
        <f t="shared" si="26"/>
        <v>2.5455963694680506E-3</v>
      </c>
      <c r="P518" s="14">
        <f t="array" ref="P518">MMULT(M518:O518,$I$9:$I$11)</f>
        <v>1.8137966542821618E-3</v>
      </c>
    </row>
    <row r="519" spans="2:16" x14ac:dyDescent="0.25">
      <c r="B519" s="9">
        <v>36017</v>
      </c>
      <c r="C519" s="10">
        <v>5.4188690185999998E-2</v>
      </c>
      <c r="D519" s="11">
        <v>1083.1400000000001</v>
      </c>
      <c r="E519" s="11">
        <v>0.9100106171120701</v>
      </c>
      <c r="L519" s="9">
        <v>36017</v>
      </c>
      <c r="M519" s="14">
        <f t="shared" si="24"/>
        <v>1.6362250022339264E-3</v>
      </c>
      <c r="N519" s="14">
        <f t="shared" si="25"/>
        <v>-5.7919133507732257E-3</v>
      </c>
      <c r="O519" s="14">
        <f t="shared" si="26"/>
        <v>3.8919986550260965E-3</v>
      </c>
      <c r="P519" s="14">
        <f t="array" ref="P519">MMULT(M519:O519,$I$9:$I$11)</f>
        <v>1.2777482360310495E-3</v>
      </c>
    </row>
    <row r="520" spans="2:16" x14ac:dyDescent="0.25">
      <c r="B520" s="9">
        <v>36018</v>
      </c>
      <c r="C520" s="10">
        <v>5.3824739455999998E-2</v>
      </c>
      <c r="D520" s="11">
        <v>1068.98</v>
      </c>
      <c r="E520" s="11">
        <v>0.91087938772863453</v>
      </c>
      <c r="L520" s="9">
        <v>36018</v>
      </c>
      <c r="M520" s="14">
        <f t="shared" si="24"/>
        <v>-6.7163596084488519E-3</v>
      </c>
      <c r="N520" s="14">
        <f t="shared" si="25"/>
        <v>-1.3073102276714099E-2</v>
      </c>
      <c r="O520" s="14">
        <f t="shared" si="26"/>
        <v>9.5468184681357648E-4</v>
      </c>
      <c r="P520" s="14">
        <f t="array" ref="P520">MMULT(M520:O520,$I$9:$I$11)</f>
        <v>-2.8322320058260142E-3</v>
      </c>
    </row>
    <row r="521" spans="2:16" x14ac:dyDescent="0.25">
      <c r="B521" s="9">
        <v>36019</v>
      </c>
      <c r="C521" s="10">
        <v>5.4031310080999997E-2</v>
      </c>
      <c r="D521" s="11">
        <v>1084.22</v>
      </c>
      <c r="E521" s="11">
        <v>0.90750404281911456</v>
      </c>
      <c r="L521" s="9">
        <v>36019</v>
      </c>
      <c r="M521" s="14">
        <f t="shared" ref="M521:M584" si="27">C521/C520-1</f>
        <v>3.8378378992223183E-3</v>
      </c>
      <c r="N521" s="14">
        <f t="shared" ref="N521:N584" si="28">D521/D520-1</f>
        <v>1.425658103986982E-2</v>
      </c>
      <c r="O521" s="14">
        <f t="shared" ref="O521:O584" si="29">E521/E520-1</f>
        <v>-3.7055892964453774E-3</v>
      </c>
      <c r="P521" s="14">
        <f t="array" ref="P521">MMULT(M521:O521,$I$9:$I$11)</f>
        <v>1.1434439557827824E-3</v>
      </c>
    </row>
    <row r="522" spans="2:16" x14ac:dyDescent="0.25">
      <c r="B522" s="9">
        <v>36020</v>
      </c>
      <c r="C522" s="10">
        <v>5.4355912209000004E-2</v>
      </c>
      <c r="D522" s="11">
        <v>1074.9100000000001</v>
      </c>
      <c r="E522" s="11">
        <v>0.9124658625032267</v>
      </c>
      <c r="L522" s="9">
        <v>36020</v>
      </c>
      <c r="M522" s="14">
        <f t="shared" si="27"/>
        <v>6.0076671750766142E-3</v>
      </c>
      <c r="N522" s="14">
        <f t="shared" si="28"/>
        <v>-8.5868181734334303E-3</v>
      </c>
      <c r="O522" s="14">
        <f t="shared" si="29"/>
        <v>5.467545542495289E-3</v>
      </c>
      <c r="P522" s="14">
        <f t="array" ref="P522">MMULT(M522:O522,$I$9:$I$11)</f>
        <v>1.6734563137752946E-3</v>
      </c>
    </row>
    <row r="523" spans="2:16" x14ac:dyDescent="0.25">
      <c r="B523" s="9">
        <v>36021</v>
      </c>
      <c r="C523" s="10">
        <v>5.3923110962000004E-2</v>
      </c>
      <c r="D523" s="11">
        <v>1062.75</v>
      </c>
      <c r="E523" s="11">
        <v>0.91885694504771998</v>
      </c>
      <c r="L523" s="9">
        <v>36021</v>
      </c>
      <c r="M523" s="14">
        <f t="shared" si="27"/>
        <v>-7.9623582681469518E-3</v>
      </c>
      <c r="N523" s="14">
        <f t="shared" si="28"/>
        <v>-1.131257500627969E-2</v>
      </c>
      <c r="O523" s="14">
        <f t="shared" si="29"/>
        <v>7.0041881095257441E-3</v>
      </c>
      <c r="P523" s="14">
        <f t="array" ref="P523">MMULT(M523:O523,$I$9:$I$11)</f>
        <v>2.0594296667134663E-3</v>
      </c>
    </row>
    <row r="524" spans="2:16" x14ac:dyDescent="0.25">
      <c r="B524" s="9">
        <v>36024</v>
      </c>
      <c r="C524" s="10">
        <v>5.3982129096999995E-2</v>
      </c>
      <c r="D524" s="11">
        <v>1083.67</v>
      </c>
      <c r="E524" s="11">
        <v>0.91727145732590487</v>
      </c>
      <c r="L524" s="9">
        <v>36024</v>
      </c>
      <c r="M524" s="14">
        <f t="shared" si="27"/>
        <v>1.0944868340696523E-3</v>
      </c>
      <c r="N524" s="14">
        <f t="shared" si="28"/>
        <v>1.968478005175256E-2</v>
      </c>
      <c r="O524" s="14">
        <f t="shared" si="29"/>
        <v>-1.7255000687106392E-3</v>
      </c>
      <c r="P524" s="14">
        <f t="array" ref="P524">MMULT(M524:O524,$I$9:$I$11)</f>
        <v>4.0543783257029889E-3</v>
      </c>
    </row>
    <row r="525" spans="2:16" x14ac:dyDescent="0.25">
      <c r="B525" s="9">
        <v>36025</v>
      </c>
      <c r="C525" s="10">
        <v>5.4109997748999994E-2</v>
      </c>
      <c r="D525" s="11">
        <v>1101.2</v>
      </c>
      <c r="E525" s="11">
        <v>0.91906180974577933</v>
      </c>
      <c r="L525" s="9">
        <v>36025</v>
      </c>
      <c r="M525" s="14">
        <f t="shared" si="27"/>
        <v>2.3687219111019342E-3</v>
      </c>
      <c r="N525" s="14">
        <f t="shared" si="28"/>
        <v>1.6176511299565322E-2</v>
      </c>
      <c r="O525" s="14">
        <f t="shared" si="29"/>
        <v>1.9518239726916686E-3</v>
      </c>
      <c r="P525" s="14">
        <f t="array" ref="P525">MMULT(M525:O525,$I$9:$I$11)</f>
        <v>5.7918934386350998E-3</v>
      </c>
    </row>
    <row r="526" spans="2:16" x14ac:dyDescent="0.25">
      <c r="B526" s="9">
        <v>36026</v>
      </c>
      <c r="C526" s="10">
        <v>5.4109997748999994E-2</v>
      </c>
      <c r="D526" s="11">
        <v>1098.06</v>
      </c>
      <c r="E526" s="11">
        <v>0.92064693037475598</v>
      </c>
      <c r="L526" s="9">
        <v>36026</v>
      </c>
      <c r="M526" s="14">
        <f t="shared" si="27"/>
        <v>0</v>
      </c>
      <c r="N526" s="14">
        <f t="shared" si="28"/>
        <v>-2.8514347984018862E-3</v>
      </c>
      <c r="O526" s="14">
        <f t="shared" si="29"/>
        <v>1.7247160225437597E-3</v>
      </c>
      <c r="P526" s="14">
        <f t="array" ref="P526">MMULT(M526:O526,$I$9:$I$11)</f>
        <v>4.8934707310706695E-4</v>
      </c>
    </row>
    <row r="527" spans="2:16" x14ac:dyDescent="0.25">
      <c r="B527" s="9">
        <v>36027</v>
      </c>
      <c r="C527" s="10">
        <v>5.3779997826000001E-2</v>
      </c>
      <c r="D527" s="11">
        <v>1091.5999999999999</v>
      </c>
      <c r="E527" s="11">
        <v>0.92018641533186163</v>
      </c>
      <c r="L527" s="9">
        <v>36027</v>
      </c>
      <c r="M527" s="14">
        <f t="shared" si="27"/>
        <v>-6.0986866887476898E-3</v>
      </c>
      <c r="N527" s="14">
        <f t="shared" si="28"/>
        <v>-5.8831029269803548E-3</v>
      </c>
      <c r="O527" s="14">
        <f t="shared" si="29"/>
        <v>-5.0020809031203761E-4</v>
      </c>
      <c r="P527" s="14">
        <f t="array" ref="P527">MMULT(M527:O527,$I$9:$I$11)</f>
        <v>-1.9533641158664939E-3</v>
      </c>
    </row>
    <row r="528" spans="2:16" x14ac:dyDescent="0.25">
      <c r="B528" s="9">
        <v>36028</v>
      </c>
      <c r="C528" s="10">
        <v>5.2919998168999997E-2</v>
      </c>
      <c r="D528" s="11">
        <v>1081.24</v>
      </c>
      <c r="E528" s="11">
        <v>0.92161764036916705</v>
      </c>
      <c r="L528" s="9">
        <v>36028</v>
      </c>
      <c r="M528" s="14">
        <f t="shared" si="27"/>
        <v>-1.5991069017563864E-2</v>
      </c>
      <c r="N528" s="14">
        <f t="shared" si="28"/>
        <v>-9.4906559179185335E-3</v>
      </c>
      <c r="O528" s="14">
        <f t="shared" si="29"/>
        <v>1.5553642321368688E-3</v>
      </c>
      <c r="P528" s="14">
        <f t="array" ref="P528">MMULT(M528:O528,$I$9:$I$11)</f>
        <v>-1.4265983041002125E-3</v>
      </c>
    </row>
    <row r="529" spans="2:16" x14ac:dyDescent="0.25">
      <c r="B529" s="9">
        <v>36031</v>
      </c>
      <c r="C529" s="10">
        <v>5.2870001792999999E-2</v>
      </c>
      <c r="D529" s="11">
        <v>1088.1400000000001</v>
      </c>
      <c r="E529" s="11">
        <v>0.91860116861758356</v>
      </c>
      <c r="L529" s="9">
        <v>36031</v>
      </c>
      <c r="M529" s="14">
        <f t="shared" si="27"/>
        <v>-9.4475392535608993E-4</v>
      </c>
      <c r="N529" s="14">
        <f t="shared" si="28"/>
        <v>6.3815619103992915E-3</v>
      </c>
      <c r="O529" s="14">
        <f t="shared" si="29"/>
        <v>-3.2730186787388593E-3</v>
      </c>
      <c r="P529" s="14">
        <f t="array" ref="P529">MMULT(M529:O529,$I$9:$I$11)</f>
        <v>-6.666865130540722E-4</v>
      </c>
    </row>
    <row r="530" spans="2:16" x14ac:dyDescent="0.25">
      <c r="B530" s="9">
        <v>36032</v>
      </c>
      <c r="C530" s="10">
        <v>5.2340002060000002E-2</v>
      </c>
      <c r="D530" s="11">
        <v>1092.8499999999999</v>
      </c>
      <c r="E530" s="11">
        <v>0.92008377112841366</v>
      </c>
      <c r="L530" s="9">
        <v>36032</v>
      </c>
      <c r="M530" s="14">
        <f t="shared" si="27"/>
        <v>-1.0024583223490091E-2</v>
      </c>
      <c r="N530" s="14">
        <f t="shared" si="28"/>
        <v>4.3284871431983341E-3</v>
      </c>
      <c r="O530" s="14">
        <f t="shared" si="29"/>
        <v>1.6139784723563366E-3</v>
      </c>
      <c r="P530" s="14">
        <f t="array" ref="P530">MMULT(M530:O530,$I$9:$I$11)</f>
        <v>2.3467820568854624E-3</v>
      </c>
    </row>
    <row r="531" spans="2:16" x14ac:dyDescent="0.25">
      <c r="B531" s="9">
        <v>36033</v>
      </c>
      <c r="C531" s="10">
        <v>5.2059998511999994E-2</v>
      </c>
      <c r="D531" s="11">
        <v>1084.19</v>
      </c>
      <c r="E531" s="11">
        <v>0.92432815589736139</v>
      </c>
      <c r="L531" s="9">
        <v>36033</v>
      </c>
      <c r="M531" s="14">
        <f t="shared" si="27"/>
        <v>-5.3497045659078868E-3</v>
      </c>
      <c r="N531" s="14">
        <f t="shared" si="28"/>
        <v>-7.9242347989201267E-3</v>
      </c>
      <c r="O531" s="14">
        <f t="shared" si="29"/>
        <v>4.6130416622198744E-3</v>
      </c>
      <c r="P531" s="14">
        <f t="array" ref="P531">MMULT(M531:O531,$I$9:$I$11)</f>
        <v>1.2285024158942208E-3</v>
      </c>
    </row>
    <row r="532" spans="2:16" x14ac:dyDescent="0.25">
      <c r="B532" s="9">
        <v>36034</v>
      </c>
      <c r="C532" s="10">
        <v>5.0729999541999998E-2</v>
      </c>
      <c r="D532" s="11">
        <v>1042.5899999999999</v>
      </c>
      <c r="E532" s="11">
        <v>0.92432815589736139</v>
      </c>
      <c r="L532" s="9">
        <v>36034</v>
      </c>
      <c r="M532" s="14">
        <f t="shared" si="27"/>
        <v>-2.5547426200817624E-2</v>
      </c>
      <c r="N532" s="14">
        <f t="shared" si="28"/>
        <v>-3.8369658454698974E-2</v>
      </c>
      <c r="O532" s="14">
        <f t="shared" si="29"/>
        <v>0</v>
      </c>
      <c r="P532" s="14">
        <f t="array" ref="P532">MMULT(M532:O532,$I$9:$I$11)</f>
        <v>-1.0358199829967796E-2</v>
      </c>
    </row>
    <row r="533" spans="2:16" x14ac:dyDescent="0.25">
      <c r="B533" s="9">
        <v>36035</v>
      </c>
      <c r="C533" s="10">
        <v>5.0640001296999998E-2</v>
      </c>
      <c r="D533" s="11">
        <v>1027.1400000000001</v>
      </c>
      <c r="E533" s="11">
        <v>0.90837462217404341</v>
      </c>
      <c r="L533" s="9">
        <v>36035</v>
      </c>
      <c r="M533" s="14">
        <f t="shared" si="27"/>
        <v>-1.7740635878675803E-3</v>
      </c>
      <c r="N533" s="14">
        <f t="shared" si="28"/>
        <v>-1.4818864558455158E-2</v>
      </c>
      <c r="O533" s="14">
        <f t="shared" si="29"/>
        <v>-1.7259599441531548E-2</v>
      </c>
      <c r="P533" s="14">
        <f t="array" ref="P533">MMULT(M533:O533,$I$9:$I$11)</f>
        <v>-1.660070330669295E-2</v>
      </c>
    </row>
    <row r="534" spans="2:16" x14ac:dyDescent="0.25">
      <c r="B534" s="9">
        <v>36038</v>
      </c>
      <c r="C534" s="10">
        <v>4.9800000191000005E-2</v>
      </c>
      <c r="D534" s="11">
        <v>957.28</v>
      </c>
      <c r="E534" s="11">
        <v>0.90177793681333074</v>
      </c>
      <c r="L534" s="9">
        <v>36038</v>
      </c>
      <c r="M534" s="14">
        <f t="shared" si="27"/>
        <v>-1.6587699140713785E-2</v>
      </c>
      <c r="N534" s="14">
        <f t="shared" si="28"/>
        <v>-6.8014097396654871E-2</v>
      </c>
      <c r="O534" s="14">
        <f t="shared" si="29"/>
        <v>-7.2620757996569862E-3</v>
      </c>
      <c r="P534" s="14">
        <f t="array" ref="P534">MMULT(M534:O534,$I$9:$I$11)</f>
        <v>-2.3662575702964254E-2</v>
      </c>
    </row>
    <row r="535" spans="2:16" x14ac:dyDescent="0.25">
      <c r="B535" s="9">
        <v>36039</v>
      </c>
      <c r="C535" s="10">
        <v>5.1609997748999999E-2</v>
      </c>
      <c r="D535" s="11">
        <v>994.26</v>
      </c>
      <c r="E535" s="11">
        <v>0.8945168322629562</v>
      </c>
      <c r="L535" s="9">
        <v>36039</v>
      </c>
      <c r="M535" s="14">
        <f t="shared" si="27"/>
        <v>3.634533235056292E-2</v>
      </c>
      <c r="N535" s="14">
        <f t="shared" si="28"/>
        <v>3.863028580979444E-2</v>
      </c>
      <c r="O535" s="14">
        <f t="shared" si="29"/>
        <v>-8.0519873618039028E-3</v>
      </c>
      <c r="P535" s="14">
        <f t="array" ref="P535">MMULT(M535:O535,$I$9:$I$11)</f>
        <v>4.5502700859514729E-3</v>
      </c>
    </row>
    <row r="536" spans="2:16" x14ac:dyDescent="0.25">
      <c r="B536" s="9">
        <v>36040</v>
      </c>
      <c r="C536" s="10">
        <v>5.1929998397999999E-2</v>
      </c>
      <c r="D536" s="11">
        <v>990.47</v>
      </c>
      <c r="E536" s="11">
        <v>0.8952842070234136</v>
      </c>
      <c r="L536" s="9">
        <v>36040</v>
      </c>
      <c r="M536" s="14">
        <f t="shared" si="27"/>
        <v>6.2003616151329322E-3</v>
      </c>
      <c r="N536" s="14">
        <f t="shared" si="28"/>
        <v>-3.8118801923038292E-3</v>
      </c>
      <c r="O536" s="14">
        <f t="shared" si="29"/>
        <v>8.5786508736362954E-4</v>
      </c>
      <c r="P536" s="14">
        <f t="array" ref="P536">MMULT(M536:O536,$I$9:$I$11)</f>
        <v>-4.0277044367588899E-4</v>
      </c>
    </row>
    <row r="537" spans="2:16" x14ac:dyDescent="0.25">
      <c r="B537" s="9">
        <v>36041</v>
      </c>
      <c r="C537" s="10">
        <v>5.140999794E-2</v>
      </c>
      <c r="D537" s="11">
        <v>982.26</v>
      </c>
      <c r="E537" s="11">
        <v>0.88178336908131327</v>
      </c>
      <c r="L537" s="9">
        <v>36041</v>
      </c>
      <c r="M537" s="14">
        <f t="shared" si="27"/>
        <v>-1.0013488812663396E-2</v>
      </c>
      <c r="N537" s="14">
        <f t="shared" si="28"/>
        <v>-8.2889941139056011E-3</v>
      </c>
      <c r="O537" s="14">
        <f t="shared" si="29"/>
        <v>-1.5079946497645769E-2</v>
      </c>
      <c r="P537" s="14">
        <f t="array" ref="P537">MMULT(M537:O537,$I$9:$I$11)</f>
        <v>-1.3246673941685284E-2</v>
      </c>
    </row>
    <row r="538" spans="2:16" x14ac:dyDescent="0.25">
      <c r="B538" s="9">
        <v>36042</v>
      </c>
      <c r="C538" s="10">
        <v>5.1199998856000004E-2</v>
      </c>
      <c r="D538" s="11">
        <v>973.89</v>
      </c>
      <c r="E538" s="11">
        <v>0.88699912975273587</v>
      </c>
      <c r="L538" s="9">
        <v>36042</v>
      </c>
      <c r="M538" s="14">
        <f t="shared" si="27"/>
        <v>-4.084790749166789E-3</v>
      </c>
      <c r="N538" s="14">
        <f t="shared" si="28"/>
        <v>-8.5211654755360522E-3</v>
      </c>
      <c r="O538" s="14">
        <f t="shared" si="29"/>
        <v>5.9150136578971502E-3</v>
      </c>
      <c r="P538" s="14">
        <f t="array" ref="P538">MMULT(M538:O538,$I$9:$I$11)</f>
        <v>2.0178502671451067E-3</v>
      </c>
    </row>
    <row r="539" spans="2:16" x14ac:dyDescent="0.25">
      <c r="B539" s="9">
        <v>36045</v>
      </c>
      <c r="C539" s="10">
        <v>5.1199998856000004E-2</v>
      </c>
      <c r="D539" s="11">
        <v>973.89</v>
      </c>
      <c r="E539" s="11">
        <v>0.88209065152124078</v>
      </c>
      <c r="L539" s="9">
        <v>36045</v>
      </c>
      <c r="M539" s="14">
        <f t="shared" si="27"/>
        <v>0</v>
      </c>
      <c r="N539" s="14">
        <f t="shared" si="28"/>
        <v>0</v>
      </c>
      <c r="O539" s="14">
        <f t="shared" si="29"/>
        <v>-5.5338027590438044E-3</v>
      </c>
      <c r="P539" s="14">
        <f t="array" ref="P539">MMULT(M539:O539,$I$9:$I$11)</f>
        <v>-4.039907918528666E-3</v>
      </c>
    </row>
    <row r="540" spans="2:16" x14ac:dyDescent="0.25">
      <c r="B540" s="9">
        <v>36046</v>
      </c>
      <c r="C540" s="10">
        <v>5.1570000647999999E-2</v>
      </c>
      <c r="D540" s="11">
        <v>1023.46</v>
      </c>
      <c r="E540" s="11">
        <v>0.88418631239151046</v>
      </c>
      <c r="L540" s="9">
        <v>36046</v>
      </c>
      <c r="M540" s="14">
        <f t="shared" si="27"/>
        <v>7.2265976614691585E-3</v>
      </c>
      <c r="N540" s="14">
        <f t="shared" si="28"/>
        <v>5.0898972163180733E-2</v>
      </c>
      <c r="O540" s="14">
        <f t="shared" si="29"/>
        <v>2.3757885503667975E-3</v>
      </c>
      <c r="P540" s="14">
        <f t="array" ref="P540">MMULT(M540:O540,$I$9:$I$11)</f>
        <v>1.5475014670431272E-2</v>
      </c>
    </row>
    <row r="541" spans="2:16" x14ac:dyDescent="0.25">
      <c r="B541" s="9">
        <v>36047</v>
      </c>
      <c r="C541" s="10">
        <v>5.0650000571999997E-2</v>
      </c>
      <c r="D541" s="11">
        <v>1006.2</v>
      </c>
      <c r="E541" s="11">
        <v>0.88168151430474573</v>
      </c>
      <c r="L541" s="9">
        <v>36047</v>
      </c>
      <c r="M541" s="14">
        <f t="shared" si="27"/>
        <v>-1.7839830607713658E-2</v>
      </c>
      <c r="N541" s="14">
        <f t="shared" si="28"/>
        <v>-1.6864362065933225E-2</v>
      </c>
      <c r="O541" s="14">
        <f t="shared" si="29"/>
        <v>-2.8328849380057086E-3</v>
      </c>
      <c r="P541" s="14">
        <f t="array" ref="P541">MMULT(M541:O541,$I$9:$I$11)</f>
        <v>-6.6207957470709507E-3</v>
      </c>
    </row>
    <row r="542" spans="2:16" x14ac:dyDescent="0.25">
      <c r="B542" s="9">
        <v>36048</v>
      </c>
      <c r="C542" s="10">
        <v>4.8810000419999999E-2</v>
      </c>
      <c r="D542" s="11">
        <v>980.19</v>
      </c>
      <c r="E542" s="11">
        <v>0.86521498902928806</v>
      </c>
      <c r="L542" s="9">
        <v>36048</v>
      </c>
      <c r="M542" s="14">
        <f t="shared" si="27"/>
        <v>-3.63277419786876E-2</v>
      </c>
      <c r="N542" s="14">
        <f t="shared" si="28"/>
        <v>-2.5849731663685094E-2</v>
      </c>
      <c r="O542" s="14">
        <f t="shared" si="29"/>
        <v>-1.8676273697812995E-2</v>
      </c>
      <c r="P542" s="14">
        <f t="array" ref="P542">MMULT(M542:O542,$I$9:$I$11)</f>
        <v>-2.0612806731332291E-2</v>
      </c>
    </row>
    <row r="543" spans="2:16" x14ac:dyDescent="0.25">
      <c r="B543" s="9">
        <v>36049</v>
      </c>
      <c r="C543" s="10">
        <v>4.9600000380999994E-2</v>
      </c>
      <c r="D543" s="11">
        <v>1009.06</v>
      </c>
      <c r="E543" s="11">
        <v>0.86306840147904473</v>
      </c>
      <c r="L543" s="9">
        <v>36049</v>
      </c>
      <c r="M543" s="14">
        <f t="shared" si="27"/>
        <v>1.6185207010903646E-2</v>
      </c>
      <c r="N543" s="14">
        <f t="shared" si="28"/>
        <v>2.9453473306195521E-2</v>
      </c>
      <c r="O543" s="14">
        <f t="shared" si="29"/>
        <v>-2.48098747416714E-3</v>
      </c>
      <c r="P543" s="14">
        <f t="array" ref="P543">MMULT(M543:O543,$I$9:$I$11)</f>
        <v>6.1399786628081052E-3</v>
      </c>
    </row>
    <row r="544" spans="2:16" x14ac:dyDescent="0.25">
      <c r="B544" s="9">
        <v>36052</v>
      </c>
      <c r="C544" s="10">
        <v>4.9809999465999996E-2</v>
      </c>
      <c r="D544" s="11">
        <v>1029.72</v>
      </c>
      <c r="E544" s="11">
        <v>0.87089113073554092</v>
      </c>
      <c r="L544" s="9">
        <v>36052</v>
      </c>
      <c r="M544" s="14">
        <f t="shared" si="27"/>
        <v>4.2338524876393002E-3</v>
      </c>
      <c r="N544" s="14">
        <f t="shared" si="28"/>
        <v>2.0474501020752101E-2</v>
      </c>
      <c r="O544" s="14">
        <f t="shared" si="29"/>
        <v>9.0638577928359165E-3</v>
      </c>
      <c r="P544" s="14">
        <f t="array" ref="P544">MMULT(M544:O544,$I$9:$I$11)</f>
        <v>1.2144253279878621E-2</v>
      </c>
    </row>
    <row r="545" spans="2:16" x14ac:dyDescent="0.25">
      <c r="B545" s="9">
        <v>36053</v>
      </c>
      <c r="C545" s="10">
        <v>5.0069999694999999E-2</v>
      </c>
      <c r="D545" s="11">
        <v>1037.68</v>
      </c>
      <c r="E545" s="11">
        <v>0.86265923920926424</v>
      </c>
      <c r="L545" s="9">
        <v>36053</v>
      </c>
      <c r="M545" s="14">
        <f t="shared" si="27"/>
        <v>5.219840027853806E-3</v>
      </c>
      <c r="N545" s="14">
        <f t="shared" si="28"/>
        <v>7.7302567688304347E-3</v>
      </c>
      <c r="O545" s="14">
        <f t="shared" si="29"/>
        <v>-9.4522624421771173E-3</v>
      </c>
      <c r="P545" s="14">
        <f t="array" ref="P545">MMULT(M545:O545,$I$9:$I$11)</f>
        <v>-4.813702321033262E-3</v>
      </c>
    </row>
    <row r="546" spans="2:16" x14ac:dyDescent="0.25">
      <c r="B546" s="9">
        <v>36054</v>
      </c>
      <c r="C546" s="10">
        <v>4.9790000915999999E-2</v>
      </c>
      <c r="D546" s="11">
        <v>1045.48</v>
      </c>
      <c r="E546" s="11">
        <v>0.86511407069026258</v>
      </c>
      <c r="L546" s="9">
        <v>36054</v>
      </c>
      <c r="M546" s="14">
        <f t="shared" si="27"/>
        <v>-5.5921466088596494E-3</v>
      </c>
      <c r="N546" s="14">
        <f t="shared" si="28"/>
        <v>7.5167681751600046E-3</v>
      </c>
      <c r="O546" s="14">
        <f t="shared" si="29"/>
        <v>2.8456560475125237E-3</v>
      </c>
      <c r="P546" s="14">
        <f t="array" ref="P546">MMULT(M546:O546,$I$9:$I$11)</f>
        <v>4.1066605702263087E-3</v>
      </c>
    </row>
    <row r="547" spans="2:16" x14ac:dyDescent="0.25">
      <c r="B547" s="9">
        <v>36055</v>
      </c>
      <c r="C547" s="10">
        <v>4.9079999924000001E-2</v>
      </c>
      <c r="D547" s="11">
        <v>1018.87</v>
      </c>
      <c r="E547" s="11">
        <v>0.85959077716310461</v>
      </c>
      <c r="L547" s="9">
        <v>36055</v>
      </c>
      <c r="M547" s="14">
        <f t="shared" si="27"/>
        <v>-1.4259911205822817E-2</v>
      </c>
      <c r="N547" s="14">
        <f t="shared" si="28"/>
        <v>-2.5452423767073462E-2</v>
      </c>
      <c r="O547" s="14">
        <f t="shared" si="29"/>
        <v>-6.3844684929826867E-3</v>
      </c>
      <c r="P547" s="14">
        <f t="array" ref="P547">MMULT(M547:O547,$I$9:$I$11)</f>
        <v>-1.1532017338409858E-2</v>
      </c>
    </row>
    <row r="548" spans="2:16" x14ac:dyDescent="0.25">
      <c r="B548" s="9">
        <v>36056</v>
      </c>
      <c r="C548" s="10">
        <v>4.8289999962000001E-2</v>
      </c>
      <c r="D548" s="11">
        <v>1020.09</v>
      </c>
      <c r="E548" s="11">
        <v>0.86496037377063473</v>
      </c>
      <c r="L548" s="9">
        <v>36056</v>
      </c>
      <c r="M548" s="14">
        <f t="shared" si="27"/>
        <v>-1.609616876983111E-2</v>
      </c>
      <c r="N548" s="14">
        <f t="shared" si="28"/>
        <v>1.1974049682492716E-3</v>
      </c>
      <c r="O548" s="14">
        <f t="shared" si="29"/>
        <v>6.2466894133639261E-3</v>
      </c>
      <c r="P548" s="14">
        <f t="array" ref="P548">MMULT(M548:O548,$I$9:$I$11)</f>
        <v>4.8835942129571968E-3</v>
      </c>
    </row>
    <row r="549" spans="2:16" x14ac:dyDescent="0.25">
      <c r="B549" s="9">
        <v>36059</v>
      </c>
      <c r="C549" s="10">
        <v>4.8220000266999997E-2</v>
      </c>
      <c r="D549" s="11">
        <v>1023.89</v>
      </c>
      <c r="E549" s="11">
        <v>0.86040940948004718</v>
      </c>
      <c r="L549" s="9">
        <v>36059</v>
      </c>
      <c r="M549" s="14">
        <f t="shared" si="27"/>
        <v>-1.4495691665994404E-3</v>
      </c>
      <c r="N549" s="14">
        <f t="shared" si="28"/>
        <v>3.7251615053572884E-3</v>
      </c>
      <c r="O549" s="14">
        <f t="shared" si="29"/>
        <v>-5.26147142527289E-3</v>
      </c>
      <c r="P549" s="14">
        <f t="array" ref="P549">MMULT(M549:O549,$I$9:$I$11)</f>
        <v>-2.8354571357806484E-3</v>
      </c>
    </row>
    <row r="550" spans="2:16" x14ac:dyDescent="0.25">
      <c r="B550" s="9">
        <v>36060</v>
      </c>
      <c r="C550" s="10">
        <v>4.8629999160999998E-2</v>
      </c>
      <c r="D550" s="11">
        <v>1029.6300000000001</v>
      </c>
      <c r="E550" s="11">
        <v>0.86158510719414638</v>
      </c>
      <c r="L550" s="9">
        <v>36060</v>
      </c>
      <c r="M550" s="14">
        <f t="shared" si="27"/>
        <v>8.502672993151883E-3</v>
      </c>
      <c r="N550" s="14">
        <f t="shared" si="28"/>
        <v>5.606070964654597E-3</v>
      </c>
      <c r="O550" s="14">
        <f t="shared" si="29"/>
        <v>1.3664398612396322E-3</v>
      </c>
      <c r="P550" s="14">
        <f t="array" ref="P550">MMULT(M550:O550,$I$9:$I$11)</f>
        <v>2.5109625894355874E-3</v>
      </c>
    </row>
    <row r="551" spans="2:16" x14ac:dyDescent="0.25">
      <c r="B551" s="9">
        <v>36061</v>
      </c>
      <c r="C551" s="10">
        <v>4.8249998093000006E-2</v>
      </c>
      <c r="D551" s="11">
        <v>1066.0899999999999</v>
      </c>
      <c r="E551" s="11">
        <v>0.86281203054375843</v>
      </c>
      <c r="L551" s="9">
        <v>36061</v>
      </c>
      <c r="M551" s="14">
        <f t="shared" si="27"/>
        <v>-7.8141286151767186E-3</v>
      </c>
      <c r="N551" s="14">
        <f t="shared" si="28"/>
        <v>3.5410778629216155E-2</v>
      </c>
      <c r="O551" s="14">
        <f t="shared" si="29"/>
        <v>1.424030359122197E-3</v>
      </c>
      <c r="P551" s="14">
        <f t="array" ref="P551">MMULT(M551:O551,$I$9:$I$11)</f>
        <v>1.0599028113352466E-2</v>
      </c>
    </row>
    <row r="552" spans="2:16" x14ac:dyDescent="0.25">
      <c r="B552" s="9">
        <v>36062</v>
      </c>
      <c r="C552" s="10">
        <v>4.7750000954000005E-2</v>
      </c>
      <c r="D552" s="11">
        <v>1042.72</v>
      </c>
      <c r="E552" s="11">
        <v>0.85846513914987077</v>
      </c>
      <c r="L552" s="9">
        <v>36062</v>
      </c>
      <c r="M552" s="14">
        <f t="shared" si="27"/>
        <v>-1.0362635414747134E-2</v>
      </c>
      <c r="N552" s="14">
        <f t="shared" si="28"/>
        <v>-2.192122616289427E-2</v>
      </c>
      <c r="O552" s="14">
        <f t="shared" si="29"/>
        <v>-5.0380514411095811E-3</v>
      </c>
      <c r="P552" s="14">
        <f t="array" ref="P552">MMULT(M552:O552,$I$9:$I$11)</f>
        <v>-9.5958010947578536E-3</v>
      </c>
    </row>
    <row r="553" spans="2:16" x14ac:dyDescent="0.25">
      <c r="B553" s="9">
        <v>36063</v>
      </c>
      <c r="C553" s="10">
        <v>4.7439999579999996E-2</v>
      </c>
      <c r="D553" s="11">
        <v>1044.75</v>
      </c>
      <c r="E553" s="11">
        <v>0.85452866856183562</v>
      </c>
      <c r="L553" s="9">
        <v>36063</v>
      </c>
      <c r="M553" s="14">
        <f t="shared" si="27"/>
        <v>-6.4921752420203926E-3</v>
      </c>
      <c r="N553" s="14">
        <f t="shared" si="28"/>
        <v>1.9468313641246571E-3</v>
      </c>
      <c r="O553" s="14">
        <f t="shared" si="29"/>
        <v>-4.5854751794969228E-3</v>
      </c>
      <c r="P553" s="14">
        <f t="array" ref="P553">MMULT(M553:O553,$I$9:$I$11)</f>
        <v>-2.8220261613274072E-3</v>
      </c>
    </row>
    <row r="554" spans="2:16" x14ac:dyDescent="0.25">
      <c r="B554" s="9">
        <v>36066</v>
      </c>
      <c r="C554" s="10">
        <v>4.7600002289E-2</v>
      </c>
      <c r="D554" s="11">
        <v>1048.69</v>
      </c>
      <c r="E554" s="11">
        <v>0.85938559201470299</v>
      </c>
      <c r="L554" s="9">
        <v>36066</v>
      </c>
      <c r="M554" s="14">
        <f t="shared" si="27"/>
        <v>3.372738415188703E-3</v>
      </c>
      <c r="N554" s="14">
        <f t="shared" si="28"/>
        <v>3.7712371380713705E-3</v>
      </c>
      <c r="O554" s="14">
        <f t="shared" si="29"/>
        <v>5.6837454746152538E-3</v>
      </c>
      <c r="P554" s="14">
        <f t="array" ref="P554">MMULT(M554:O554,$I$9:$I$11)</f>
        <v>5.1674483710121653E-3</v>
      </c>
    </row>
    <row r="555" spans="2:16" x14ac:dyDescent="0.25">
      <c r="B555" s="9">
        <v>36067</v>
      </c>
      <c r="C555" s="10">
        <v>4.7329998015999998E-2</v>
      </c>
      <c r="D555" s="11">
        <v>1049.02</v>
      </c>
      <c r="E555" s="11">
        <v>0.8580561159312684</v>
      </c>
      <c r="L555" s="9">
        <v>36067</v>
      </c>
      <c r="M555" s="14">
        <f t="shared" si="27"/>
        <v>-5.6723584036969532E-3</v>
      </c>
      <c r="N555" s="14">
        <f t="shared" si="28"/>
        <v>3.1467831294285098E-4</v>
      </c>
      <c r="O555" s="14">
        <f t="shared" si="29"/>
        <v>-1.5470076480079697E-3</v>
      </c>
      <c r="P555" s="14">
        <f t="array" ref="P555">MMULT(M555:O555,$I$9:$I$11)</f>
        <v>-1.0444304560076425E-3</v>
      </c>
    </row>
    <row r="556" spans="2:16" x14ac:dyDescent="0.25">
      <c r="B556" s="9">
        <v>36068</v>
      </c>
      <c r="C556" s="10">
        <v>4.5789999962000005E-2</v>
      </c>
      <c r="D556" s="11">
        <v>1017.01</v>
      </c>
      <c r="E556" s="11">
        <v>0.85468146672660517</v>
      </c>
      <c r="L556" s="9">
        <v>36068</v>
      </c>
      <c r="M556" s="14">
        <f t="shared" si="27"/>
        <v>-3.2537462889379198E-2</v>
      </c>
      <c r="N556" s="14">
        <f t="shared" si="28"/>
        <v>-3.0514194200301215E-2</v>
      </c>
      <c r="O556" s="14">
        <f t="shared" si="29"/>
        <v>-3.932900356989677E-3</v>
      </c>
      <c r="P556" s="14">
        <f t="array" ref="P556">MMULT(M556:O556,$I$9:$I$11)</f>
        <v>-1.1108735755503488E-2</v>
      </c>
    </row>
    <row r="557" spans="2:16" x14ac:dyDescent="0.25">
      <c r="B557" s="9">
        <v>36069</v>
      </c>
      <c r="C557" s="10">
        <v>4.4739999771000002E-2</v>
      </c>
      <c r="D557" s="11">
        <v>986.39</v>
      </c>
      <c r="E557" s="11">
        <v>0.84384115049750708</v>
      </c>
      <c r="L557" s="9">
        <v>36069</v>
      </c>
      <c r="M557" s="14">
        <f t="shared" si="27"/>
        <v>-2.2930775100925338E-2</v>
      </c>
      <c r="N557" s="14">
        <f t="shared" si="28"/>
        <v>-3.0107865212731455E-2</v>
      </c>
      <c r="O557" s="14">
        <f t="shared" si="29"/>
        <v>-1.268345769870971E-2</v>
      </c>
      <c r="P557" s="14">
        <f t="array" ref="P557">MMULT(M557:O557,$I$9:$I$11)</f>
        <v>-1.7387317524882498E-2</v>
      </c>
    </row>
    <row r="558" spans="2:16" x14ac:dyDescent="0.25">
      <c r="B558" s="9">
        <v>36070</v>
      </c>
      <c r="C558" s="10">
        <v>4.4510002136000003E-2</v>
      </c>
      <c r="D558" s="11">
        <v>1002.6</v>
      </c>
      <c r="E558" s="11">
        <v>0.83688633405534374</v>
      </c>
      <c r="L558" s="9">
        <v>36070</v>
      </c>
      <c r="M558" s="14">
        <f t="shared" si="27"/>
        <v>-5.1407607549672774E-3</v>
      </c>
      <c r="N558" s="14">
        <f t="shared" si="28"/>
        <v>1.643366214174935E-2</v>
      </c>
      <c r="O558" s="14">
        <f t="shared" si="29"/>
        <v>-8.2418550435268134E-3</v>
      </c>
      <c r="P558" s="14">
        <f t="array" ref="P558">MMULT(M558:O558,$I$9:$I$11)</f>
        <v>-1.5804994775224608E-3</v>
      </c>
    </row>
    <row r="559" spans="2:16" x14ac:dyDescent="0.25">
      <c r="B559" s="9">
        <v>36073</v>
      </c>
      <c r="C559" s="10">
        <v>4.3289999962000003E-2</v>
      </c>
      <c r="D559" s="11">
        <v>988.56</v>
      </c>
      <c r="E559" s="11">
        <v>0.83594094187188628</v>
      </c>
      <c r="L559" s="9">
        <v>36073</v>
      </c>
      <c r="M559" s="14">
        <f t="shared" si="27"/>
        <v>-2.7409618410538239E-2</v>
      </c>
      <c r="N559" s="14">
        <f t="shared" si="28"/>
        <v>-1.4003590664272925E-2</v>
      </c>
      <c r="O559" s="14">
        <f t="shared" si="29"/>
        <v>-1.1296542254147779E-3</v>
      </c>
      <c r="P559" s="14">
        <f t="array" ref="P559">MMULT(M559:O559,$I$9:$I$11)</f>
        <v>-4.6050775573539173E-3</v>
      </c>
    </row>
    <row r="560" spans="2:16" x14ac:dyDescent="0.25">
      <c r="B560" s="9">
        <v>36074</v>
      </c>
      <c r="C560" s="10">
        <v>4.3990001677999997E-2</v>
      </c>
      <c r="D560" s="11">
        <v>984.59</v>
      </c>
      <c r="E560" s="11">
        <v>0.83803700963646721</v>
      </c>
      <c r="L560" s="9">
        <v>36074</v>
      </c>
      <c r="M560" s="14">
        <f t="shared" si="27"/>
        <v>1.6170055823849783E-2</v>
      </c>
      <c r="N560" s="14">
        <f t="shared" si="28"/>
        <v>-4.0159423808366901E-3</v>
      </c>
      <c r="O560" s="14">
        <f t="shared" si="29"/>
        <v>2.5074352260905375E-3</v>
      </c>
      <c r="P560" s="14">
        <f t="array" ref="P560">MMULT(M560:O560,$I$9:$I$11)</f>
        <v>7.4639664664458822E-4</v>
      </c>
    </row>
    <row r="561" spans="2:16" x14ac:dyDescent="0.25">
      <c r="B561" s="9">
        <v>36075</v>
      </c>
      <c r="C561" s="10">
        <v>4.4829998016000003E-2</v>
      </c>
      <c r="D561" s="11">
        <v>970.68</v>
      </c>
      <c r="E561" s="11">
        <v>0.82502318118783613</v>
      </c>
      <c r="L561" s="9">
        <v>36075</v>
      </c>
      <c r="M561" s="14">
        <f t="shared" si="27"/>
        <v>1.9095164945631238E-2</v>
      </c>
      <c r="N561" s="14">
        <f t="shared" si="28"/>
        <v>-1.4127707979971427E-2</v>
      </c>
      <c r="O561" s="14">
        <f t="shared" si="29"/>
        <v>-1.552894239632252E-2</v>
      </c>
      <c r="P561" s="14">
        <f t="array" ref="P561">MMULT(M561:O561,$I$9:$I$11)</f>
        <v>-1.5150667825274954E-2</v>
      </c>
    </row>
    <row r="562" spans="2:16" x14ac:dyDescent="0.25">
      <c r="B562" s="9">
        <v>36076</v>
      </c>
      <c r="C562" s="10">
        <v>4.5729999542000001E-2</v>
      </c>
      <c r="D562" s="11">
        <v>959.44</v>
      </c>
      <c r="E562" s="11">
        <v>0.82244093132738327</v>
      </c>
      <c r="L562" s="9">
        <v>36076</v>
      </c>
      <c r="M562" s="14">
        <f t="shared" si="27"/>
        <v>2.0075876998227438E-2</v>
      </c>
      <c r="N562" s="14">
        <f t="shared" si="28"/>
        <v>-1.1579511270449427E-2</v>
      </c>
      <c r="O562" s="14">
        <f t="shared" si="29"/>
        <v>-3.1299118853060914E-3</v>
      </c>
      <c r="P562" s="14">
        <f t="array" ref="P562">MMULT(M562:O562,$I$9:$I$11)</f>
        <v>-5.4109496229190297E-3</v>
      </c>
    </row>
    <row r="563" spans="2:16" x14ac:dyDescent="0.25">
      <c r="B563" s="9">
        <v>36077</v>
      </c>
      <c r="C563" s="10">
        <v>4.8029999733000005E-2</v>
      </c>
      <c r="D563" s="11">
        <v>984.39</v>
      </c>
      <c r="E563" s="11">
        <v>0.83581250820624231</v>
      </c>
      <c r="L563" s="9">
        <v>36077</v>
      </c>
      <c r="M563" s="14">
        <f t="shared" si="27"/>
        <v>5.0295215701622764E-2</v>
      </c>
      <c r="N563" s="14">
        <f t="shared" si="28"/>
        <v>2.6004752772450512E-2</v>
      </c>
      <c r="O563" s="14">
        <f t="shared" si="29"/>
        <v>1.6258403940667021E-2</v>
      </c>
      <c r="P563" s="14">
        <f t="array" ref="P563">MMULT(M563:O563,$I$9:$I$11)</f>
        <v>1.8889509686145011E-2</v>
      </c>
    </row>
    <row r="564" spans="2:16" x14ac:dyDescent="0.25">
      <c r="B564" s="9">
        <v>36080</v>
      </c>
      <c r="C564" s="10">
        <v>4.8029999733000005E-2</v>
      </c>
      <c r="D564" s="11">
        <v>997.71</v>
      </c>
      <c r="E564" s="11">
        <v>0.84437762563054064</v>
      </c>
      <c r="L564" s="9">
        <v>36080</v>
      </c>
      <c r="M564" s="14">
        <f t="shared" si="27"/>
        <v>0</v>
      </c>
      <c r="N564" s="14">
        <f t="shared" si="28"/>
        <v>1.3531222381373276E-2</v>
      </c>
      <c r="O564" s="14">
        <f t="shared" si="29"/>
        <v>1.0247654037482734E-2</v>
      </c>
      <c r="P564" s="14">
        <f t="array" ref="P564">MMULT(M564:O564,$I$9:$I$11)</f>
        <v>1.113407988621763E-2</v>
      </c>
    </row>
    <row r="565" spans="2:16" x14ac:dyDescent="0.25">
      <c r="B565" s="9">
        <v>36081</v>
      </c>
      <c r="C565" s="10">
        <v>4.7199997902000003E-2</v>
      </c>
      <c r="D565" s="11">
        <v>994.8</v>
      </c>
      <c r="E565" s="11">
        <v>0.83427844226001069</v>
      </c>
      <c r="L565" s="9">
        <v>36081</v>
      </c>
      <c r="M565" s="14">
        <f t="shared" si="27"/>
        <v>-1.7280904343410453E-2</v>
      </c>
      <c r="N565" s="14">
        <f t="shared" si="28"/>
        <v>-2.91667919535743E-3</v>
      </c>
      <c r="O565" s="14">
        <f t="shared" si="29"/>
        <v>-1.1960505659998288E-2</v>
      </c>
      <c r="P565" s="14">
        <f t="array" ref="P565">MMULT(M565:O565,$I$9:$I$11)</f>
        <v>-9.5190515131259208E-3</v>
      </c>
    </row>
    <row r="566" spans="2:16" x14ac:dyDescent="0.25">
      <c r="B566" s="9">
        <v>36082</v>
      </c>
      <c r="C566" s="10">
        <v>4.5700001717000005E-2</v>
      </c>
      <c r="D566" s="11">
        <v>1005.53</v>
      </c>
      <c r="E566" s="11">
        <v>0.83824167471342559</v>
      </c>
      <c r="L566" s="9">
        <v>36082</v>
      </c>
      <c r="M566" s="14">
        <f t="shared" si="27"/>
        <v>-3.1779581603253337E-2</v>
      </c>
      <c r="N566" s="14">
        <f t="shared" si="28"/>
        <v>1.0786087655810128E-2</v>
      </c>
      <c r="O566" s="14">
        <f t="shared" si="29"/>
        <v>4.7504912660558674E-3</v>
      </c>
      <c r="P566" s="14">
        <f t="array" ref="P566">MMULT(M566:O566,$I$9:$I$11)</f>
        <v>6.3798493582556829E-3</v>
      </c>
    </row>
    <row r="567" spans="2:16" x14ac:dyDescent="0.25">
      <c r="B567" s="9">
        <v>36083</v>
      </c>
      <c r="C567" s="10">
        <v>4.5700001717000005E-2</v>
      </c>
      <c r="D567" s="11">
        <v>1047.49</v>
      </c>
      <c r="E567" s="11">
        <v>0.8255092608483493</v>
      </c>
      <c r="L567" s="9">
        <v>36083</v>
      </c>
      <c r="M567" s="14">
        <f t="shared" si="27"/>
        <v>0</v>
      </c>
      <c r="N567" s="14">
        <f t="shared" si="28"/>
        <v>4.172923731763345E-2</v>
      </c>
      <c r="O567" s="14">
        <f t="shared" si="29"/>
        <v>-1.5189430744336541E-2</v>
      </c>
      <c r="P567" s="14">
        <f t="array" ref="P567">MMULT(M567:O567,$I$9:$I$11)</f>
        <v>1.762243484126156E-4</v>
      </c>
    </row>
    <row r="568" spans="2:16" x14ac:dyDescent="0.25">
      <c r="B568" s="9">
        <v>36084</v>
      </c>
      <c r="C568" s="10">
        <v>4.4479999542E-2</v>
      </c>
      <c r="D568" s="11">
        <v>1056.42</v>
      </c>
      <c r="E568" s="11">
        <v>0.82737525936889544</v>
      </c>
      <c r="L568" s="9">
        <v>36084</v>
      </c>
      <c r="M568" s="14">
        <f t="shared" si="27"/>
        <v>-2.6695889040769472E-2</v>
      </c>
      <c r="N568" s="14">
        <f t="shared" si="28"/>
        <v>8.5251410514659565E-3</v>
      </c>
      <c r="O568" s="14">
        <f t="shared" si="29"/>
        <v>2.2604210625432053E-3</v>
      </c>
      <c r="P568" s="14">
        <f t="array" ref="P568">MMULT(M568:O568,$I$9:$I$11)</f>
        <v>3.9516329246625705E-3</v>
      </c>
    </row>
    <row r="569" spans="2:16" x14ac:dyDescent="0.25">
      <c r="B569" s="9">
        <v>36087</v>
      </c>
      <c r="C569" s="10">
        <v>4.4670000075999999E-2</v>
      </c>
      <c r="D569" s="11">
        <v>1062.3900000000001</v>
      </c>
      <c r="E569" s="11">
        <v>0.83427844226001069</v>
      </c>
      <c r="L569" s="9">
        <v>36087</v>
      </c>
      <c r="M569" s="14">
        <f t="shared" si="27"/>
        <v>4.2715947831921675E-3</v>
      </c>
      <c r="N569" s="14">
        <f t="shared" si="28"/>
        <v>5.6511614698699919E-3</v>
      </c>
      <c r="O569" s="14">
        <f t="shared" si="29"/>
        <v>8.3434727023150579E-3</v>
      </c>
      <c r="P569" s="14">
        <f t="array" ref="P569">MMULT(M569:O569,$I$9:$I$11)</f>
        <v>7.6166614959276421E-3</v>
      </c>
    </row>
    <row r="570" spans="2:16" x14ac:dyDescent="0.25">
      <c r="B570" s="9">
        <v>36088</v>
      </c>
      <c r="C570" s="10">
        <v>4.5399999619000007E-2</v>
      </c>
      <c r="D570" s="11">
        <v>1063.93</v>
      </c>
      <c r="E570" s="11">
        <v>0.83888110089431145</v>
      </c>
      <c r="L570" s="9">
        <v>36088</v>
      </c>
      <c r="M570" s="14">
        <f t="shared" si="27"/>
        <v>1.6342053766689402E-2</v>
      </c>
      <c r="N570" s="14">
        <f t="shared" si="28"/>
        <v>1.4495618369900765E-3</v>
      </c>
      <c r="O570" s="14">
        <f t="shared" si="29"/>
        <v>5.5169334375133605E-3</v>
      </c>
      <c r="P570" s="14">
        <f t="array" ref="P570">MMULT(M570:O570,$I$9:$I$11)</f>
        <v>4.4189135562392665E-3</v>
      </c>
    </row>
    <row r="571" spans="2:16" x14ac:dyDescent="0.25">
      <c r="B571" s="9">
        <v>36089</v>
      </c>
      <c r="C571" s="10">
        <v>4.5700001717000005E-2</v>
      </c>
      <c r="D571" s="11">
        <v>1069.92</v>
      </c>
      <c r="E571" s="11">
        <v>0.84442921962205486</v>
      </c>
      <c r="L571" s="9">
        <v>36089</v>
      </c>
      <c r="M571" s="14">
        <f t="shared" si="27"/>
        <v>6.6079757823267471E-3</v>
      </c>
      <c r="N571" s="14">
        <f t="shared" si="28"/>
        <v>5.6300696474391732E-3</v>
      </c>
      <c r="O571" s="14">
        <f t="shared" si="29"/>
        <v>6.6137128632755005E-3</v>
      </c>
      <c r="P571" s="14">
        <f t="array" ref="P571">MMULT(M571:O571,$I$9:$I$11)</f>
        <v>6.3481704164211937E-3</v>
      </c>
    </row>
    <row r="572" spans="2:16" x14ac:dyDescent="0.25">
      <c r="B572" s="9">
        <v>36090</v>
      </c>
      <c r="C572" s="10">
        <v>4.5970001220999999E-2</v>
      </c>
      <c r="D572" s="11">
        <v>1078.48</v>
      </c>
      <c r="E572" s="11">
        <v>0.83734670966656488</v>
      </c>
      <c r="L572" s="9">
        <v>36090</v>
      </c>
      <c r="M572" s="14">
        <f t="shared" si="27"/>
        <v>5.9080852047224131E-3</v>
      </c>
      <c r="N572" s="14">
        <f t="shared" si="28"/>
        <v>8.0005981755644218E-3</v>
      </c>
      <c r="O572" s="14">
        <f t="shared" si="29"/>
        <v>-8.3873340605857827E-3</v>
      </c>
      <c r="P572" s="14">
        <f t="array" ref="P572">MMULT(M572:O572,$I$9:$I$11)</f>
        <v>-3.9632791239897465E-3</v>
      </c>
    </row>
    <row r="573" spans="2:16" x14ac:dyDescent="0.25">
      <c r="B573" s="9">
        <v>36091</v>
      </c>
      <c r="C573" s="10">
        <v>4.6830000876999997E-2</v>
      </c>
      <c r="D573" s="11">
        <v>1070.67</v>
      </c>
      <c r="E573" s="11">
        <v>0.83847124623583402</v>
      </c>
      <c r="L573" s="9">
        <v>36091</v>
      </c>
      <c r="M573" s="14">
        <f t="shared" si="27"/>
        <v>1.8707844967537968E-2</v>
      </c>
      <c r="N573" s="14">
        <f t="shared" si="28"/>
        <v>-7.2416734663600657E-3</v>
      </c>
      <c r="O573" s="14">
        <f t="shared" si="29"/>
        <v>1.3429760412111413E-3</v>
      </c>
      <c r="P573" s="14">
        <f t="array" ref="P573">MMULT(M573:O573,$I$9:$I$11)</f>
        <v>-9.7451956992759587E-4</v>
      </c>
    </row>
    <row r="574" spans="2:16" x14ac:dyDescent="0.25">
      <c r="B574" s="9">
        <v>36094</v>
      </c>
      <c r="C574" s="10">
        <v>4.7100000380999998E-2</v>
      </c>
      <c r="D574" s="11">
        <v>1072.32</v>
      </c>
      <c r="E574" s="11">
        <v>0.85107681620540032</v>
      </c>
      <c r="L574" s="9">
        <v>36094</v>
      </c>
      <c r="M574" s="14">
        <f t="shared" si="27"/>
        <v>5.7655242140430829E-3</v>
      </c>
      <c r="N574" s="14">
        <f t="shared" si="28"/>
        <v>1.5410910924933408E-3</v>
      </c>
      <c r="O574" s="14">
        <f t="shared" si="29"/>
        <v>1.5033991953995685E-2</v>
      </c>
      <c r="P574" s="14">
        <f t="array" ref="P574">MMULT(M574:O574,$I$9:$I$11)</f>
        <v>1.1391474166812469E-2</v>
      </c>
    </row>
    <row r="575" spans="2:16" x14ac:dyDescent="0.25">
      <c r="B575" s="9">
        <v>36095</v>
      </c>
      <c r="C575" s="10">
        <v>4.5999999045999995E-2</v>
      </c>
      <c r="D575" s="11">
        <v>1065.3399999999999</v>
      </c>
      <c r="E575" s="11">
        <v>0.84545117644997048</v>
      </c>
      <c r="L575" s="9">
        <v>36095</v>
      </c>
      <c r="M575" s="14">
        <f t="shared" si="27"/>
        <v>-2.3354592910868388E-2</v>
      </c>
      <c r="N575" s="14">
        <f t="shared" si="28"/>
        <v>-6.50925096985977E-3</v>
      </c>
      <c r="O575" s="14">
        <f t="shared" si="29"/>
        <v>-6.6100258499722786E-3</v>
      </c>
      <c r="P575" s="14">
        <f t="array" ref="P575">MMULT(M575:O575,$I$9:$I$11)</f>
        <v>-6.5828208555030465E-3</v>
      </c>
    </row>
    <row r="576" spans="2:16" x14ac:dyDescent="0.25">
      <c r="B576" s="9">
        <v>36096</v>
      </c>
      <c r="C576" s="10">
        <v>4.5609998702999997E-2</v>
      </c>
      <c r="D576" s="11">
        <v>1068.1300000000001</v>
      </c>
      <c r="E576" s="11">
        <v>0.84731856447777543</v>
      </c>
      <c r="L576" s="9">
        <v>36096</v>
      </c>
      <c r="M576" s="14">
        <f t="shared" si="27"/>
        <v>-8.4782685019187953E-3</v>
      </c>
      <c r="N576" s="14">
        <f t="shared" si="28"/>
        <v>2.6188822347796847E-3</v>
      </c>
      <c r="O576" s="14">
        <f t="shared" si="29"/>
        <v>2.2087473290250959E-3</v>
      </c>
      <c r="P576" s="14">
        <f t="array" ref="P576">MMULT(M576:O576,$I$9:$I$11)</f>
        <v>2.3194665661031826E-3</v>
      </c>
    </row>
    <row r="577" spans="2:16" x14ac:dyDescent="0.25">
      <c r="B577" s="9">
        <v>36097</v>
      </c>
      <c r="C577" s="10">
        <v>4.5029997826E-2</v>
      </c>
      <c r="D577" s="11">
        <v>1085.93</v>
      </c>
      <c r="E577" s="11">
        <v>0.84517033462010605</v>
      </c>
      <c r="L577" s="9">
        <v>36097</v>
      </c>
      <c r="M577" s="14">
        <f t="shared" si="27"/>
        <v>-1.2716529127238196E-2</v>
      </c>
      <c r="N577" s="14">
        <f t="shared" si="28"/>
        <v>1.666463819946995E-2</v>
      </c>
      <c r="O577" s="14">
        <f t="shared" si="29"/>
        <v>-2.5353272638295454E-3</v>
      </c>
      <c r="P577" s="14">
        <f t="array" ref="P577">MMULT(M577:O577,$I$9:$I$11)</f>
        <v>2.6478588005483805E-3</v>
      </c>
    </row>
    <row r="578" spans="2:16" x14ac:dyDescent="0.25">
      <c r="B578" s="9">
        <v>36098</v>
      </c>
      <c r="C578" s="10">
        <v>4.6030001639999998E-2</v>
      </c>
      <c r="D578" s="11">
        <v>1098.67</v>
      </c>
      <c r="E578" s="11">
        <v>0.84517033462010605</v>
      </c>
      <c r="L578" s="9">
        <v>36098</v>
      </c>
      <c r="M578" s="14">
        <f t="shared" si="27"/>
        <v>2.2207503048614408E-2</v>
      </c>
      <c r="N578" s="14">
        <f t="shared" si="28"/>
        <v>1.1731879587081995E-2</v>
      </c>
      <c r="O578" s="14">
        <f t="shared" si="29"/>
        <v>0</v>
      </c>
      <c r="P578" s="14">
        <f t="array" ref="P578">MMULT(M578:O578,$I$9:$I$11)</f>
        <v>3.1671158420028414E-3</v>
      </c>
    </row>
    <row r="579" spans="2:16" x14ac:dyDescent="0.25">
      <c r="B579" s="9">
        <v>36101</v>
      </c>
      <c r="C579" s="10">
        <v>4.7639999389999993E-2</v>
      </c>
      <c r="D579" s="11">
        <v>1111.5999999999999</v>
      </c>
      <c r="E579" s="11">
        <v>0.84407099703754496</v>
      </c>
      <c r="L579" s="9">
        <v>36101</v>
      </c>
      <c r="M579" s="14">
        <f t="shared" si="27"/>
        <v>3.4977138662556806E-2</v>
      </c>
      <c r="N579" s="14">
        <f t="shared" si="28"/>
        <v>1.1768774973376805E-2</v>
      </c>
      <c r="O579" s="14">
        <f t="shared" si="29"/>
        <v>-1.3007290217482703E-3</v>
      </c>
      <c r="P579" s="14">
        <f t="array" ref="P579">MMULT(M579:O579,$I$9:$I$11)</f>
        <v>2.2274893547561728E-3</v>
      </c>
    </row>
    <row r="580" spans="2:16" x14ac:dyDescent="0.25">
      <c r="B580" s="9">
        <v>36102</v>
      </c>
      <c r="C580" s="10">
        <v>4.7360000610000001E-2</v>
      </c>
      <c r="D580" s="11">
        <v>1110.8399999999999</v>
      </c>
      <c r="E580" s="11">
        <v>0.84821242684539233</v>
      </c>
      <c r="L580" s="9">
        <v>36102</v>
      </c>
      <c r="M580" s="14">
        <f t="shared" si="27"/>
        <v>-5.8773884043912261E-3</v>
      </c>
      <c r="N580" s="14">
        <f t="shared" si="28"/>
        <v>-6.8369917236410505E-4</v>
      </c>
      <c r="O580" s="14">
        <f t="shared" si="29"/>
        <v>4.9064946223511541E-3</v>
      </c>
      <c r="P580" s="14">
        <f t="array" ref="P580">MMULT(M580:O580,$I$9:$I$11)</f>
        <v>3.3973765653772764E-3</v>
      </c>
    </row>
    <row r="581" spans="2:16" x14ac:dyDescent="0.25">
      <c r="B581" s="9">
        <v>36103</v>
      </c>
      <c r="C581" s="10">
        <v>4.8870000839000005E-2</v>
      </c>
      <c r="D581" s="11">
        <v>1118.67</v>
      </c>
      <c r="E581" s="11">
        <v>0.85358288545999372</v>
      </c>
      <c r="L581" s="9">
        <v>36103</v>
      </c>
      <c r="M581" s="14">
        <f t="shared" si="27"/>
        <v>3.188345037058915E-2</v>
      </c>
      <c r="N581" s="14">
        <f t="shared" si="28"/>
        <v>7.0487198876527657E-3</v>
      </c>
      <c r="O581" s="14">
        <f t="shared" si="29"/>
        <v>6.3315019264393868E-3</v>
      </c>
      <c r="P581" s="14">
        <f t="array" ref="P581">MMULT(M581:O581,$I$9:$I$11)</f>
        <v>6.5251207195975644E-3</v>
      </c>
    </row>
    <row r="582" spans="2:16" x14ac:dyDescent="0.25">
      <c r="B582" s="9">
        <v>36104</v>
      </c>
      <c r="C582" s="10">
        <v>4.8499999045999997E-2</v>
      </c>
      <c r="D582" s="11">
        <v>1133.8499999999999</v>
      </c>
      <c r="E582" s="11">
        <v>0.84785527267857308</v>
      </c>
      <c r="L582" s="9">
        <v>36104</v>
      </c>
      <c r="M582" s="14">
        <f t="shared" si="27"/>
        <v>-7.5711435778149649E-3</v>
      </c>
      <c r="N582" s="14">
        <f t="shared" si="28"/>
        <v>1.3569685430019351E-2</v>
      </c>
      <c r="O582" s="14">
        <f t="shared" si="29"/>
        <v>-6.7100839051312811E-3</v>
      </c>
      <c r="P582" s="14">
        <f t="array" ref="P582">MMULT(M582:O582,$I$9:$I$11)</f>
        <v>-1.2353960465684428E-3</v>
      </c>
    </row>
    <row r="583" spans="2:16" x14ac:dyDescent="0.25">
      <c r="B583" s="9">
        <v>36105</v>
      </c>
      <c r="C583" s="10">
        <v>4.9419999122999998E-2</v>
      </c>
      <c r="D583" s="11">
        <v>1141.01</v>
      </c>
      <c r="E583" s="11">
        <v>0.85002864638189712</v>
      </c>
      <c r="L583" s="9">
        <v>36105</v>
      </c>
      <c r="M583" s="14">
        <f t="shared" si="27"/>
        <v>1.8969074125700924E-2</v>
      </c>
      <c r="N583" s="14">
        <f t="shared" si="28"/>
        <v>6.3147682674076222E-3</v>
      </c>
      <c r="O583" s="14">
        <f t="shared" si="29"/>
        <v>2.563378177100839E-3</v>
      </c>
      <c r="P583" s="14">
        <f t="array" ref="P583">MMULT(M583:O583,$I$9:$I$11)</f>
        <v>3.576096292416767E-3</v>
      </c>
    </row>
    <row r="584" spans="2:16" x14ac:dyDescent="0.25">
      <c r="B584" s="9">
        <v>36108</v>
      </c>
      <c r="C584" s="10">
        <v>4.8660001755000001E-2</v>
      </c>
      <c r="D584" s="11">
        <v>1130.2</v>
      </c>
      <c r="E584" s="11">
        <v>0.86291392153056268</v>
      </c>
      <c r="L584" s="9">
        <v>36108</v>
      </c>
      <c r="M584" s="14">
        <f t="shared" si="27"/>
        <v>-1.5378336331177578E-2</v>
      </c>
      <c r="N584" s="14">
        <f t="shared" si="28"/>
        <v>-9.4740624534402906E-3</v>
      </c>
      <c r="O584" s="14">
        <f t="shared" si="29"/>
        <v>1.5158636363034494E-2</v>
      </c>
      <c r="P584" s="14">
        <f t="array" ref="P584">MMULT(M584:O584,$I$9:$I$11)</f>
        <v>8.5088399622221256E-3</v>
      </c>
    </row>
    <row r="585" spans="2:16" x14ac:dyDescent="0.25">
      <c r="B585" s="9">
        <v>36109</v>
      </c>
      <c r="C585" s="10">
        <v>4.8099999428000001E-2</v>
      </c>
      <c r="D585" s="11">
        <v>1128.26</v>
      </c>
      <c r="E585" s="11">
        <v>0.8610990268396469</v>
      </c>
      <c r="L585" s="9">
        <v>36109</v>
      </c>
      <c r="M585" s="14">
        <f t="shared" ref="M585:M648" si="30">C585/C584-1</f>
        <v>-1.1508473218303172E-2</v>
      </c>
      <c r="N585" s="14">
        <f t="shared" ref="N585:N648" si="31">D585/D584-1</f>
        <v>-1.7165103521501468E-3</v>
      </c>
      <c r="O585" s="14">
        <f t="shared" ref="O585:O648" si="32">E585/E584-1</f>
        <v>-2.1032163760861255E-3</v>
      </c>
      <c r="P585" s="14">
        <f t="array" ref="P585">MMULT(M585:O585,$I$9:$I$11)</f>
        <v>-1.9988219552676458E-3</v>
      </c>
    </row>
    <row r="586" spans="2:16" x14ac:dyDescent="0.25">
      <c r="B586" s="9">
        <v>36110</v>
      </c>
      <c r="C586" s="10">
        <v>4.7778000831999998E-2</v>
      </c>
      <c r="D586" s="11">
        <v>1120.97</v>
      </c>
      <c r="E586" s="11">
        <v>0.85821017829827351</v>
      </c>
      <c r="L586" s="9">
        <v>36110</v>
      </c>
      <c r="M586" s="14">
        <f t="shared" si="30"/>
        <v>-6.6943575848061876E-3</v>
      </c>
      <c r="N586" s="14">
        <f t="shared" si="31"/>
        <v>-6.4612766560898649E-3</v>
      </c>
      <c r="O586" s="14">
        <f t="shared" si="32"/>
        <v>-3.3548389341186979E-3</v>
      </c>
      <c r="P586" s="14">
        <f t="array" ref="P586">MMULT(M586:O586,$I$9:$I$11)</f>
        <v>-4.1934469379276739E-3</v>
      </c>
    </row>
    <row r="587" spans="2:16" x14ac:dyDescent="0.25">
      <c r="B587" s="9">
        <v>36111</v>
      </c>
      <c r="C587" s="10">
        <v>4.7778000831999998E-2</v>
      </c>
      <c r="D587" s="11">
        <v>1117.69</v>
      </c>
      <c r="E587" s="11">
        <v>0.85821017829827351</v>
      </c>
      <c r="L587" s="9">
        <v>36111</v>
      </c>
      <c r="M587" s="14">
        <f t="shared" si="30"/>
        <v>0</v>
      </c>
      <c r="N587" s="14">
        <f t="shared" si="31"/>
        <v>-2.9260372712918148E-3</v>
      </c>
      <c r="O587" s="14">
        <f t="shared" si="32"/>
        <v>0</v>
      </c>
      <c r="P587" s="14">
        <f t="array" ref="P587">MMULT(M587:O587,$I$9:$I$11)</f>
        <v>-7.8990744214619288E-4</v>
      </c>
    </row>
    <row r="588" spans="2:16" x14ac:dyDescent="0.25">
      <c r="B588" s="9">
        <v>36112</v>
      </c>
      <c r="C588" s="10">
        <v>4.8140001297000003E-2</v>
      </c>
      <c r="D588" s="11">
        <v>1125.72</v>
      </c>
      <c r="E588" s="11">
        <v>0.86378416930672031</v>
      </c>
      <c r="L588" s="9">
        <v>36112</v>
      </c>
      <c r="M588" s="14">
        <f t="shared" si="30"/>
        <v>7.5767185461128594E-3</v>
      </c>
      <c r="N588" s="14">
        <f t="shared" si="31"/>
        <v>7.1844608075584127E-3</v>
      </c>
      <c r="O588" s="14">
        <f t="shared" si="32"/>
        <v>6.4949020058224782E-3</v>
      </c>
      <c r="P588" s="14">
        <f t="array" ref="P588">MMULT(M588:O588,$I$9:$I$11)</f>
        <v>6.6810539850309155E-3</v>
      </c>
    </row>
    <row r="589" spans="2:16" x14ac:dyDescent="0.25">
      <c r="B589" s="9">
        <v>36115</v>
      </c>
      <c r="C589" s="10">
        <v>4.8660001755000001E-2</v>
      </c>
      <c r="D589" s="11">
        <v>1135.8599999999999</v>
      </c>
      <c r="E589" s="11">
        <v>0.85230393426021422</v>
      </c>
      <c r="L589" s="9">
        <v>36115</v>
      </c>
      <c r="M589" s="14">
        <f t="shared" si="30"/>
        <v>1.0801837224553745E-2</v>
      </c>
      <c r="N589" s="14">
        <f t="shared" si="31"/>
        <v>9.0075684894999064E-3</v>
      </c>
      <c r="O589" s="14">
        <f t="shared" si="32"/>
        <v>-1.3290629134498078E-2</v>
      </c>
      <c r="P589" s="14">
        <f t="array" ref="P589">MMULT(M589:O589,$I$9:$I$11)</f>
        <v>-7.2710502239853002E-3</v>
      </c>
    </row>
    <row r="590" spans="2:16" x14ac:dyDescent="0.25">
      <c r="B590" s="9">
        <v>36116</v>
      </c>
      <c r="C590" s="10">
        <v>4.8779997825999996E-2</v>
      </c>
      <c r="D590" s="11">
        <v>1139.32</v>
      </c>
      <c r="E590" s="11">
        <v>0.8536328307443477</v>
      </c>
      <c r="L590" s="9">
        <v>36116</v>
      </c>
      <c r="M590" s="14">
        <f t="shared" si="30"/>
        <v>2.4660104124978321E-3</v>
      </c>
      <c r="N590" s="14">
        <f t="shared" si="31"/>
        <v>3.0461500537037889E-3</v>
      </c>
      <c r="O590" s="14">
        <f t="shared" si="32"/>
        <v>1.5591814500854895E-3</v>
      </c>
      <c r="P590" s="14">
        <f t="array" ref="P590">MMULT(M590:O590,$I$9:$I$11)</f>
        <v>1.9606006588426179E-3</v>
      </c>
    </row>
    <row r="591" spans="2:16" x14ac:dyDescent="0.25">
      <c r="B591" s="9">
        <v>36117</v>
      </c>
      <c r="C591" s="10">
        <v>4.8540000915999998E-2</v>
      </c>
      <c r="D591" s="11">
        <v>1144.48</v>
      </c>
      <c r="E591" s="11">
        <v>0.85271329807104623</v>
      </c>
      <c r="L591" s="9">
        <v>36117</v>
      </c>
      <c r="M591" s="14">
        <f t="shared" si="30"/>
        <v>-4.9199860741296897E-3</v>
      </c>
      <c r="N591" s="14">
        <f t="shared" si="31"/>
        <v>4.529017308570138E-3</v>
      </c>
      <c r="O591" s="14">
        <f t="shared" si="32"/>
        <v>-1.0771992830918009E-3</v>
      </c>
      <c r="P591" s="14">
        <f t="array" ref="P591">MMULT(M591:O591,$I$9:$I$11)</f>
        <v>4.3624425759219759E-4</v>
      </c>
    </row>
    <row r="592" spans="2:16" x14ac:dyDescent="0.25">
      <c r="B592" s="9">
        <v>36118</v>
      </c>
      <c r="C592" s="10">
        <v>4.8499999045999997E-2</v>
      </c>
      <c r="D592" s="11">
        <v>1152.6099999999999</v>
      </c>
      <c r="E592" s="11">
        <v>0.85907958156588138</v>
      </c>
      <c r="L592" s="9">
        <v>36118</v>
      </c>
      <c r="M592" s="14">
        <f t="shared" si="30"/>
        <v>-8.2410113813602415E-4</v>
      </c>
      <c r="N592" s="14">
        <f t="shared" si="31"/>
        <v>7.1036627988254608E-3</v>
      </c>
      <c r="O592" s="14">
        <f t="shared" si="32"/>
        <v>7.4659132316061694E-3</v>
      </c>
      <c r="P592" s="14">
        <f t="array" ref="P592">MMULT(M592:O592,$I$9:$I$11)</f>
        <v>7.3681207955420078E-3</v>
      </c>
    </row>
    <row r="593" spans="2:16" x14ac:dyDescent="0.25">
      <c r="B593" s="9">
        <v>36119</v>
      </c>
      <c r="C593" s="10">
        <v>4.8140001297000003E-2</v>
      </c>
      <c r="D593" s="11">
        <v>1163.55</v>
      </c>
      <c r="E593" s="11">
        <v>0.86352888422332907</v>
      </c>
      <c r="L593" s="9">
        <v>36119</v>
      </c>
      <c r="M593" s="14">
        <f t="shared" si="30"/>
        <v>-7.4226341460038592E-3</v>
      </c>
      <c r="N593" s="14">
        <f t="shared" si="31"/>
        <v>9.491501895697585E-3</v>
      </c>
      <c r="O593" s="14">
        <f t="shared" si="32"/>
        <v>5.179150747987471E-3</v>
      </c>
      <c r="P593" s="14">
        <f t="array" ref="P593">MMULT(M593:O593,$I$9:$I$11)</f>
        <v>6.3433048406727035E-3</v>
      </c>
    </row>
    <row r="594" spans="2:16" x14ac:dyDescent="0.25">
      <c r="B594" s="9">
        <v>36122</v>
      </c>
      <c r="C594" s="10">
        <v>4.8619999886E-2</v>
      </c>
      <c r="D594" s="11">
        <v>1188.21</v>
      </c>
      <c r="E594" s="11">
        <v>0.87153083043676771</v>
      </c>
      <c r="L594" s="9">
        <v>36122</v>
      </c>
      <c r="M594" s="14">
        <f t="shared" si="30"/>
        <v>9.9708885763971633E-3</v>
      </c>
      <c r="N594" s="14">
        <f t="shared" si="31"/>
        <v>2.119376047441035E-2</v>
      </c>
      <c r="O594" s="14">
        <f t="shared" si="32"/>
        <v>9.2665646275813529E-3</v>
      </c>
      <c r="P594" s="14">
        <f t="array" ref="P594">MMULT(M594:O594,$I$9:$I$11)</f>
        <v>1.2486407674620172E-2</v>
      </c>
    </row>
    <row r="595" spans="2:16" x14ac:dyDescent="0.25">
      <c r="B595" s="9">
        <v>36123</v>
      </c>
      <c r="C595" s="10">
        <v>4.8340001106000001E-2</v>
      </c>
      <c r="D595" s="11">
        <v>1182.99</v>
      </c>
      <c r="E595" s="11">
        <v>0.87158135870816089</v>
      </c>
      <c r="L595" s="9">
        <v>36123</v>
      </c>
      <c r="M595" s="14">
        <f t="shared" si="30"/>
        <v>-5.7589218563660616E-3</v>
      </c>
      <c r="N595" s="14">
        <f t="shared" si="31"/>
        <v>-4.3931628247532162E-3</v>
      </c>
      <c r="O595" s="14">
        <f t="shared" si="32"/>
        <v>5.7976458925468322E-5</v>
      </c>
      <c r="P595" s="14">
        <f t="array" ref="P595">MMULT(M595:O595,$I$9:$I$11)</f>
        <v>-1.143644614293054E-3</v>
      </c>
    </row>
    <row r="596" spans="2:16" x14ac:dyDescent="0.25">
      <c r="B596" s="9">
        <v>36124</v>
      </c>
      <c r="C596" s="10">
        <v>4.8340001106000001E-2</v>
      </c>
      <c r="D596" s="11">
        <v>1186.8699999999999</v>
      </c>
      <c r="E596" s="11">
        <v>0.87168388228430826</v>
      </c>
      <c r="L596" s="9">
        <v>36124</v>
      </c>
      <c r="M596" s="14">
        <f t="shared" si="30"/>
        <v>0</v>
      </c>
      <c r="N596" s="14">
        <f t="shared" si="31"/>
        <v>3.2798248505903072E-3</v>
      </c>
      <c r="O596" s="14">
        <f t="shared" si="32"/>
        <v>1.176293814948437E-4</v>
      </c>
      <c r="P596" s="14">
        <f t="array" ref="P596">MMULT(M596:O596,$I$9:$I$11)</f>
        <v>9.7128964039397501E-4</v>
      </c>
    </row>
    <row r="597" spans="2:16" x14ac:dyDescent="0.25">
      <c r="B597" s="9">
        <v>36125</v>
      </c>
      <c r="C597" s="10">
        <v>4.8340001106000001E-2</v>
      </c>
      <c r="D597" s="11">
        <v>1186.8699999999999</v>
      </c>
      <c r="E597" s="11">
        <v>0.87112256273810063</v>
      </c>
      <c r="L597" s="9">
        <v>36125</v>
      </c>
      <c r="M597" s="14">
        <f t="shared" si="30"/>
        <v>0</v>
      </c>
      <c r="N597" s="14">
        <f t="shared" si="31"/>
        <v>0</v>
      </c>
      <c r="O597" s="14">
        <f t="shared" si="32"/>
        <v>-6.4394852034732608E-4</v>
      </c>
      <c r="P597" s="14">
        <f t="array" ref="P597">MMULT(M597:O597,$I$9:$I$11)</f>
        <v>-4.7010940572907173E-4</v>
      </c>
    </row>
    <row r="598" spans="2:16" x14ac:dyDescent="0.25">
      <c r="B598" s="9">
        <v>36126</v>
      </c>
      <c r="C598" s="10">
        <v>4.8099999428000001E-2</v>
      </c>
      <c r="D598" s="11">
        <v>1192.33</v>
      </c>
      <c r="E598" s="11">
        <v>0.87357655765582043</v>
      </c>
      <c r="L598" s="9">
        <v>36126</v>
      </c>
      <c r="M598" s="14">
        <f t="shared" si="30"/>
        <v>-4.9648670357644864E-3</v>
      </c>
      <c r="N598" s="14">
        <f t="shared" si="31"/>
        <v>4.6003353357992882E-3</v>
      </c>
      <c r="O598" s="14">
        <f t="shared" si="32"/>
        <v>2.8170489695575895E-3</v>
      </c>
      <c r="P598" s="14">
        <f t="array" ref="P598">MMULT(M598:O598,$I$9:$I$11)</f>
        <v>3.2984615564691242E-3</v>
      </c>
    </row>
    <row r="599" spans="2:16" x14ac:dyDescent="0.25">
      <c r="B599" s="9">
        <v>36129</v>
      </c>
      <c r="C599" s="10">
        <v>4.7179999351999999E-2</v>
      </c>
      <c r="D599" s="11">
        <v>1163.6300000000001</v>
      </c>
      <c r="E599" s="11">
        <v>0.86457721701510049</v>
      </c>
      <c r="L599" s="9">
        <v>36129</v>
      </c>
      <c r="M599" s="14">
        <f t="shared" si="30"/>
        <v>-1.9126820934314837E-2</v>
      </c>
      <c r="N599" s="14">
        <f t="shared" si="31"/>
        <v>-2.4070517390319623E-2</v>
      </c>
      <c r="O599" s="14">
        <f t="shared" si="32"/>
        <v>-1.0301719479365423E-2</v>
      </c>
      <c r="P599" s="14">
        <f t="array" ref="P599">MMULT(M599:O599,$I$9:$I$11)</f>
        <v>-1.4018717907915174E-2</v>
      </c>
    </row>
    <row r="600" spans="2:16" x14ac:dyDescent="0.25">
      <c r="B600" s="9">
        <v>36130</v>
      </c>
      <c r="C600" s="10">
        <v>4.6550002097999997E-2</v>
      </c>
      <c r="D600" s="11">
        <v>1175.28</v>
      </c>
      <c r="E600" s="11">
        <v>0.8580561159312684</v>
      </c>
      <c r="L600" s="9">
        <v>36130</v>
      </c>
      <c r="M600" s="14">
        <f t="shared" si="30"/>
        <v>-1.3353057707774174E-2</v>
      </c>
      <c r="N600" s="14">
        <f t="shared" si="31"/>
        <v>1.0011773501886312E-2</v>
      </c>
      <c r="O600" s="14">
        <f t="shared" si="32"/>
        <v>-7.5425317201229802E-3</v>
      </c>
      <c r="P600" s="14">
        <f t="array" ref="P600">MMULT(M600:O600,$I$9:$I$11)</f>
        <v>-2.8036049564016483E-3</v>
      </c>
    </row>
    <row r="601" spans="2:16" x14ac:dyDescent="0.25">
      <c r="B601" s="9">
        <v>36131</v>
      </c>
      <c r="C601" s="10">
        <v>4.5619997978000003E-2</v>
      </c>
      <c r="D601" s="11">
        <v>1171.25</v>
      </c>
      <c r="E601" s="11">
        <v>0.85547497956679619</v>
      </c>
      <c r="L601" s="9">
        <v>36131</v>
      </c>
      <c r="M601" s="14">
        <f t="shared" si="30"/>
        <v>-1.997860532942819E-2</v>
      </c>
      <c r="N601" s="14">
        <f t="shared" si="31"/>
        <v>-3.4289701177591114E-3</v>
      </c>
      <c r="O601" s="14">
        <f t="shared" si="32"/>
        <v>-3.0081207004402089E-3</v>
      </c>
      <c r="P601" s="14">
        <f t="array" ref="P601">MMULT(M601:O601,$I$9:$I$11)</f>
        <v>-3.1217324066288741E-3</v>
      </c>
    </row>
    <row r="602" spans="2:16" x14ac:dyDescent="0.25">
      <c r="B602" s="9">
        <v>36132</v>
      </c>
      <c r="C602" s="10">
        <v>4.5448098183000003E-2</v>
      </c>
      <c r="D602" s="11">
        <v>1150.1400000000001</v>
      </c>
      <c r="E602" s="11">
        <v>0.85606225819266846</v>
      </c>
      <c r="L602" s="9">
        <v>36132</v>
      </c>
      <c r="M602" s="14">
        <f t="shared" si="30"/>
        <v>-3.7680798469762466E-3</v>
      </c>
      <c r="N602" s="14">
        <f t="shared" si="31"/>
        <v>-1.8023479188900682E-2</v>
      </c>
      <c r="O602" s="14">
        <f t="shared" si="32"/>
        <v>6.8649421654587428E-4</v>
      </c>
      <c r="P602" s="14">
        <f t="array" ref="P602">MMULT(M602:O602,$I$9:$I$11)</f>
        <v>-4.3644145262517675E-3</v>
      </c>
    </row>
    <row r="603" spans="2:16" x14ac:dyDescent="0.25">
      <c r="B603" s="9">
        <v>36133</v>
      </c>
      <c r="C603" s="10">
        <v>4.6269998550000004E-2</v>
      </c>
      <c r="D603" s="11">
        <v>1176.74</v>
      </c>
      <c r="E603" s="11">
        <v>0.85677799857487524</v>
      </c>
      <c r="L603" s="9">
        <v>36133</v>
      </c>
      <c r="M603" s="14">
        <f t="shared" si="30"/>
        <v>1.8084373161018963E-2</v>
      </c>
      <c r="N603" s="14">
        <f t="shared" si="31"/>
        <v>2.3127619246352538E-2</v>
      </c>
      <c r="O603" s="14">
        <f t="shared" si="32"/>
        <v>8.3608449660887985E-4</v>
      </c>
      <c r="P603" s="14">
        <f t="array" ref="P603">MMULT(M603:O603,$I$9:$I$11)</f>
        <v>6.8538647102932837E-3</v>
      </c>
    </row>
    <row r="604" spans="2:16" x14ac:dyDescent="0.25">
      <c r="B604" s="9">
        <v>36136</v>
      </c>
      <c r="C604" s="10">
        <v>4.6620001792999993E-2</v>
      </c>
      <c r="D604" s="11">
        <v>1187.7</v>
      </c>
      <c r="E604" s="11">
        <v>0.85723844932087756</v>
      </c>
      <c r="L604" s="9">
        <v>36136</v>
      </c>
      <c r="M604" s="14">
        <f t="shared" si="30"/>
        <v>7.5643668460843028E-3</v>
      </c>
      <c r="N604" s="14">
        <f t="shared" si="31"/>
        <v>9.3138671244286098E-3</v>
      </c>
      <c r="O604" s="14">
        <f t="shared" si="32"/>
        <v>5.3742130022960133E-4</v>
      </c>
      <c r="P604" s="14">
        <f t="array" ref="P604">MMULT(M604:O604,$I$9:$I$11)</f>
        <v>2.9066938792719774E-3</v>
      </c>
    </row>
    <row r="605" spans="2:16" x14ac:dyDescent="0.25">
      <c r="B605" s="9">
        <v>36137</v>
      </c>
      <c r="C605" s="10">
        <v>4.5910000800999995E-2</v>
      </c>
      <c r="D605" s="11">
        <v>1181.3800000000001</v>
      </c>
      <c r="E605" s="11">
        <v>0.854451550203571</v>
      </c>
      <c r="L605" s="9">
        <v>36137</v>
      </c>
      <c r="M605" s="14">
        <f t="shared" si="30"/>
        <v>-1.5229535922210213E-2</v>
      </c>
      <c r="N605" s="14">
        <f t="shared" si="31"/>
        <v>-5.3212090595267103E-3</v>
      </c>
      <c r="O605" s="14">
        <f t="shared" si="32"/>
        <v>-3.2510197361240722E-3</v>
      </c>
      <c r="P605" s="14">
        <f t="array" ref="P605">MMULT(M605:O605,$I$9:$I$11)</f>
        <v>-3.8098840982603026E-3</v>
      </c>
    </row>
    <row r="606" spans="2:16" x14ac:dyDescent="0.25">
      <c r="B606" s="9">
        <v>36138</v>
      </c>
      <c r="C606" s="10">
        <v>4.5720000266999995E-2</v>
      </c>
      <c r="D606" s="11">
        <v>1183.49</v>
      </c>
      <c r="E606" s="11">
        <v>0.85289198182914616</v>
      </c>
      <c r="L606" s="9">
        <v>36138</v>
      </c>
      <c r="M606" s="14">
        <f t="shared" si="30"/>
        <v>-4.1385434695061507E-3</v>
      </c>
      <c r="N606" s="14">
        <f t="shared" si="31"/>
        <v>1.7860468265924467E-3</v>
      </c>
      <c r="O606" s="14">
        <f t="shared" si="32"/>
        <v>-1.8252273918319961E-3</v>
      </c>
      <c r="P606" s="14">
        <f t="array" ref="P606">MMULT(M606:O606,$I$9:$I$11)</f>
        <v>-8.5033469010480209E-4</v>
      </c>
    </row>
    <row r="607" spans="2:16" x14ac:dyDescent="0.25">
      <c r="B607" s="9">
        <v>36139</v>
      </c>
      <c r="C607" s="10">
        <v>4.5209999084000002E-2</v>
      </c>
      <c r="D607" s="11">
        <v>1165.02</v>
      </c>
      <c r="E607" s="11">
        <v>0.84857108376523649</v>
      </c>
      <c r="L607" s="9">
        <v>36139</v>
      </c>
      <c r="M607" s="14">
        <f t="shared" si="30"/>
        <v>-1.1154881452791754E-2</v>
      </c>
      <c r="N607" s="14">
        <f t="shared" si="31"/>
        <v>-1.5606384506839932E-2</v>
      </c>
      <c r="O607" s="14">
        <f t="shared" si="32"/>
        <v>-5.0661726877100355E-3</v>
      </c>
      <c r="P607" s="14">
        <f t="array" ref="P607">MMULT(M607:O607,$I$9:$I$11)</f>
        <v>-7.9115881714479502E-3</v>
      </c>
    </row>
    <row r="608" spans="2:16" x14ac:dyDescent="0.25">
      <c r="B608" s="9">
        <v>36140</v>
      </c>
      <c r="C608" s="10">
        <v>4.6230001449999995E-2</v>
      </c>
      <c r="D608" s="11">
        <v>1166.46</v>
      </c>
      <c r="E608" s="11">
        <v>0.84557986210740554</v>
      </c>
      <c r="L608" s="9">
        <v>36140</v>
      </c>
      <c r="M608" s="14">
        <f t="shared" si="30"/>
        <v>2.2561433016285548E-2</v>
      </c>
      <c r="N608" s="14">
        <f t="shared" si="31"/>
        <v>1.2360302827418845E-3</v>
      </c>
      <c r="O608" s="14">
        <f t="shared" si="32"/>
        <v>-3.525010120022487E-3</v>
      </c>
      <c r="P608" s="14">
        <f t="array" ref="P608">MMULT(M608:O608,$I$9:$I$11)</f>
        <v>-2.2397287316408758E-3</v>
      </c>
    </row>
    <row r="609" spans="2:16" x14ac:dyDescent="0.25">
      <c r="B609" s="9">
        <v>36143</v>
      </c>
      <c r="C609" s="10">
        <v>4.5686388015999994E-2</v>
      </c>
      <c r="D609" s="11">
        <v>1141.2</v>
      </c>
      <c r="E609" s="11">
        <v>0.84297163547300724</v>
      </c>
      <c r="L609" s="9">
        <v>36143</v>
      </c>
      <c r="M609" s="14">
        <f t="shared" si="30"/>
        <v>-1.1758888534493028E-2</v>
      </c>
      <c r="N609" s="14">
        <f t="shared" si="31"/>
        <v>-2.1655264646880279E-2</v>
      </c>
      <c r="O609" s="14">
        <f t="shared" si="32"/>
        <v>-3.0845420418337266E-3</v>
      </c>
      <c r="P609" s="14">
        <f t="array" ref="P609">MMULT(M609:O609,$I$9:$I$11)</f>
        <v>-8.0978589040904166E-3</v>
      </c>
    </row>
    <row r="610" spans="2:16" x14ac:dyDescent="0.25">
      <c r="B610" s="9">
        <v>36144</v>
      </c>
      <c r="C610" s="10">
        <v>4.6230001449999995E-2</v>
      </c>
      <c r="D610" s="11">
        <v>1162.83</v>
      </c>
      <c r="E610" s="11">
        <v>0.84839206058559724</v>
      </c>
      <c r="L610" s="9">
        <v>36144</v>
      </c>
      <c r="M610" s="14">
        <f t="shared" si="30"/>
        <v>1.1898805259229928E-2</v>
      </c>
      <c r="N610" s="14">
        <f t="shared" si="31"/>
        <v>1.8953732912723398E-2</v>
      </c>
      <c r="O610" s="14">
        <f t="shared" si="32"/>
        <v>6.4301393836916354E-3</v>
      </c>
      <c r="P610" s="14">
        <f t="array" ref="P610">MMULT(M610:O610,$I$9:$I$11)</f>
        <v>9.8109848117571043E-3</v>
      </c>
    </row>
    <row r="611" spans="2:16" x14ac:dyDescent="0.25">
      <c r="B611" s="9">
        <v>36145</v>
      </c>
      <c r="C611" s="10">
        <v>4.5859999657000002E-2</v>
      </c>
      <c r="D611" s="11">
        <v>1161.94</v>
      </c>
      <c r="E611" s="11">
        <v>0.85250843703985657</v>
      </c>
      <c r="L611" s="9">
        <v>36145</v>
      </c>
      <c r="M611" s="14">
        <f t="shared" si="30"/>
        <v>-8.0034994893990463E-3</v>
      </c>
      <c r="N611" s="14">
        <f t="shared" si="31"/>
        <v>-7.6537413035426827E-4</v>
      </c>
      <c r="O611" s="14">
        <f t="shared" si="32"/>
        <v>4.8519742763952767E-3</v>
      </c>
      <c r="P611" s="14">
        <f t="array" ref="P611">MMULT(M611:O611,$I$9:$I$11)</f>
        <v>3.3355256121373011E-3</v>
      </c>
    </row>
    <row r="612" spans="2:16" x14ac:dyDescent="0.25">
      <c r="B612" s="9">
        <v>36146</v>
      </c>
      <c r="C612" s="10">
        <v>4.5830001831E-2</v>
      </c>
      <c r="D612" s="11">
        <v>1179.98</v>
      </c>
      <c r="E612" s="11">
        <v>0.85115332656746157</v>
      </c>
      <c r="L612" s="9">
        <v>36146</v>
      </c>
      <c r="M612" s="14">
        <f t="shared" si="30"/>
        <v>-6.5411744928833837E-4</v>
      </c>
      <c r="N612" s="14">
        <f t="shared" si="31"/>
        <v>1.552575864502459E-2</v>
      </c>
      <c r="O612" s="14">
        <f t="shared" si="32"/>
        <v>-1.5895566700786512E-3</v>
      </c>
      <c r="P612" s="14">
        <f t="array" ref="P612">MMULT(M612:O612,$I$9:$I$11)</f>
        <v>3.0308612154768665E-3</v>
      </c>
    </row>
    <row r="613" spans="2:16" x14ac:dyDescent="0.25">
      <c r="B613" s="9">
        <v>36147</v>
      </c>
      <c r="C613" s="10">
        <v>4.5669999123000002E-2</v>
      </c>
      <c r="D613" s="11">
        <v>1188.03</v>
      </c>
      <c r="E613" s="11">
        <v>0.85105108553262532</v>
      </c>
      <c r="L613" s="9">
        <v>36147</v>
      </c>
      <c r="M613" s="14">
        <f t="shared" si="30"/>
        <v>-3.4912219421245894E-3</v>
      </c>
      <c r="N613" s="14">
        <f t="shared" si="31"/>
        <v>6.8221495279581212E-3</v>
      </c>
      <c r="O613" s="14">
        <f t="shared" si="32"/>
        <v>-1.2012058420607374E-4</v>
      </c>
      <c r="P613" s="14">
        <f t="array" ref="P613">MMULT(M613:O613,$I$9:$I$11)</f>
        <v>1.7540014171745051E-3</v>
      </c>
    </row>
    <row r="614" spans="2:16" x14ac:dyDescent="0.25">
      <c r="B614" s="9">
        <v>36150</v>
      </c>
      <c r="C614" s="10">
        <v>4.6420001984000002E-2</v>
      </c>
      <c r="D614" s="11">
        <v>1202.8399999999999</v>
      </c>
      <c r="E614" s="11">
        <v>0.85557662834897197</v>
      </c>
      <c r="L614" s="9">
        <v>36150</v>
      </c>
      <c r="M614" s="14">
        <f t="shared" si="30"/>
        <v>1.642222192691678E-2</v>
      </c>
      <c r="N614" s="14">
        <f t="shared" si="31"/>
        <v>1.2466015167967193E-2</v>
      </c>
      <c r="O614" s="14">
        <f t="shared" si="32"/>
        <v>5.317592437490859E-3</v>
      </c>
      <c r="P614" s="14">
        <f t="array" ref="P614">MMULT(M614:O614,$I$9:$I$11)</f>
        <v>7.2473670066019874E-3</v>
      </c>
    </row>
    <row r="615" spans="2:16" x14ac:dyDescent="0.25">
      <c r="B615" s="9">
        <v>36151</v>
      </c>
      <c r="C615" s="10">
        <v>4.7020001411000004E-2</v>
      </c>
      <c r="D615" s="11">
        <v>1203.57</v>
      </c>
      <c r="E615" s="11">
        <v>0.85665051864905084</v>
      </c>
      <c r="L615" s="9">
        <v>36151</v>
      </c>
      <c r="M615" s="14">
        <f t="shared" si="30"/>
        <v>1.2925450266176419E-2</v>
      </c>
      <c r="N615" s="14">
        <f t="shared" si="31"/>
        <v>6.0689701040872457E-4</v>
      </c>
      <c r="O615" s="14">
        <f t="shared" si="32"/>
        <v>1.2551655392354366E-3</v>
      </c>
      <c r="P615" s="14">
        <f t="array" ref="P615">MMULT(M615:O615,$I$9:$I$11)</f>
        <v>1.0801602033658395E-3</v>
      </c>
    </row>
    <row r="616" spans="2:16" x14ac:dyDescent="0.25">
      <c r="B616" s="9">
        <v>36152</v>
      </c>
      <c r="C616" s="10">
        <v>4.8010001183000001E-2</v>
      </c>
      <c r="D616" s="11">
        <v>1228.54</v>
      </c>
      <c r="E616" s="11">
        <v>0.85611354258458139</v>
      </c>
      <c r="L616" s="9">
        <v>36152</v>
      </c>
      <c r="M616" s="14">
        <f t="shared" si="30"/>
        <v>2.1054864787145577E-2</v>
      </c>
      <c r="N616" s="14">
        <f t="shared" si="31"/>
        <v>2.0746612162150901E-2</v>
      </c>
      <c r="O616" s="14">
        <f t="shared" si="32"/>
        <v>-6.2683212439573754E-4</v>
      </c>
      <c r="P616" s="14">
        <f t="array" ref="P616">MMULT(M616:O616,$I$9:$I$11)</f>
        <v>5.143102138535415E-3</v>
      </c>
    </row>
    <row r="617" spans="2:16" x14ac:dyDescent="0.25">
      <c r="B617" s="9">
        <v>36153</v>
      </c>
      <c r="C617" s="10">
        <v>4.8499999045999997E-2</v>
      </c>
      <c r="D617" s="11">
        <v>1226.27</v>
      </c>
      <c r="E617" s="11">
        <v>0.85920716945928866</v>
      </c>
      <c r="L617" s="9">
        <v>36153</v>
      </c>
      <c r="M617" s="14">
        <f t="shared" si="30"/>
        <v>1.0206162277152764E-2</v>
      </c>
      <c r="N617" s="14">
        <f t="shared" si="31"/>
        <v>-1.847721685903525E-3</v>
      </c>
      <c r="O617" s="14">
        <f t="shared" si="32"/>
        <v>3.6135707716615784E-3</v>
      </c>
      <c r="P617" s="14">
        <f t="array" ref="P617">MMULT(M617:O617,$I$9:$I$11)</f>
        <v>2.1392506738649435E-3</v>
      </c>
    </row>
    <row r="618" spans="2:16" x14ac:dyDescent="0.25">
      <c r="B618" s="9">
        <v>36154</v>
      </c>
      <c r="C618" s="10">
        <v>4.8499999045999997E-2</v>
      </c>
      <c r="D618" s="11">
        <v>1226.27</v>
      </c>
      <c r="E618" s="11">
        <v>0.85920716945928866</v>
      </c>
      <c r="L618" s="9">
        <v>36154</v>
      </c>
      <c r="M618" s="14">
        <f t="shared" si="30"/>
        <v>0</v>
      </c>
      <c r="N618" s="14">
        <f t="shared" si="31"/>
        <v>0</v>
      </c>
      <c r="O618" s="14">
        <f t="shared" si="32"/>
        <v>0</v>
      </c>
      <c r="P618" s="14">
        <f t="array" ref="P618">MMULT(M618:O618,$I$9:$I$11)</f>
        <v>0</v>
      </c>
    </row>
    <row r="619" spans="2:16" x14ac:dyDescent="0.25">
      <c r="B619" s="9">
        <v>36157</v>
      </c>
      <c r="C619" s="10">
        <v>4.7569999694999997E-2</v>
      </c>
      <c r="D619" s="11">
        <v>1225.49</v>
      </c>
      <c r="E619" s="11">
        <v>0.85856802708190061</v>
      </c>
      <c r="L619" s="9">
        <v>36157</v>
      </c>
      <c r="M619" s="14">
        <f t="shared" si="30"/>
        <v>-1.9175244727694496E-2</v>
      </c>
      <c r="N619" s="14">
        <f t="shared" si="31"/>
        <v>-6.3607525259523623E-4</v>
      </c>
      <c r="O619" s="14">
        <f t="shared" si="32"/>
        <v>-7.4387458590485789E-4</v>
      </c>
      <c r="P619" s="14">
        <f t="array" ref="P619">MMULT(M619:O619,$I$9:$I$11)</f>
        <v>-7.147732834453459E-4</v>
      </c>
    </row>
    <row r="620" spans="2:16" x14ac:dyDescent="0.25">
      <c r="B620" s="9">
        <v>36158</v>
      </c>
      <c r="C620" s="10">
        <v>4.6820001602000005E-2</v>
      </c>
      <c r="D620" s="11">
        <v>1241.81</v>
      </c>
      <c r="E620" s="11">
        <v>0.85506522664226614</v>
      </c>
      <c r="L620" s="9">
        <v>36158</v>
      </c>
      <c r="M620" s="14">
        <f t="shared" si="30"/>
        <v>-1.5766199239198753E-2</v>
      </c>
      <c r="N620" s="14">
        <f t="shared" si="31"/>
        <v>1.3317122130739545E-2</v>
      </c>
      <c r="O620" s="14">
        <f t="shared" si="32"/>
        <v>-4.0798170082571028E-3</v>
      </c>
      <c r="P620" s="14">
        <f t="array" ref="P620">MMULT(M620:O620,$I$9:$I$11)</f>
        <v>6.1662750777289861E-4</v>
      </c>
    </row>
    <row r="621" spans="2:16" x14ac:dyDescent="0.25">
      <c r="B621" s="9">
        <v>36159</v>
      </c>
      <c r="C621" s="10">
        <v>4.6420001984000002E-2</v>
      </c>
      <c r="D621" s="11">
        <v>1231.93</v>
      </c>
      <c r="E621" s="11">
        <v>0.85498844709172694</v>
      </c>
      <c r="L621" s="9">
        <v>36159</v>
      </c>
      <c r="M621" s="14">
        <f t="shared" si="30"/>
        <v>-8.543349088286134E-3</v>
      </c>
      <c r="N621" s="14">
        <f t="shared" si="31"/>
        <v>-7.9561285542876226E-3</v>
      </c>
      <c r="O621" s="14">
        <f t="shared" si="32"/>
        <v>-8.979379367435314E-5</v>
      </c>
      <c r="P621" s="14">
        <f t="array" ref="P621">MMULT(M621:O621,$I$9:$I$11)</f>
        <v>-2.213374525466754E-3</v>
      </c>
    </row>
    <row r="622" spans="2:16" x14ac:dyDescent="0.25">
      <c r="B622" s="9">
        <v>36160</v>
      </c>
      <c r="C622" s="10">
        <v>4.6729998588999996E-2</v>
      </c>
      <c r="D622" s="11">
        <v>1229.23</v>
      </c>
      <c r="E622" s="11">
        <v>0.85171617812703371</v>
      </c>
      <c r="L622" s="9">
        <v>36160</v>
      </c>
      <c r="M622" s="14">
        <f t="shared" si="30"/>
        <v>6.6780825452537051E-3</v>
      </c>
      <c r="N622" s="14">
        <f t="shared" si="31"/>
        <v>-2.1916829689998529E-3</v>
      </c>
      <c r="O622" s="14">
        <f t="shared" si="32"/>
        <v>-3.827266878077662E-3</v>
      </c>
      <c r="P622" s="14">
        <f t="array" ref="P622">MMULT(M622:O622,$I$9:$I$11)</f>
        <v>-3.3857277648507355E-3</v>
      </c>
    </row>
    <row r="623" spans="2:16" x14ac:dyDescent="0.25">
      <c r="B623" s="9">
        <v>36161</v>
      </c>
      <c r="C623" s="10">
        <v>4.6729998588999996E-2</v>
      </c>
      <c r="D623" s="11">
        <v>1229.23</v>
      </c>
      <c r="E623" s="11">
        <v>0.85171617812703371</v>
      </c>
      <c r="L623" s="9">
        <v>36161</v>
      </c>
      <c r="M623" s="14">
        <f t="shared" si="30"/>
        <v>0</v>
      </c>
      <c r="N623" s="14">
        <f t="shared" si="31"/>
        <v>0</v>
      </c>
      <c r="O623" s="14">
        <f t="shared" si="32"/>
        <v>0</v>
      </c>
      <c r="P623" s="14">
        <f t="array" ref="P623">MMULT(M623:O623,$I$9:$I$11)</f>
        <v>0</v>
      </c>
    </row>
    <row r="624" spans="2:16" x14ac:dyDescent="0.25">
      <c r="B624" s="9">
        <v>36164</v>
      </c>
      <c r="C624" s="10">
        <v>4.6770000457999998E-2</v>
      </c>
      <c r="D624" s="11">
        <v>1228.0999999999999</v>
      </c>
      <c r="E624" s="11">
        <v>0.84520133136485598</v>
      </c>
      <c r="L624" s="9">
        <v>36164</v>
      </c>
      <c r="M624" s="14">
        <f t="shared" si="30"/>
        <v>8.5602118998173715E-4</v>
      </c>
      <c r="N624" s="14">
        <f t="shared" si="31"/>
        <v>-9.1927466788155332E-4</v>
      </c>
      <c r="O624" s="14">
        <f t="shared" si="32"/>
        <v>-7.6490818531875782E-3</v>
      </c>
      <c r="P624" s="14">
        <f t="array" ref="P624">MMULT(M624:O624,$I$9:$I$11)</f>
        <v>-5.8323159383996143E-3</v>
      </c>
    </row>
    <row r="625" spans="2:16" x14ac:dyDescent="0.25">
      <c r="B625" s="9">
        <v>36165</v>
      </c>
      <c r="C625" s="10">
        <v>4.7449998856000007E-2</v>
      </c>
      <c r="D625" s="11">
        <v>1244.78</v>
      </c>
      <c r="E625" s="11">
        <v>0.85023171394233066</v>
      </c>
      <c r="L625" s="9">
        <v>36165</v>
      </c>
      <c r="M625" s="14">
        <f t="shared" si="30"/>
        <v>1.4539200156960863E-2</v>
      </c>
      <c r="N625" s="14">
        <f t="shared" si="31"/>
        <v>1.3581955866786233E-2</v>
      </c>
      <c r="O625" s="14">
        <f t="shared" si="32"/>
        <v>5.9516974131494926E-3</v>
      </c>
      <c r="P625" s="14">
        <f t="array" ref="P625">MMULT(M625:O625,$I$9:$I$11)</f>
        <v>8.0115474352804878E-3</v>
      </c>
    </row>
    <row r="626" spans="2:16" x14ac:dyDescent="0.25">
      <c r="B626" s="9">
        <v>36166</v>
      </c>
      <c r="C626" s="10">
        <v>4.7090001106E-2</v>
      </c>
      <c r="D626" s="11">
        <v>1272.3399999999999</v>
      </c>
      <c r="E626" s="11">
        <v>0.85984523702672488</v>
      </c>
      <c r="L626" s="9">
        <v>36166</v>
      </c>
      <c r="M626" s="14">
        <f t="shared" si="30"/>
        <v>-7.5868863789126939E-3</v>
      </c>
      <c r="N626" s="14">
        <f t="shared" si="31"/>
        <v>2.2140458554925413E-2</v>
      </c>
      <c r="O626" s="14">
        <f t="shared" si="32"/>
        <v>1.1306944832507604E-2</v>
      </c>
      <c r="P626" s="14">
        <f t="array" ref="P626">MMULT(M626:O626,$I$9:$I$11)</f>
        <v>1.4231539538764609E-2</v>
      </c>
    </row>
    <row r="627" spans="2:16" x14ac:dyDescent="0.25">
      <c r="B627" s="9">
        <v>36167</v>
      </c>
      <c r="C627" s="10">
        <v>4.7729997634999993E-2</v>
      </c>
      <c r="D627" s="11">
        <v>1269.73</v>
      </c>
      <c r="E627" s="11">
        <v>0.85353364073560223</v>
      </c>
      <c r="L627" s="9">
        <v>36167</v>
      </c>
      <c r="M627" s="14">
        <f t="shared" si="30"/>
        <v>1.3590921936046607E-2</v>
      </c>
      <c r="N627" s="14">
        <f t="shared" si="31"/>
        <v>-2.0513384787084199E-3</v>
      </c>
      <c r="O627" s="14">
        <f t="shared" si="32"/>
        <v>-7.3403864083118053E-3</v>
      </c>
      <c r="P627" s="14">
        <f t="array" ref="P627">MMULT(M627:O627,$I$9:$I$11)</f>
        <v>-5.9125651148334941E-3</v>
      </c>
    </row>
    <row r="628" spans="2:16" x14ac:dyDescent="0.25">
      <c r="B628" s="9">
        <v>36168</v>
      </c>
      <c r="C628" s="10">
        <v>4.8699998856000001E-2</v>
      </c>
      <c r="D628" s="11">
        <v>1275.0899999999999</v>
      </c>
      <c r="E628" s="11">
        <v>0.8631851859247559</v>
      </c>
      <c r="L628" s="9">
        <v>36168</v>
      </c>
      <c r="M628" s="14">
        <f t="shared" si="30"/>
        <v>2.0322674817999875E-2</v>
      </c>
      <c r="N628" s="14">
        <f t="shared" si="31"/>
        <v>4.2213698975372971E-3</v>
      </c>
      <c r="O628" s="14">
        <f t="shared" si="32"/>
        <v>1.1307750191118071E-2</v>
      </c>
      <c r="P628" s="14">
        <f t="array" ref="P628">MMULT(M628:O628,$I$9:$I$11)</f>
        <v>9.3947244799635777E-3</v>
      </c>
    </row>
    <row r="629" spans="2:16" x14ac:dyDescent="0.25">
      <c r="B629" s="9">
        <v>36171</v>
      </c>
      <c r="C629" s="10">
        <v>4.9029998779000002E-2</v>
      </c>
      <c r="D629" s="11">
        <v>1263.8800000000001</v>
      </c>
      <c r="E629" s="11">
        <v>0.86930066682334672</v>
      </c>
      <c r="L629" s="9">
        <v>36171</v>
      </c>
      <c r="M629" s="14">
        <f t="shared" si="30"/>
        <v>6.7761792762206507E-3</v>
      </c>
      <c r="N629" s="14">
        <f t="shared" si="31"/>
        <v>-8.7915362837132083E-3</v>
      </c>
      <c r="O629" s="14">
        <f t="shared" si="32"/>
        <v>7.0847843525478904E-3</v>
      </c>
      <c r="P629" s="14">
        <f t="array" ref="P629">MMULT(M629:O629,$I$9:$I$11)</f>
        <v>2.7988431078742773E-3</v>
      </c>
    </row>
    <row r="630" spans="2:16" x14ac:dyDescent="0.25">
      <c r="B630" s="9">
        <v>36172</v>
      </c>
      <c r="C630" s="10">
        <v>4.8099999428000001E-2</v>
      </c>
      <c r="D630" s="11">
        <v>1239.51</v>
      </c>
      <c r="E630" s="11">
        <v>0.86422956759820035</v>
      </c>
      <c r="L630" s="9">
        <v>36172</v>
      </c>
      <c r="M630" s="14">
        <f t="shared" si="30"/>
        <v>-1.8967966024064586E-2</v>
      </c>
      <c r="N630" s="14">
        <f t="shared" si="31"/>
        <v>-1.928189385068213E-2</v>
      </c>
      <c r="O630" s="14">
        <f t="shared" si="32"/>
        <v>-5.8335388648411701E-3</v>
      </c>
      <c r="P630" s="14">
        <f t="array" ref="P630">MMULT(M630:O630,$I$9:$I$11)</f>
        <v>-9.4640311323746281E-3</v>
      </c>
    </row>
    <row r="631" spans="2:16" x14ac:dyDescent="0.25">
      <c r="B631" s="9">
        <v>36173</v>
      </c>
      <c r="C631" s="10">
        <v>4.7090001106E-2</v>
      </c>
      <c r="D631" s="11">
        <v>1234.4000000000001</v>
      </c>
      <c r="E631" s="11">
        <v>0.85612769709714975</v>
      </c>
      <c r="L631" s="9">
        <v>36173</v>
      </c>
      <c r="M631" s="14">
        <f t="shared" si="30"/>
        <v>-2.0997886361970752E-2</v>
      </c>
      <c r="N631" s="14">
        <f t="shared" si="31"/>
        <v>-4.1225968326192852E-3</v>
      </c>
      <c r="O631" s="14">
        <f t="shared" si="32"/>
        <v>-9.3746740505149528E-3</v>
      </c>
      <c r="P631" s="14">
        <f t="array" ref="P631">MMULT(M631:O631,$I$9:$I$11)</f>
        <v>-7.9568332998704219E-3</v>
      </c>
    </row>
    <row r="632" spans="2:16" x14ac:dyDescent="0.25">
      <c r="B632" s="9">
        <v>36174</v>
      </c>
      <c r="C632" s="10">
        <v>4.6059999466E-2</v>
      </c>
      <c r="D632" s="11">
        <v>1212.19</v>
      </c>
      <c r="E632" s="11">
        <v>0.85605448309654386</v>
      </c>
      <c r="L632" s="9">
        <v>36174</v>
      </c>
      <c r="M632" s="14">
        <f t="shared" si="30"/>
        <v>-2.1873043444646689E-2</v>
      </c>
      <c r="N632" s="14">
        <f t="shared" si="31"/>
        <v>-1.799254698639019E-2</v>
      </c>
      <c r="O632" s="14">
        <f t="shared" si="32"/>
        <v>-8.5517617119612588E-5</v>
      </c>
      <c r="P632" s="14">
        <f t="array" ref="P632">MMULT(M632:O632,$I$9:$I$11)</f>
        <v>-4.9196651190317985E-3</v>
      </c>
    </row>
    <row r="633" spans="2:16" x14ac:dyDescent="0.25">
      <c r="B633" s="9">
        <v>36175</v>
      </c>
      <c r="C633" s="10">
        <v>4.6849999428E-2</v>
      </c>
      <c r="D633" s="11">
        <v>1243.26</v>
      </c>
      <c r="E633" s="11">
        <v>0.86542627094731495</v>
      </c>
      <c r="L633" s="9">
        <v>36175</v>
      </c>
      <c r="M633" s="14">
        <f t="shared" si="30"/>
        <v>1.7151540841487734E-2</v>
      </c>
      <c r="N633" s="14">
        <f t="shared" si="31"/>
        <v>2.5631295423984568E-2</v>
      </c>
      <c r="O633" s="14">
        <f t="shared" si="32"/>
        <v>1.0947653491482523E-2</v>
      </c>
      <c r="P633" s="14">
        <f t="array" ref="P633">MMULT(M633:O633,$I$9:$I$11)</f>
        <v>1.4911621467588499E-2</v>
      </c>
    </row>
    <row r="634" spans="2:16" x14ac:dyDescent="0.25">
      <c r="B634" s="9">
        <v>36178</v>
      </c>
      <c r="C634" s="10">
        <v>4.6849999428E-2</v>
      </c>
      <c r="D634" s="11">
        <v>1243.26</v>
      </c>
      <c r="E634" s="11">
        <v>0.8608445311278311</v>
      </c>
      <c r="L634" s="9">
        <v>36178</v>
      </c>
      <c r="M634" s="14">
        <f t="shared" si="30"/>
        <v>0</v>
      </c>
      <c r="N634" s="14">
        <f t="shared" si="31"/>
        <v>0</v>
      </c>
      <c r="O634" s="14">
        <f t="shared" si="32"/>
        <v>-5.294200064516863E-3</v>
      </c>
      <c r="P634" s="14">
        <f t="array" ref="P634">MMULT(M634:O634,$I$9:$I$11)</f>
        <v>-3.8649879105218297E-3</v>
      </c>
    </row>
    <row r="635" spans="2:16" x14ac:dyDescent="0.25">
      <c r="B635" s="9">
        <v>36179</v>
      </c>
      <c r="C635" s="10">
        <v>4.7129998207000007E-2</v>
      </c>
      <c r="D635" s="11">
        <v>1252</v>
      </c>
      <c r="E635" s="11">
        <v>0.86173468548385945</v>
      </c>
      <c r="L635" s="9">
        <v>36179</v>
      </c>
      <c r="M635" s="14">
        <f t="shared" si="30"/>
        <v>5.9764948221678882E-3</v>
      </c>
      <c r="N635" s="14">
        <f t="shared" si="31"/>
        <v>7.0299052491031855E-3</v>
      </c>
      <c r="O635" s="14">
        <f t="shared" si="32"/>
        <v>1.0340477564074746E-3</v>
      </c>
      <c r="P635" s="14">
        <f t="array" ref="P635">MMULT(M635:O635,$I$9:$I$11)</f>
        <v>2.6526780117348044E-3</v>
      </c>
    </row>
    <row r="636" spans="2:16" x14ac:dyDescent="0.25">
      <c r="B636" s="9">
        <v>36180</v>
      </c>
      <c r="C636" s="10">
        <v>4.7490000725000002E-2</v>
      </c>
      <c r="D636" s="11">
        <v>1256.6199999999999</v>
      </c>
      <c r="E636" s="11">
        <v>0.86486486486486491</v>
      </c>
      <c r="L636" s="9">
        <v>36180</v>
      </c>
      <c r="M636" s="14">
        <f t="shared" si="30"/>
        <v>7.6385005664296735E-3</v>
      </c>
      <c r="N636" s="14">
        <f t="shared" si="31"/>
        <v>3.6900958466452582E-3</v>
      </c>
      <c r="O636" s="14">
        <f t="shared" si="32"/>
        <v>3.6324166054055862E-3</v>
      </c>
      <c r="P636" s="14">
        <f t="array" ref="P636">MMULT(M636:O636,$I$9:$I$11)</f>
        <v>3.6479875833830633E-3</v>
      </c>
    </row>
    <row r="637" spans="2:16" x14ac:dyDescent="0.25">
      <c r="B637" s="9">
        <v>36181</v>
      </c>
      <c r="C637" s="10">
        <v>4.6849999428E-2</v>
      </c>
      <c r="D637" s="11">
        <v>1235.1600000000001</v>
      </c>
      <c r="E637" s="11">
        <v>0.86203178333684194</v>
      </c>
      <c r="L637" s="9">
        <v>36181</v>
      </c>
      <c r="M637" s="14">
        <f t="shared" si="30"/>
        <v>-1.347654847819546E-2</v>
      </c>
      <c r="N637" s="14">
        <f t="shared" si="31"/>
        <v>-1.7077557256767961E-2</v>
      </c>
      <c r="O637" s="14">
        <f t="shared" si="32"/>
        <v>-3.2757505167765322E-3</v>
      </c>
      <c r="P637" s="14">
        <f t="array" ref="P637">MMULT(M637:O637,$I$9:$I$11)</f>
        <v>-7.0016599458691871E-3</v>
      </c>
    </row>
    <row r="638" spans="2:16" x14ac:dyDescent="0.25">
      <c r="B638" s="9">
        <v>36182</v>
      </c>
      <c r="C638" s="10">
        <v>4.6290001869000001E-2</v>
      </c>
      <c r="D638" s="11">
        <v>1225.19</v>
      </c>
      <c r="E638" s="11">
        <v>0.86337148473010761</v>
      </c>
      <c r="L638" s="9">
        <v>36182</v>
      </c>
      <c r="M638" s="14">
        <f t="shared" si="30"/>
        <v>-1.1952989665680036E-2</v>
      </c>
      <c r="N638" s="14">
        <f t="shared" si="31"/>
        <v>-8.0718287509310427E-3</v>
      </c>
      <c r="O638" s="14">
        <f t="shared" si="32"/>
        <v>1.5541206474776192E-3</v>
      </c>
      <c r="P638" s="14">
        <f t="array" ref="P638">MMULT(M638:O638,$I$9:$I$11)</f>
        <v>-1.0444822965541762E-3</v>
      </c>
    </row>
    <row r="639" spans="2:16" x14ac:dyDescent="0.25">
      <c r="B639" s="9">
        <v>36185</v>
      </c>
      <c r="C639" s="10">
        <v>4.6649999619000002E-2</v>
      </c>
      <c r="D639" s="11">
        <v>1233.98</v>
      </c>
      <c r="E639" s="11">
        <v>0.86553860393189241</v>
      </c>
      <c r="L639" s="9">
        <v>36185</v>
      </c>
      <c r="M639" s="14">
        <f t="shared" si="30"/>
        <v>7.7770087592303749E-3</v>
      </c>
      <c r="N639" s="14">
        <f t="shared" si="31"/>
        <v>7.1743974403970512E-3</v>
      </c>
      <c r="O639" s="14">
        <f t="shared" si="32"/>
        <v>2.5100657597723064E-3</v>
      </c>
      <c r="P639" s="14">
        <f t="array" ref="P639">MMULT(M639:O639,$I$9:$I$11)</f>
        <v>3.7692398459373555E-3</v>
      </c>
    </row>
    <row r="640" spans="2:16" x14ac:dyDescent="0.25">
      <c r="B640" s="9">
        <v>36186</v>
      </c>
      <c r="C640" s="10">
        <v>4.6929998397999995E-2</v>
      </c>
      <c r="D640" s="11">
        <v>1252.31</v>
      </c>
      <c r="E640" s="11">
        <v>0.86486486486486491</v>
      </c>
      <c r="L640" s="9">
        <v>36186</v>
      </c>
      <c r="M640" s="14">
        <f t="shared" si="30"/>
        <v>6.0021174981093051E-3</v>
      </c>
      <c r="N640" s="14">
        <f t="shared" si="31"/>
        <v>1.4854373652733344E-2</v>
      </c>
      <c r="O640" s="14">
        <f t="shared" si="32"/>
        <v>-7.7840441081067357E-4</v>
      </c>
      <c r="P640" s="14">
        <f t="array" ref="P640">MMULT(M640:O640,$I$9:$I$11)</f>
        <v>3.4417905453395124E-3</v>
      </c>
    </row>
    <row r="641" spans="2:16" x14ac:dyDescent="0.25">
      <c r="B641" s="9">
        <v>36187</v>
      </c>
      <c r="C641" s="10">
        <v>4.6729998588999996E-2</v>
      </c>
      <c r="D641" s="11">
        <v>1243.17</v>
      </c>
      <c r="E641" s="11">
        <v>0.87362950708820719</v>
      </c>
      <c r="L641" s="9">
        <v>36187</v>
      </c>
      <c r="M641" s="14">
        <f t="shared" si="30"/>
        <v>-4.2616623871123416E-3</v>
      </c>
      <c r="N641" s="14">
        <f t="shared" si="31"/>
        <v>-7.2985123491786652E-3</v>
      </c>
      <c r="O641" s="14">
        <f t="shared" si="32"/>
        <v>1.0134117570739454E-2</v>
      </c>
      <c r="P641" s="14">
        <f t="array" ref="P641">MMULT(M641:O641,$I$9:$I$11)</f>
        <v>5.4280380395500469E-3</v>
      </c>
    </row>
    <row r="642" spans="2:16" x14ac:dyDescent="0.25">
      <c r="B642" s="9">
        <v>36188</v>
      </c>
      <c r="C642" s="10">
        <v>4.6609997748999994E-2</v>
      </c>
      <c r="D642" s="11">
        <v>1265.3699999999999</v>
      </c>
      <c r="E642" s="11">
        <v>0.87569507430679594</v>
      </c>
      <c r="L642" s="9">
        <v>36188</v>
      </c>
      <c r="M642" s="14">
        <f t="shared" si="30"/>
        <v>-2.5679615583863447E-3</v>
      </c>
      <c r="N642" s="14">
        <f t="shared" si="31"/>
        <v>1.7857573783151004E-2</v>
      </c>
      <c r="O642" s="14">
        <f t="shared" si="32"/>
        <v>2.3643514806102051E-3</v>
      </c>
      <c r="P642" s="14">
        <f t="array" ref="P642">MMULT(M642:O642,$I$9:$I$11)</f>
        <v>6.5468722296365186E-3</v>
      </c>
    </row>
    <row r="643" spans="2:16" x14ac:dyDescent="0.25">
      <c r="B643" s="9">
        <v>36189</v>
      </c>
      <c r="C643" s="10">
        <v>4.6529998778999999E-2</v>
      </c>
      <c r="D643" s="11">
        <v>1279.6400000000001</v>
      </c>
      <c r="E643" s="11">
        <v>0.88086326747404753</v>
      </c>
      <c r="L643" s="9">
        <v>36189</v>
      </c>
      <c r="M643" s="14">
        <f t="shared" si="30"/>
        <v>-1.7163478623363204E-3</v>
      </c>
      <c r="N643" s="14">
        <f t="shared" si="31"/>
        <v>1.1277333902337094E-2</v>
      </c>
      <c r="O643" s="14">
        <f t="shared" si="32"/>
        <v>5.9018182457435397E-3</v>
      </c>
      <c r="P643" s="14">
        <f t="array" ref="P643">MMULT(M643:O643,$I$9:$I$11)</f>
        <v>7.3529822019162486E-3</v>
      </c>
    </row>
    <row r="644" spans="2:16" x14ac:dyDescent="0.25">
      <c r="B644" s="9">
        <v>36192</v>
      </c>
      <c r="C644" s="10">
        <v>4.7529997826000002E-2</v>
      </c>
      <c r="D644" s="11">
        <v>1273</v>
      </c>
      <c r="E644" s="11">
        <v>0.88436882800459682</v>
      </c>
      <c r="L644" s="9">
        <v>36192</v>
      </c>
      <c r="M644" s="14">
        <f t="shared" si="30"/>
        <v>2.1491490935764412E-2</v>
      </c>
      <c r="N644" s="14">
        <f t="shared" si="31"/>
        <v>-5.188959394829884E-3</v>
      </c>
      <c r="O644" s="14">
        <f t="shared" si="32"/>
        <v>3.9796874952020556E-3</v>
      </c>
      <c r="P644" s="14">
        <f t="array" ref="P644">MMULT(M644:O644,$I$9:$I$11)</f>
        <v>1.5045370643091025E-3</v>
      </c>
    </row>
    <row r="645" spans="2:16" x14ac:dyDescent="0.25">
      <c r="B645" s="9">
        <v>36193</v>
      </c>
      <c r="C645" s="10">
        <v>4.8020000457999999E-2</v>
      </c>
      <c r="D645" s="11">
        <v>1261.99</v>
      </c>
      <c r="E645" s="11">
        <v>0.88117370383259697</v>
      </c>
      <c r="L645" s="9">
        <v>36193</v>
      </c>
      <c r="M645" s="14">
        <f t="shared" si="30"/>
        <v>1.030933419761193E-2</v>
      </c>
      <c r="N645" s="14">
        <f t="shared" si="31"/>
        <v>-8.6488609583660336E-3</v>
      </c>
      <c r="O645" s="14">
        <f t="shared" si="32"/>
        <v>-3.6128864686569839E-3</v>
      </c>
      <c r="P645" s="14">
        <f t="array" ref="P645">MMULT(M645:O645,$I$9:$I$11)</f>
        <v>-4.9723885388829481E-3</v>
      </c>
    </row>
    <row r="646" spans="2:16" x14ac:dyDescent="0.25">
      <c r="B646" s="9">
        <v>36194</v>
      </c>
      <c r="C646" s="10">
        <v>4.8299999236999999E-2</v>
      </c>
      <c r="D646" s="11">
        <v>1272.07</v>
      </c>
      <c r="E646" s="11">
        <v>0.8838997342028998</v>
      </c>
      <c r="L646" s="9">
        <v>36194</v>
      </c>
      <c r="M646" s="14">
        <f t="shared" si="30"/>
        <v>5.8308783075688986E-3</v>
      </c>
      <c r="N646" s="14">
        <f t="shared" si="31"/>
        <v>7.9873850030507398E-3</v>
      </c>
      <c r="O646" s="14">
        <f t="shared" si="32"/>
        <v>3.0936356344342109E-3</v>
      </c>
      <c r="P646" s="14">
        <f t="array" ref="P646">MMULT(M646:O646,$I$9:$I$11)</f>
        <v>4.4147428821767537E-3</v>
      </c>
    </row>
    <row r="647" spans="2:16" x14ac:dyDescent="0.25">
      <c r="B647" s="9">
        <v>36195</v>
      </c>
      <c r="C647" s="10">
        <v>4.8750000000000002E-2</v>
      </c>
      <c r="D647" s="11">
        <v>1248.49</v>
      </c>
      <c r="E647" s="11">
        <v>0.8818341662545246</v>
      </c>
      <c r="L647" s="9">
        <v>36195</v>
      </c>
      <c r="M647" s="14">
        <f t="shared" si="30"/>
        <v>9.3167861306151512E-3</v>
      </c>
      <c r="N647" s="14">
        <f t="shared" si="31"/>
        <v>-1.8536715746774846E-2</v>
      </c>
      <c r="O647" s="14">
        <f t="shared" si="32"/>
        <v>-2.3368803818432093E-3</v>
      </c>
      <c r="P647" s="14">
        <f t="array" ref="P647">MMULT(M647:O647,$I$9:$I$11)</f>
        <v>-6.7101570457638714E-3</v>
      </c>
    </row>
    <row r="648" spans="2:16" x14ac:dyDescent="0.25">
      <c r="B648" s="9">
        <v>36196</v>
      </c>
      <c r="C648" s="10">
        <v>4.9450001717000001E-2</v>
      </c>
      <c r="D648" s="11">
        <v>1239.4000000000001</v>
      </c>
      <c r="E648" s="11">
        <v>0.88762646542279666</v>
      </c>
      <c r="L648" s="9">
        <v>36196</v>
      </c>
      <c r="M648" s="14">
        <f t="shared" si="30"/>
        <v>1.4359009579487214E-2</v>
      </c>
      <c r="N648" s="14">
        <f t="shared" si="31"/>
        <v>-7.2807952006022081E-3</v>
      </c>
      <c r="O648" s="14">
        <f t="shared" si="32"/>
        <v>6.5684676211561488E-3</v>
      </c>
      <c r="P648" s="14">
        <f t="array" ref="P648">MMULT(M648:O648,$I$9:$I$11)</f>
        <v>2.8297470387229056E-3</v>
      </c>
    </row>
    <row r="649" spans="2:16" x14ac:dyDescent="0.25">
      <c r="B649" s="9">
        <v>36199</v>
      </c>
      <c r="C649" s="10">
        <v>4.9250001906999998E-2</v>
      </c>
      <c r="D649" s="11">
        <v>1243.77</v>
      </c>
      <c r="E649" s="11">
        <v>0.88315815857550795</v>
      </c>
      <c r="L649" s="9">
        <v>36199</v>
      </c>
      <c r="M649" s="14">
        <f t="shared" ref="M649:M712" si="33">C649/C648-1</f>
        <v>-4.0444854005181607E-3</v>
      </c>
      <c r="N649" s="14">
        <f t="shared" ref="N649:N712" si="34">D649/D648-1</f>
        <v>3.5258996288525246E-3</v>
      </c>
      <c r="O649" s="14">
        <f t="shared" ref="O649:O712" si="35">E649/E648-1</f>
        <v>-5.033994615246562E-3</v>
      </c>
      <c r="P649" s="14">
        <f t="array" ref="P649">MMULT(M649:O649,$I$9:$I$11)</f>
        <v>-2.7231818878293589E-3</v>
      </c>
    </row>
    <row r="650" spans="2:16" x14ac:dyDescent="0.25">
      <c r="B650" s="9">
        <v>36200</v>
      </c>
      <c r="C650" s="10">
        <v>4.8850002289000001E-2</v>
      </c>
      <c r="D650" s="11">
        <v>1216.1400000000001</v>
      </c>
      <c r="E650" s="11">
        <v>0.88530832413713856</v>
      </c>
      <c r="L650" s="9">
        <v>36200</v>
      </c>
      <c r="M650" s="14">
        <f t="shared" si="33"/>
        <v>-8.1218193403388428E-3</v>
      </c>
      <c r="N650" s="14">
        <f t="shared" si="34"/>
        <v>-2.2214718155285862E-2</v>
      </c>
      <c r="O650" s="14">
        <f t="shared" si="35"/>
        <v>2.4346325069324326E-3</v>
      </c>
      <c r="P650" s="14">
        <f t="array" ref="P650">MMULT(M650:O650,$I$9:$I$11)</f>
        <v>-4.2196591944037255E-3</v>
      </c>
    </row>
    <row r="651" spans="2:16" x14ac:dyDescent="0.25">
      <c r="B651" s="9">
        <v>36201</v>
      </c>
      <c r="C651" s="10">
        <v>4.9320001602000001E-2</v>
      </c>
      <c r="D651" s="11">
        <v>1223.55</v>
      </c>
      <c r="E651" s="11">
        <v>0.88296322372410974</v>
      </c>
      <c r="L651" s="9">
        <v>36201</v>
      </c>
      <c r="M651" s="14">
        <f t="shared" si="33"/>
        <v>9.6212751479407554E-3</v>
      </c>
      <c r="N651" s="14">
        <f t="shared" si="34"/>
        <v>6.0930484977057553E-3</v>
      </c>
      <c r="O651" s="14">
        <f t="shared" si="35"/>
        <v>-2.6489081251037661E-3</v>
      </c>
      <c r="P651" s="14">
        <f t="array" ref="P651">MMULT(M651:O651,$I$9:$I$11)</f>
        <v>-2.889461851016122E-4</v>
      </c>
    </row>
    <row r="652" spans="2:16" x14ac:dyDescent="0.25">
      <c r="B652" s="9">
        <v>36202</v>
      </c>
      <c r="C652" s="10">
        <v>4.9279999733000006E-2</v>
      </c>
      <c r="D652" s="11">
        <v>1254.04</v>
      </c>
      <c r="E652" s="11">
        <v>0.88476002677372667</v>
      </c>
      <c r="L652" s="9">
        <v>36202</v>
      </c>
      <c r="M652" s="14">
        <f t="shared" si="33"/>
        <v>-8.1106787714246842E-4</v>
      </c>
      <c r="N652" s="14">
        <f t="shared" si="34"/>
        <v>2.4919292223448242E-2</v>
      </c>
      <c r="O652" s="14">
        <f t="shared" si="35"/>
        <v>2.0349692958201437E-3</v>
      </c>
      <c r="P652" s="14">
        <f t="array" ref="P652">MMULT(M652:O652,$I$9:$I$11)</f>
        <v>8.2127774756283259E-3</v>
      </c>
    </row>
    <row r="653" spans="2:16" x14ac:dyDescent="0.25">
      <c r="B653" s="9">
        <v>36203</v>
      </c>
      <c r="C653" s="10">
        <v>5.0500001906999999E-2</v>
      </c>
      <c r="D653" s="11">
        <v>1230.1300000000001</v>
      </c>
      <c r="E653" s="11">
        <v>0.88636762272546976</v>
      </c>
      <c r="L653" s="9">
        <v>36203</v>
      </c>
      <c r="M653" s="14">
        <f t="shared" si="33"/>
        <v>2.4756537755884489E-2</v>
      </c>
      <c r="N653" s="14">
        <f t="shared" si="34"/>
        <v>-1.9066377468023199E-2</v>
      </c>
      <c r="O653" s="14">
        <f t="shared" si="35"/>
        <v>1.8169852876437353E-3</v>
      </c>
      <c r="P653" s="14">
        <f t="array" ref="P653">MMULT(M653:O653,$I$9:$I$11)</f>
        <v>-3.8206474997394416E-3</v>
      </c>
    </row>
    <row r="654" spans="2:16" x14ac:dyDescent="0.25">
      <c r="B654" s="9">
        <v>36206</v>
      </c>
      <c r="C654" s="10">
        <v>5.0500001906999999E-2</v>
      </c>
      <c r="D654" s="11">
        <v>1230.1300000000001</v>
      </c>
      <c r="E654" s="11">
        <v>0.890353032108959</v>
      </c>
      <c r="L654" s="9">
        <v>36206</v>
      </c>
      <c r="M654" s="14">
        <f t="shared" si="33"/>
        <v>0</v>
      </c>
      <c r="N654" s="14">
        <f t="shared" si="34"/>
        <v>0</v>
      </c>
      <c r="O654" s="14">
        <f t="shared" si="35"/>
        <v>4.49633908246172E-3</v>
      </c>
      <c r="P654" s="14">
        <f t="array" ref="P654">MMULT(M654:O654,$I$9:$I$11)</f>
        <v>3.2825159577544731E-3</v>
      </c>
    </row>
    <row r="655" spans="2:16" x14ac:dyDescent="0.25">
      <c r="B655" s="9">
        <v>36207</v>
      </c>
      <c r="C655" s="10">
        <v>5.0190000534000002E-2</v>
      </c>
      <c r="D655" s="11">
        <v>1241.8699999999999</v>
      </c>
      <c r="E655" s="11">
        <v>0.89409456462547265</v>
      </c>
      <c r="L655" s="9">
        <v>36207</v>
      </c>
      <c r="M655" s="14">
        <f t="shared" si="33"/>
        <v>-6.1386408176952179E-3</v>
      </c>
      <c r="N655" s="14">
        <f t="shared" si="34"/>
        <v>9.5437067626997774E-3</v>
      </c>
      <c r="O655" s="14">
        <f t="shared" si="35"/>
        <v>4.2023022122485987E-3</v>
      </c>
      <c r="P655" s="14">
        <f t="array" ref="P655">MMULT(M655:O655,$I$9:$I$11)</f>
        <v>5.6442575992530115E-3</v>
      </c>
    </row>
    <row r="656" spans="2:16" x14ac:dyDescent="0.25">
      <c r="B656" s="9">
        <v>36208</v>
      </c>
      <c r="C656" s="10">
        <v>4.9739999771E-2</v>
      </c>
      <c r="D656" s="11">
        <v>1224.03</v>
      </c>
      <c r="E656" s="11">
        <v>0.89059095362487339</v>
      </c>
      <c r="L656" s="9">
        <v>36208</v>
      </c>
      <c r="M656" s="14">
        <f t="shared" si="33"/>
        <v>-8.9659445748593303E-3</v>
      </c>
      <c r="N656" s="14">
        <f t="shared" si="34"/>
        <v>-1.4365432774766984E-2</v>
      </c>
      <c r="O656" s="14">
        <f t="shared" si="35"/>
        <v>-3.9186134657545058E-3</v>
      </c>
      <c r="P656" s="14">
        <f t="array" ref="P656">MMULT(M656:O656,$I$9:$I$11)</f>
        <v>-6.7388168855497445E-3</v>
      </c>
    </row>
    <row r="657" spans="2:16" x14ac:dyDescent="0.25">
      <c r="B657" s="9">
        <v>36209</v>
      </c>
      <c r="C657" s="10">
        <v>5.0570001602000002E-2</v>
      </c>
      <c r="D657" s="11">
        <v>1237.28</v>
      </c>
      <c r="E657" s="11">
        <v>0.89114650415440022</v>
      </c>
      <c r="L657" s="9">
        <v>36209</v>
      </c>
      <c r="M657" s="14">
        <f t="shared" si="33"/>
        <v>1.6686808098538064E-2</v>
      </c>
      <c r="N657" s="14">
        <f t="shared" si="34"/>
        <v>1.0824898082563372E-2</v>
      </c>
      <c r="O657" s="14">
        <f t="shared" si="35"/>
        <v>6.2379987946847848E-4</v>
      </c>
      <c r="P657" s="14">
        <f t="array" ref="P657">MMULT(M657:O657,$I$9:$I$11)</f>
        <v>3.3776688980716911E-3</v>
      </c>
    </row>
    <row r="658" spans="2:16" x14ac:dyDescent="0.25">
      <c r="B658" s="9">
        <v>36210</v>
      </c>
      <c r="C658" s="10">
        <v>5.0780000686999997E-2</v>
      </c>
      <c r="D658" s="11">
        <v>1239.22</v>
      </c>
      <c r="E658" s="11">
        <v>0.90260851953127519</v>
      </c>
      <c r="L658" s="9">
        <v>36210</v>
      </c>
      <c r="M658" s="14">
        <f t="shared" si="33"/>
        <v>4.1526414543695545E-3</v>
      </c>
      <c r="N658" s="14">
        <f t="shared" si="34"/>
        <v>1.567955515324071E-3</v>
      </c>
      <c r="O658" s="14">
        <f t="shared" si="35"/>
        <v>1.2862099916725933E-2</v>
      </c>
      <c r="P658" s="14">
        <f t="array" ref="P658">MMULT(M658:O658,$I$9:$I$11)</f>
        <v>9.8131542307393644E-3</v>
      </c>
    </row>
    <row r="659" spans="2:16" x14ac:dyDescent="0.25">
      <c r="B659" s="9">
        <v>36213</v>
      </c>
      <c r="C659" s="10">
        <v>5.0199999809000001E-2</v>
      </c>
      <c r="D659" s="11">
        <v>1272.1400000000001</v>
      </c>
      <c r="E659" s="11">
        <v>0.90624853479152923</v>
      </c>
      <c r="L659" s="9">
        <v>36213</v>
      </c>
      <c r="M659" s="14">
        <f t="shared" si="33"/>
        <v>-1.1421836749767489E-2</v>
      </c>
      <c r="N659" s="14">
        <f t="shared" si="34"/>
        <v>2.6565097399977367E-2</v>
      </c>
      <c r="O659" s="14">
        <f t="shared" si="35"/>
        <v>4.0327729923756994E-3</v>
      </c>
      <c r="P659" s="14">
        <f t="array" ref="P659">MMULT(M659:O659,$I$9:$I$11)</f>
        <v>1.0115556322937662E-2</v>
      </c>
    </row>
    <row r="660" spans="2:16" x14ac:dyDescent="0.25">
      <c r="B660" s="9">
        <v>36214</v>
      </c>
      <c r="C660" s="10">
        <v>5.1030001640000003E-2</v>
      </c>
      <c r="D660" s="11">
        <v>1271.18</v>
      </c>
      <c r="E660" s="11">
        <v>0.90818275275801297</v>
      </c>
      <c r="L660" s="9">
        <v>36214</v>
      </c>
      <c r="M660" s="14">
        <f t="shared" si="33"/>
        <v>1.6533901078844115E-2</v>
      </c>
      <c r="N660" s="14">
        <f t="shared" si="34"/>
        <v>-7.5463392393926298E-4</v>
      </c>
      <c r="O660" s="14">
        <f t="shared" si="35"/>
        <v>2.1343129309761011E-3</v>
      </c>
      <c r="P660" s="14">
        <f t="array" ref="P660">MMULT(M660:O660,$I$9:$I$11)</f>
        <v>1.3544183469077974E-3</v>
      </c>
    </row>
    <row r="661" spans="2:16" x14ac:dyDescent="0.25">
      <c r="B661" s="9">
        <v>36215</v>
      </c>
      <c r="C661" s="10">
        <v>5.1789999008E-2</v>
      </c>
      <c r="D661" s="11">
        <v>1253.4100000000001</v>
      </c>
      <c r="E661" s="11">
        <v>0.91166014448878108</v>
      </c>
      <c r="L661" s="9">
        <v>36215</v>
      </c>
      <c r="M661" s="14">
        <f t="shared" si="33"/>
        <v>1.4893148022246505E-2</v>
      </c>
      <c r="N661" s="14">
        <f t="shared" si="34"/>
        <v>-1.3979137494296578E-2</v>
      </c>
      <c r="O661" s="14">
        <f t="shared" si="35"/>
        <v>3.8289559234723214E-3</v>
      </c>
      <c r="P661" s="14">
        <f t="array" ref="P661">MMULT(M661:O661,$I$9:$I$11)</f>
        <v>-9.7848301763179017E-4</v>
      </c>
    </row>
    <row r="662" spans="2:16" x14ac:dyDescent="0.25">
      <c r="B662" s="9">
        <v>36216</v>
      </c>
      <c r="C662" s="10">
        <v>5.3530001639999998E-2</v>
      </c>
      <c r="D662" s="11">
        <v>1245.02</v>
      </c>
      <c r="E662" s="11">
        <v>0.90575614469882282</v>
      </c>
      <c r="L662" s="9">
        <v>36216</v>
      </c>
      <c r="M662" s="14">
        <f t="shared" si="33"/>
        <v>3.3597271004604856E-2</v>
      </c>
      <c r="N662" s="14">
        <f t="shared" si="34"/>
        <v>-6.6937394787022209E-3</v>
      </c>
      <c r="O662" s="14">
        <f t="shared" si="35"/>
        <v>-6.4760972887204504E-3</v>
      </c>
      <c r="P662" s="14">
        <f t="array" ref="P662">MMULT(M662:O662,$I$9:$I$11)</f>
        <v>-6.5348515593096615E-3</v>
      </c>
    </row>
    <row r="663" spans="2:16" x14ac:dyDescent="0.25">
      <c r="B663" s="9">
        <v>36217</v>
      </c>
      <c r="C663" s="10">
        <v>5.2940001488000002E-2</v>
      </c>
      <c r="D663" s="11">
        <v>1238.33</v>
      </c>
      <c r="E663" s="11">
        <v>0.90867788393239968</v>
      </c>
      <c r="L663" s="9">
        <v>36217</v>
      </c>
      <c r="M663" s="14">
        <f t="shared" si="33"/>
        <v>-1.1021859404523604E-2</v>
      </c>
      <c r="N663" s="14">
        <f t="shared" si="34"/>
        <v>-5.3734076561019473E-3</v>
      </c>
      <c r="O663" s="14">
        <f t="shared" si="35"/>
        <v>3.2257459700131275E-3</v>
      </c>
      <c r="P663" s="14">
        <f t="array" ref="P663">MMULT(M663:O663,$I$9:$I$11)</f>
        <v>9.0433485468995023E-4</v>
      </c>
    </row>
    <row r="664" spans="2:16" x14ac:dyDescent="0.25">
      <c r="B664" s="9">
        <v>36220</v>
      </c>
      <c r="C664" s="10">
        <v>5.3920001984000002E-2</v>
      </c>
      <c r="D664" s="11">
        <v>1236.1600000000001</v>
      </c>
      <c r="E664" s="11">
        <v>0.91633830312029707</v>
      </c>
      <c r="L664" s="9">
        <v>36220</v>
      </c>
      <c r="M664" s="14">
        <f t="shared" si="33"/>
        <v>1.85115313270654E-2</v>
      </c>
      <c r="N664" s="14">
        <f t="shared" si="34"/>
        <v>-1.7523600332705058E-3</v>
      </c>
      <c r="O664" s="14">
        <f t="shared" si="35"/>
        <v>8.4302912212919079E-3</v>
      </c>
      <c r="P664" s="14">
        <f t="array" ref="P664">MMULT(M664:O664,$I$9:$I$11)</f>
        <v>5.6814021057383446E-3</v>
      </c>
    </row>
    <row r="665" spans="2:16" x14ac:dyDescent="0.25">
      <c r="B665" s="9">
        <v>36221</v>
      </c>
      <c r="C665" s="10">
        <v>5.3150000571999999E-2</v>
      </c>
      <c r="D665" s="11">
        <v>1225.5</v>
      </c>
      <c r="E665" s="11">
        <v>0.91436932764461287</v>
      </c>
      <c r="L665" s="9">
        <v>36221</v>
      </c>
      <c r="M665" s="14">
        <f t="shared" si="33"/>
        <v>-1.42804410917583E-2</v>
      </c>
      <c r="N665" s="14">
        <f t="shared" si="34"/>
        <v>-8.6234791612737061E-3</v>
      </c>
      <c r="O665" s="14">
        <f t="shared" si="35"/>
        <v>-2.1487429576821926E-3</v>
      </c>
      <c r="P665" s="14">
        <f t="array" ref="P665">MMULT(M665:O665,$I$9:$I$11)</f>
        <v>-3.8966503966371144E-3</v>
      </c>
    </row>
    <row r="666" spans="2:16" x14ac:dyDescent="0.25">
      <c r="B666" s="9">
        <v>36222</v>
      </c>
      <c r="C666" s="10">
        <v>5.3839998244999999E-2</v>
      </c>
      <c r="D666" s="11">
        <v>1227.7</v>
      </c>
      <c r="E666" s="11">
        <v>0.91722080804083606</v>
      </c>
      <c r="L666" s="9">
        <v>36222</v>
      </c>
      <c r="M666" s="14">
        <f t="shared" si="33"/>
        <v>1.2982082136862694E-2</v>
      </c>
      <c r="N666" s="14">
        <f t="shared" si="34"/>
        <v>1.7951856385149956E-3</v>
      </c>
      <c r="O666" s="14">
        <f t="shared" si="35"/>
        <v>3.118521487994963E-3</v>
      </c>
      <c r="P666" s="14">
        <f t="array" ref="P666">MMULT(M666:O666,$I$9:$I$11)</f>
        <v>2.7612762655164448E-3</v>
      </c>
    </row>
    <row r="667" spans="2:16" x14ac:dyDescent="0.25">
      <c r="B667" s="9">
        <v>36223</v>
      </c>
      <c r="C667" s="10">
        <v>5.4190001488000003E-2</v>
      </c>
      <c r="D667" s="11">
        <v>1246.6400000000001</v>
      </c>
      <c r="E667" s="11">
        <v>0.92678406257810875</v>
      </c>
      <c r="L667" s="9">
        <v>36223</v>
      </c>
      <c r="M667" s="14">
        <f t="shared" si="33"/>
        <v>6.5008033879812022E-3</v>
      </c>
      <c r="N667" s="14">
        <f t="shared" si="34"/>
        <v>1.5427221633949717E-2</v>
      </c>
      <c r="O667" s="14">
        <f t="shared" si="35"/>
        <v>1.0426338405579383E-2</v>
      </c>
      <c r="P667" s="14">
        <f t="array" ref="P667">MMULT(M667:O667,$I$9:$I$11)</f>
        <v>1.177636730580929E-2</v>
      </c>
    </row>
    <row r="668" spans="2:16" x14ac:dyDescent="0.25">
      <c r="B668" s="9">
        <v>36224</v>
      </c>
      <c r="C668" s="10">
        <v>5.3200001717000005E-2</v>
      </c>
      <c r="D668" s="11">
        <v>1275.47</v>
      </c>
      <c r="E668" s="11">
        <v>0.92182890430572961</v>
      </c>
      <c r="L668" s="9">
        <v>36224</v>
      </c>
      <c r="M668" s="14">
        <f t="shared" si="33"/>
        <v>-1.8269048603352211E-2</v>
      </c>
      <c r="N668" s="14">
        <f t="shared" si="34"/>
        <v>2.3126163126483856E-2</v>
      </c>
      <c r="O668" s="14">
        <f t="shared" si="35"/>
        <v>-5.3466157570675188E-3</v>
      </c>
      <c r="P668" s="14">
        <f t="array" ref="P668">MMULT(M668:O668,$I$9:$I$11)</f>
        <v>2.3398413360681139E-3</v>
      </c>
    </row>
    <row r="669" spans="2:16" x14ac:dyDescent="0.25">
      <c r="B669" s="9">
        <v>36227</v>
      </c>
      <c r="C669" s="10">
        <v>5.2690000533999998E-2</v>
      </c>
      <c r="D669" s="11">
        <v>1282.73</v>
      </c>
      <c r="E669" s="11">
        <v>0.91722080804083606</v>
      </c>
      <c r="L669" s="9">
        <v>36227</v>
      </c>
      <c r="M669" s="14">
        <f t="shared" si="33"/>
        <v>-9.586488092857226E-3</v>
      </c>
      <c r="N669" s="14">
        <f t="shared" si="34"/>
        <v>5.6920194124518986E-3</v>
      </c>
      <c r="O669" s="14">
        <f t="shared" si="35"/>
        <v>-4.9988628511969946E-3</v>
      </c>
      <c r="P669" s="14">
        <f t="array" ref="P669">MMULT(M669:O669,$I$9:$I$11)</f>
        <v>-2.1127726615676927E-3</v>
      </c>
    </row>
    <row r="670" spans="2:16" x14ac:dyDescent="0.25">
      <c r="B670" s="9">
        <v>36228</v>
      </c>
      <c r="C670" s="10">
        <v>5.1719999313000004E-2</v>
      </c>
      <c r="D670" s="11">
        <v>1279.8399999999999</v>
      </c>
      <c r="E670" s="11">
        <v>0.92042893622741806</v>
      </c>
      <c r="L670" s="9">
        <v>36228</v>
      </c>
      <c r="M670" s="14">
        <f t="shared" si="33"/>
        <v>-1.8409588369126428E-2</v>
      </c>
      <c r="N670" s="14">
        <f t="shared" si="34"/>
        <v>-2.2530072579577398E-3</v>
      </c>
      <c r="O670" s="14">
        <f t="shared" si="35"/>
        <v>3.497661804505281E-3</v>
      </c>
      <c r="P670" s="14">
        <f t="array" ref="P670">MMULT(M670:O670,$I$9:$I$11)</f>
        <v>1.9452221502578332E-3</v>
      </c>
    </row>
    <row r="671" spans="2:16" x14ac:dyDescent="0.25">
      <c r="B671" s="9">
        <v>36229</v>
      </c>
      <c r="C671" s="10">
        <v>5.2010002136000003E-2</v>
      </c>
      <c r="D671" s="11">
        <v>1286.8399999999999</v>
      </c>
      <c r="E671" s="11">
        <v>0.91195112956618829</v>
      </c>
      <c r="L671" s="9">
        <v>36229</v>
      </c>
      <c r="M671" s="14">
        <f t="shared" si="33"/>
        <v>5.6071698927324665E-3</v>
      </c>
      <c r="N671" s="14">
        <f t="shared" si="34"/>
        <v>5.469433679209823E-3</v>
      </c>
      <c r="O671" s="14">
        <f t="shared" si="35"/>
        <v>-9.2107128834714169E-3</v>
      </c>
      <c r="P671" s="14">
        <f t="array" ref="P671">MMULT(M671:O671,$I$9:$I$11)</f>
        <v>-5.2476885107370017E-3</v>
      </c>
    </row>
    <row r="672" spans="2:16" x14ac:dyDescent="0.25">
      <c r="B672" s="9">
        <v>36230</v>
      </c>
      <c r="C672" s="10">
        <v>5.2109999657E-2</v>
      </c>
      <c r="D672" s="11">
        <v>1297.68</v>
      </c>
      <c r="E672" s="11">
        <v>0.92421440305315372</v>
      </c>
      <c r="L672" s="9">
        <v>36230</v>
      </c>
      <c r="M672" s="14">
        <f t="shared" si="33"/>
        <v>1.9226594288250798E-3</v>
      </c>
      <c r="N672" s="14">
        <f t="shared" si="34"/>
        <v>8.4237356625533888E-3</v>
      </c>
      <c r="O672" s="14">
        <f t="shared" si="35"/>
        <v>1.3447292392519961E-2</v>
      </c>
      <c r="P672" s="14">
        <f t="array" ref="P672">MMULT(M672:O672,$I$9:$I$11)</f>
        <v>1.2091142597034856E-2</v>
      </c>
    </row>
    <row r="673" spans="2:16" x14ac:dyDescent="0.25">
      <c r="B673" s="9">
        <v>36231</v>
      </c>
      <c r="C673" s="10">
        <v>5.1469998359999998E-2</v>
      </c>
      <c r="D673" s="11">
        <v>1294.5899999999999</v>
      </c>
      <c r="E673" s="11">
        <v>0.91466194528829381</v>
      </c>
      <c r="L673" s="9">
        <v>36231</v>
      </c>
      <c r="M673" s="14">
        <f t="shared" si="33"/>
        <v>-1.2281736734074844E-2</v>
      </c>
      <c r="N673" s="14">
        <f t="shared" si="34"/>
        <v>-2.3811725540966444E-3</v>
      </c>
      <c r="O673" s="14">
        <f t="shared" si="35"/>
        <v>-1.0335759465880723E-2</v>
      </c>
      <c r="P673" s="14">
        <f t="array" ref="P673">MMULT(M673:O673,$I$9:$I$11)</f>
        <v>-8.1883543516448071E-3</v>
      </c>
    </row>
    <row r="674" spans="2:16" x14ac:dyDescent="0.25">
      <c r="B674" s="9">
        <v>36234</v>
      </c>
      <c r="C674" s="10">
        <v>5.1550002098000001E-2</v>
      </c>
      <c r="D674" s="11">
        <v>1307.26</v>
      </c>
      <c r="E674" s="11">
        <v>0.91428571428571426</v>
      </c>
      <c r="L674" s="9">
        <v>36234</v>
      </c>
      <c r="M674" s="14">
        <f t="shared" si="33"/>
        <v>1.554376152111514E-3</v>
      </c>
      <c r="N674" s="14">
        <f t="shared" si="34"/>
        <v>9.7868823334028576E-3</v>
      </c>
      <c r="O674" s="14">
        <f t="shared" si="35"/>
        <v>-4.1133339428589544E-4</v>
      </c>
      <c r="P674" s="14">
        <f t="array" ref="P674">MMULT(M674:O674,$I$9:$I$11)</f>
        <v>2.3417574767532201E-3</v>
      </c>
    </row>
    <row r="675" spans="2:16" x14ac:dyDescent="0.25">
      <c r="B675" s="9">
        <v>36235</v>
      </c>
      <c r="C675" s="10">
        <v>5.109000206E-2</v>
      </c>
      <c r="D675" s="11">
        <v>1306.3800000000001</v>
      </c>
      <c r="E675" s="11">
        <v>0.91646424267288951</v>
      </c>
      <c r="L675" s="9">
        <v>36235</v>
      </c>
      <c r="M675" s="14">
        <f t="shared" si="33"/>
        <v>-8.9233757377062961E-3</v>
      </c>
      <c r="N675" s="14">
        <f t="shared" si="34"/>
        <v>-6.7316371647563322E-4</v>
      </c>
      <c r="O675" s="14">
        <f t="shared" si="35"/>
        <v>2.3827654234729323E-3</v>
      </c>
      <c r="P675" s="14">
        <f t="array" ref="P675">MMULT(M675:O675,$I$9:$I$11)</f>
        <v>1.5577926201528042E-3</v>
      </c>
    </row>
    <row r="676" spans="2:16" x14ac:dyDescent="0.25">
      <c r="B676" s="9">
        <v>36236</v>
      </c>
      <c r="C676" s="10">
        <v>5.1220002174000002E-2</v>
      </c>
      <c r="D676" s="11">
        <v>1297.82</v>
      </c>
      <c r="E676" s="11">
        <v>0.90620751446000491</v>
      </c>
      <c r="L676" s="9">
        <v>36236</v>
      </c>
      <c r="M676" s="14">
        <f t="shared" si="33"/>
        <v>2.544531390844984E-3</v>
      </c>
      <c r="N676" s="14">
        <f t="shared" si="34"/>
        <v>-6.5524579372006064E-3</v>
      </c>
      <c r="O676" s="14">
        <f t="shared" si="35"/>
        <v>-1.1191629455144514E-2</v>
      </c>
      <c r="P676" s="14">
        <f t="array" ref="P676">MMULT(M676:O676,$I$9:$I$11)</f>
        <v>-9.9392475585192881E-3</v>
      </c>
    </row>
    <row r="677" spans="2:16" x14ac:dyDescent="0.25">
      <c r="B677" s="9">
        <v>36237</v>
      </c>
      <c r="C677" s="10">
        <v>5.1009998322000004E-2</v>
      </c>
      <c r="D677" s="11">
        <v>1316.55</v>
      </c>
      <c r="E677" s="11">
        <v>0.90884298201322966</v>
      </c>
      <c r="L677" s="9">
        <v>36237</v>
      </c>
      <c r="M677" s="14">
        <f t="shared" si="33"/>
        <v>-4.1000359837274347E-3</v>
      </c>
      <c r="N677" s="14">
        <f t="shared" si="34"/>
        <v>1.4431893482917513E-2</v>
      </c>
      <c r="O677" s="14">
        <f t="shared" si="35"/>
        <v>2.9082384676484274E-3</v>
      </c>
      <c r="P677" s="14">
        <f t="array" ref="P677">MMULT(M677:O677,$I$9:$I$11)</f>
        <v>6.0191424013046248E-3</v>
      </c>
    </row>
    <row r="678" spans="2:16" x14ac:dyDescent="0.25">
      <c r="B678" s="9">
        <v>36238</v>
      </c>
      <c r="C678" s="10">
        <v>5.1810002326999997E-2</v>
      </c>
      <c r="D678" s="11">
        <v>1299.29</v>
      </c>
      <c r="E678" s="11">
        <v>0.91432756887888988</v>
      </c>
      <c r="L678" s="9">
        <v>36238</v>
      </c>
      <c r="M678" s="14">
        <f t="shared" si="33"/>
        <v>1.56832784025982E-2</v>
      </c>
      <c r="N678" s="14">
        <f t="shared" si="34"/>
        <v>-1.3110022407048727E-2</v>
      </c>
      <c r="O678" s="14">
        <f t="shared" si="35"/>
        <v>6.0346913319515583E-3</v>
      </c>
      <c r="P678" s="14">
        <f t="array" ref="P678">MMULT(M678:O678,$I$9:$I$11)</f>
        <v>8.6642091770685334E-4</v>
      </c>
    </row>
    <row r="679" spans="2:16" x14ac:dyDescent="0.25">
      <c r="B679" s="9">
        <v>36241</v>
      </c>
      <c r="C679" s="10">
        <v>5.2030000686999998E-2</v>
      </c>
      <c r="D679" s="11">
        <v>1297.01</v>
      </c>
      <c r="E679" s="11">
        <v>0.91688435811876989</v>
      </c>
      <c r="L679" s="9">
        <v>36241</v>
      </c>
      <c r="M679" s="14">
        <f t="shared" si="33"/>
        <v>4.2462526562241365E-3</v>
      </c>
      <c r="N679" s="14">
        <f t="shared" si="34"/>
        <v>-1.7548045470987539E-3</v>
      </c>
      <c r="O679" s="14">
        <f t="shared" si="35"/>
        <v>2.7963602180507419E-3</v>
      </c>
      <c r="P679" s="14">
        <f t="array" ref="P679">MMULT(M679:O679,$I$9:$I$11)</f>
        <v>1.5677364565912842E-3</v>
      </c>
    </row>
    <row r="680" spans="2:16" x14ac:dyDescent="0.25">
      <c r="B680" s="9">
        <v>36242</v>
      </c>
      <c r="C680" s="10">
        <v>5.1599998474E-2</v>
      </c>
      <c r="D680" s="11">
        <v>1262.1400000000001</v>
      </c>
      <c r="E680" s="11">
        <v>0.91638034585746231</v>
      </c>
      <c r="L680" s="9">
        <v>36242</v>
      </c>
      <c r="M680" s="14">
        <f t="shared" si="33"/>
        <v>-8.2645052339473946E-3</v>
      </c>
      <c r="N680" s="14">
        <f t="shared" si="34"/>
        <v>-2.6884912221185608E-2</v>
      </c>
      <c r="O680" s="14">
        <f t="shared" si="35"/>
        <v>-5.4970101392248782E-4</v>
      </c>
      <c r="P680" s="14">
        <f t="array" ref="P680">MMULT(M680:O680,$I$9:$I$11)</f>
        <v>-7.659104413259548E-3</v>
      </c>
    </row>
    <row r="681" spans="2:16" x14ac:dyDescent="0.25">
      <c r="B681" s="9">
        <v>36243</v>
      </c>
      <c r="C681" s="10">
        <v>5.1560001373000007E-2</v>
      </c>
      <c r="D681" s="11">
        <v>1268.5899999999999</v>
      </c>
      <c r="E681" s="11">
        <v>0.91562516578623998</v>
      </c>
      <c r="L681" s="9">
        <v>36243</v>
      </c>
      <c r="M681" s="14">
        <f t="shared" si="33"/>
        <v>-7.7513763920256107E-4</v>
      </c>
      <c r="N681" s="14">
        <f t="shared" si="34"/>
        <v>5.1103681049644578E-3</v>
      </c>
      <c r="O681" s="14">
        <f t="shared" si="35"/>
        <v>-8.2409020952511902E-4</v>
      </c>
      <c r="P681" s="14">
        <f t="array" ref="P681">MMULT(M681:O681,$I$9:$I$11)</f>
        <v>7.7796484073475354E-4</v>
      </c>
    </row>
    <row r="682" spans="2:16" x14ac:dyDescent="0.25">
      <c r="B682" s="9">
        <v>36244</v>
      </c>
      <c r="C682" s="10">
        <v>5.2160000801E-2</v>
      </c>
      <c r="D682" s="11">
        <v>1289.99</v>
      </c>
      <c r="E682" s="11">
        <v>0.91992091972303369</v>
      </c>
      <c r="L682" s="9">
        <v>36244</v>
      </c>
      <c r="M682" s="14">
        <f t="shared" si="33"/>
        <v>1.1636916447294476E-2</v>
      </c>
      <c r="N682" s="14">
        <f t="shared" si="34"/>
        <v>1.6869122411496296E-2</v>
      </c>
      <c r="O682" s="14">
        <f t="shared" si="35"/>
        <v>4.6916075456542305E-3</v>
      </c>
      <c r="P682" s="14">
        <f t="array" ref="P682">MMULT(M682:O682,$I$9:$I$11)</f>
        <v>7.9790262377366482E-3</v>
      </c>
    </row>
    <row r="683" spans="2:16" x14ac:dyDescent="0.25">
      <c r="B683" s="9">
        <v>36245</v>
      </c>
      <c r="C683" s="10">
        <v>5.2080001831000006E-2</v>
      </c>
      <c r="D683" s="11">
        <v>1282.8</v>
      </c>
      <c r="E683" s="11">
        <v>0.93096870219870786</v>
      </c>
      <c r="L683" s="9">
        <v>36245</v>
      </c>
      <c r="M683" s="14">
        <f t="shared" si="33"/>
        <v>-1.5337225608029748E-3</v>
      </c>
      <c r="N683" s="14">
        <f t="shared" si="34"/>
        <v>-5.573686617725726E-3</v>
      </c>
      <c r="O683" s="14">
        <f t="shared" si="35"/>
        <v>1.2009491510422965E-2</v>
      </c>
      <c r="P683" s="14">
        <f t="array" ref="P683">MMULT(M683:O683,$I$9:$I$11)</f>
        <v>7.2627702720175049E-3</v>
      </c>
    </row>
    <row r="684" spans="2:16" x14ac:dyDescent="0.25">
      <c r="B684" s="9">
        <v>36248</v>
      </c>
      <c r="C684" s="10">
        <v>5.2589998244999998E-2</v>
      </c>
      <c r="D684" s="11">
        <v>1310.17</v>
      </c>
      <c r="E684" s="11">
        <v>0.9326183184700233</v>
      </c>
      <c r="L684" s="9">
        <v>36248</v>
      </c>
      <c r="M684" s="14">
        <f t="shared" si="33"/>
        <v>9.7925575282222788E-3</v>
      </c>
      <c r="N684" s="14">
        <f t="shared" si="34"/>
        <v>2.1336139694418499E-2</v>
      </c>
      <c r="O684" s="14">
        <f t="shared" si="35"/>
        <v>1.7719352620764184E-3</v>
      </c>
      <c r="P684" s="14">
        <f t="array" ref="P684">MMULT(M684:O684,$I$9:$I$11)</f>
        <v>7.0534505839758566E-3</v>
      </c>
    </row>
    <row r="685" spans="2:16" x14ac:dyDescent="0.25">
      <c r="B685" s="9">
        <v>36249</v>
      </c>
      <c r="C685" s="10">
        <v>5.1909999847000003E-2</v>
      </c>
      <c r="D685" s="11">
        <v>1300.75</v>
      </c>
      <c r="E685" s="11">
        <v>0.93218356057980511</v>
      </c>
      <c r="L685" s="9">
        <v>36249</v>
      </c>
      <c r="M685" s="14">
        <f t="shared" si="33"/>
        <v>-1.2930184839179848E-2</v>
      </c>
      <c r="N685" s="14">
        <f t="shared" si="34"/>
        <v>-7.1899066533350764E-3</v>
      </c>
      <c r="O685" s="14">
        <f t="shared" si="35"/>
        <v>-4.661691515254196E-4</v>
      </c>
      <c r="P685" s="14">
        <f t="array" ref="P685">MMULT(M685:O685,$I$9:$I$11)</f>
        <v>-2.2812965061308828E-3</v>
      </c>
    </row>
    <row r="686" spans="2:16" x14ac:dyDescent="0.25">
      <c r="B686" s="9">
        <v>36250</v>
      </c>
      <c r="C686" s="10">
        <v>5.2420001029999996E-2</v>
      </c>
      <c r="D686" s="11">
        <v>1286.3699999999999</v>
      </c>
      <c r="E686" s="11">
        <v>0.92626890640613713</v>
      </c>
      <c r="L686" s="9">
        <v>36250</v>
      </c>
      <c r="M686" s="14">
        <f t="shared" si="33"/>
        <v>9.8247194086529266E-3</v>
      </c>
      <c r="N686" s="14">
        <f t="shared" si="34"/>
        <v>-1.105516048433608E-2</v>
      </c>
      <c r="O686" s="14">
        <f t="shared" si="35"/>
        <v>-6.3449458065846231E-3</v>
      </c>
      <c r="P686" s="14">
        <f t="array" ref="P686">MMULT(M686:O686,$I$9:$I$11)</f>
        <v>-7.6165063791604759E-3</v>
      </c>
    </row>
    <row r="687" spans="2:16" x14ac:dyDescent="0.25">
      <c r="B687" s="9">
        <v>36251</v>
      </c>
      <c r="C687" s="10">
        <v>5.2760000229000001E-2</v>
      </c>
      <c r="D687" s="11">
        <v>1293.72</v>
      </c>
      <c r="E687" s="11">
        <v>0.92494098804119673</v>
      </c>
      <c r="L687" s="9">
        <v>36251</v>
      </c>
      <c r="M687" s="14">
        <f t="shared" si="33"/>
        <v>6.4860586096788797E-3</v>
      </c>
      <c r="N687" s="14">
        <f t="shared" si="34"/>
        <v>5.7137526528139304E-3</v>
      </c>
      <c r="O687" s="14">
        <f t="shared" si="35"/>
        <v>-1.4336207938714374E-3</v>
      </c>
      <c r="P687" s="14">
        <f t="array" ref="P687">MMULT(M687:O687,$I$9:$I$11)</f>
        <v>4.958705125883442E-4</v>
      </c>
    </row>
    <row r="688" spans="2:16" x14ac:dyDescent="0.25">
      <c r="B688" s="9">
        <v>36252</v>
      </c>
      <c r="C688" s="10">
        <v>5.1909999847000003E-2</v>
      </c>
      <c r="D688" s="11">
        <v>1293.72</v>
      </c>
      <c r="E688" s="11">
        <v>0.92699882896307462</v>
      </c>
      <c r="L688" s="9">
        <v>36252</v>
      </c>
      <c r="M688" s="14">
        <f t="shared" si="33"/>
        <v>-1.6110697087009962E-2</v>
      </c>
      <c r="N688" s="14">
        <f t="shared" si="34"/>
        <v>0</v>
      </c>
      <c r="O688" s="14">
        <f t="shared" si="35"/>
        <v>2.2248348256637129E-3</v>
      </c>
      <c r="P688" s="14">
        <f t="array" ref="P688">MMULT(M688:O688,$I$9:$I$11)</f>
        <v>1.6242226586280159E-3</v>
      </c>
    </row>
    <row r="689" spans="2:16" x14ac:dyDescent="0.25">
      <c r="B689" s="9">
        <v>36255</v>
      </c>
      <c r="C689" s="10">
        <v>5.1869997978000001E-2</v>
      </c>
      <c r="D689" s="11">
        <v>1321.12</v>
      </c>
      <c r="E689" s="11">
        <v>0.93266176472072415</v>
      </c>
      <c r="L689" s="9">
        <v>36255</v>
      </c>
      <c r="M689" s="14">
        <f t="shared" si="33"/>
        <v>-7.7060044534582595E-4</v>
      </c>
      <c r="N689" s="14">
        <f t="shared" si="34"/>
        <v>2.117923507404984E-2</v>
      </c>
      <c r="O689" s="14">
        <f t="shared" si="35"/>
        <v>6.1088920295444549E-3</v>
      </c>
      <c r="P689" s="14">
        <f t="array" ref="P689">MMULT(M689:O689,$I$9:$I$11)</f>
        <v>1.0177253100452944E-2</v>
      </c>
    </row>
    <row r="690" spans="2:16" x14ac:dyDescent="0.25">
      <c r="B690" s="9">
        <v>36256</v>
      </c>
      <c r="C690" s="10">
        <v>5.1240000725000005E-2</v>
      </c>
      <c r="D690" s="11">
        <v>1317.89</v>
      </c>
      <c r="E690" s="11">
        <v>0.92923854043552778</v>
      </c>
      <c r="L690" s="9">
        <v>36256</v>
      </c>
      <c r="M690" s="14">
        <f t="shared" si="33"/>
        <v>-1.214569650199715E-2</v>
      </c>
      <c r="N690" s="14">
        <f t="shared" si="34"/>
        <v>-2.4448952404019231E-3</v>
      </c>
      <c r="O690" s="14">
        <f t="shared" si="35"/>
        <v>-3.670381283638724E-3</v>
      </c>
      <c r="P690" s="14">
        <f t="array" ref="P690">MMULT(M690:O690,$I$9:$I$11)</f>
        <v>-3.339551408265445E-3</v>
      </c>
    </row>
    <row r="691" spans="2:16" x14ac:dyDescent="0.25">
      <c r="B691" s="9">
        <v>36257</v>
      </c>
      <c r="C691" s="10">
        <v>5.1240000725000005E-2</v>
      </c>
      <c r="D691" s="11">
        <v>1326.89</v>
      </c>
      <c r="E691" s="11">
        <v>0.92626900867665962</v>
      </c>
      <c r="L691" s="9">
        <v>36257</v>
      </c>
      <c r="M691" s="14">
        <f t="shared" si="33"/>
        <v>0</v>
      </c>
      <c r="N691" s="14">
        <f t="shared" si="34"/>
        <v>6.8290980279082092E-3</v>
      </c>
      <c r="O691" s="14">
        <f t="shared" si="35"/>
        <v>-3.1956614256187788E-3</v>
      </c>
      <c r="P691" s="14">
        <f t="array" ref="P691">MMULT(M691:O691,$I$9:$I$11)</f>
        <v>-4.8939647959149305E-4</v>
      </c>
    </row>
    <row r="692" spans="2:16" x14ac:dyDescent="0.25">
      <c r="B692" s="9">
        <v>36258</v>
      </c>
      <c r="C692" s="10">
        <v>5.0399999619000005E-2</v>
      </c>
      <c r="D692" s="11">
        <v>1343.98</v>
      </c>
      <c r="E692" s="11">
        <v>0.92302011238183201</v>
      </c>
      <c r="L692" s="9">
        <v>36258</v>
      </c>
      <c r="M692" s="14">
        <f t="shared" si="33"/>
        <v>-1.639346397569752E-2</v>
      </c>
      <c r="N692" s="14">
        <f t="shared" si="34"/>
        <v>1.2879741350074081E-2</v>
      </c>
      <c r="O692" s="14">
        <f t="shared" si="35"/>
        <v>-3.5075083635468518E-3</v>
      </c>
      <c r="P692" s="14">
        <f t="array" ref="P692">MMULT(M692:O692,$I$9:$I$11)</f>
        <v>9.1636232056867273E-4</v>
      </c>
    </row>
    <row r="693" spans="2:16" x14ac:dyDescent="0.25">
      <c r="B693" s="9">
        <v>36259</v>
      </c>
      <c r="C693" s="10">
        <v>5.0570001602000002E-2</v>
      </c>
      <c r="D693" s="11">
        <v>1348.35</v>
      </c>
      <c r="E693" s="11">
        <v>0.92794510784513562</v>
      </c>
      <c r="L693" s="9">
        <v>36259</v>
      </c>
      <c r="M693" s="14">
        <f t="shared" si="33"/>
        <v>3.3730552437525319E-3</v>
      </c>
      <c r="N693" s="14">
        <f t="shared" si="34"/>
        <v>3.2515364811975811E-3</v>
      </c>
      <c r="O693" s="14">
        <f t="shared" si="35"/>
        <v>5.3357401396105786E-3</v>
      </c>
      <c r="P693" s="14">
        <f t="array" ref="P693">MMULT(M693:O693,$I$9:$I$11)</f>
        <v>4.7730924943186542E-3</v>
      </c>
    </row>
    <row r="694" spans="2:16" x14ac:dyDescent="0.25">
      <c r="B694" s="9">
        <v>36262</v>
      </c>
      <c r="C694" s="10">
        <v>5.0529999733000007E-2</v>
      </c>
      <c r="D694" s="11">
        <v>1358.64</v>
      </c>
      <c r="E694" s="11">
        <v>0.92191390310150401</v>
      </c>
      <c r="L694" s="9">
        <v>36262</v>
      </c>
      <c r="M694" s="14">
        <f t="shared" si="33"/>
        <v>-7.9101972973660839E-4</v>
      </c>
      <c r="N694" s="14">
        <f t="shared" si="34"/>
        <v>7.631549671821336E-3</v>
      </c>
      <c r="O694" s="14">
        <f t="shared" si="35"/>
        <v>-6.4995274964455563E-3</v>
      </c>
      <c r="P694" s="14">
        <f t="array" ref="P694">MMULT(M694:O694,$I$9:$I$11)</f>
        <v>-2.6847288504159537E-3</v>
      </c>
    </row>
    <row r="695" spans="2:16" x14ac:dyDescent="0.25">
      <c r="B695" s="9">
        <v>36263</v>
      </c>
      <c r="C695" s="10">
        <v>5.1030001640000003E-2</v>
      </c>
      <c r="D695" s="11">
        <v>1349.82</v>
      </c>
      <c r="E695" s="11">
        <v>0.92674105981733745</v>
      </c>
      <c r="L695" s="9">
        <v>36263</v>
      </c>
      <c r="M695" s="14">
        <f t="shared" si="33"/>
        <v>9.8951496070056599E-3</v>
      </c>
      <c r="N695" s="14">
        <f t="shared" si="34"/>
        <v>-6.4917859035507064E-3</v>
      </c>
      <c r="O695" s="14">
        <f t="shared" si="35"/>
        <v>5.2360168336695878E-3</v>
      </c>
      <c r="P695" s="14">
        <f t="array" ref="P695">MMULT(M695:O695,$I$9:$I$11)</f>
        <v>2.0700015702813344E-3</v>
      </c>
    </row>
    <row r="696" spans="2:16" x14ac:dyDescent="0.25">
      <c r="B696" s="9">
        <v>36264</v>
      </c>
      <c r="C696" s="10">
        <v>5.1329998970000006E-2</v>
      </c>
      <c r="D696" s="11">
        <v>1328.44</v>
      </c>
      <c r="E696" s="11">
        <v>0.92498382390601219</v>
      </c>
      <c r="L696" s="9">
        <v>36264</v>
      </c>
      <c r="M696" s="14">
        <f t="shared" si="33"/>
        <v>5.8788422566862231E-3</v>
      </c>
      <c r="N696" s="14">
        <f t="shared" si="34"/>
        <v>-1.5839148923560087E-2</v>
      </c>
      <c r="O696" s="14">
        <f t="shared" si="35"/>
        <v>-1.8961455227543E-3</v>
      </c>
      <c r="P696" s="14">
        <f t="array" ref="P696">MMULT(M696:O696,$I$9:$I$11)</f>
        <v>-5.6601721331548376E-3</v>
      </c>
    </row>
    <row r="697" spans="2:16" x14ac:dyDescent="0.25">
      <c r="B697" s="9">
        <v>36265</v>
      </c>
      <c r="C697" s="10">
        <v>5.1669998168999996E-2</v>
      </c>
      <c r="D697" s="11">
        <v>1322.86</v>
      </c>
      <c r="E697" s="11">
        <v>0.93218366424748311</v>
      </c>
      <c r="L697" s="9">
        <v>36265</v>
      </c>
      <c r="M697" s="14">
        <f t="shared" si="33"/>
        <v>6.6237912687023837E-3</v>
      </c>
      <c r="N697" s="14">
        <f t="shared" si="34"/>
        <v>-4.2004155249767416E-3</v>
      </c>
      <c r="O697" s="14">
        <f t="shared" si="35"/>
        <v>7.7837472995663237E-3</v>
      </c>
      <c r="P697" s="14">
        <f t="array" ref="P697">MMULT(M697:O697,$I$9:$I$11)</f>
        <v>4.5485255558531954E-3</v>
      </c>
    </row>
    <row r="698" spans="2:16" x14ac:dyDescent="0.25">
      <c r="B698" s="9">
        <v>36266</v>
      </c>
      <c r="C698" s="10">
        <v>5.2189998626999995E-2</v>
      </c>
      <c r="D698" s="11">
        <v>1319</v>
      </c>
      <c r="E698" s="11">
        <v>0.93409932538123974</v>
      </c>
      <c r="L698" s="9">
        <v>36266</v>
      </c>
      <c r="M698" s="14">
        <f t="shared" si="33"/>
        <v>1.0063876067872179E-2</v>
      </c>
      <c r="N698" s="14">
        <f t="shared" si="34"/>
        <v>-2.9179202636711032E-3</v>
      </c>
      <c r="O698" s="14">
        <f t="shared" si="35"/>
        <v>2.0550254281737068E-3</v>
      </c>
      <c r="P698" s="14">
        <f t="array" ref="P698">MMULT(M698:O698,$I$9:$I$11)</f>
        <v>7.125384920306072E-4</v>
      </c>
    </row>
    <row r="699" spans="2:16" x14ac:dyDescent="0.25">
      <c r="B699" s="9">
        <v>36269</v>
      </c>
      <c r="C699" s="10">
        <v>5.1420001983999999E-2</v>
      </c>
      <c r="D699" s="11">
        <v>1289.48</v>
      </c>
      <c r="E699" s="11">
        <v>0.94224061337034193</v>
      </c>
      <c r="L699" s="9">
        <v>36269</v>
      </c>
      <c r="M699" s="14">
        <f t="shared" si="33"/>
        <v>-1.4753720315325847E-2</v>
      </c>
      <c r="N699" s="14">
        <f t="shared" si="34"/>
        <v>-2.2380591357088697E-2</v>
      </c>
      <c r="O699" s="14">
        <f t="shared" si="35"/>
        <v>8.7156555709742012E-3</v>
      </c>
      <c r="P699" s="14">
        <f t="array" ref="P699">MMULT(M699:O699,$I$9:$I$11)</f>
        <v>3.2097204718976348E-4</v>
      </c>
    </row>
    <row r="700" spans="2:16" x14ac:dyDescent="0.25">
      <c r="B700" s="9">
        <v>36270</v>
      </c>
      <c r="C700" s="10">
        <v>5.1380000113999999E-2</v>
      </c>
      <c r="D700" s="11">
        <v>1306.17</v>
      </c>
      <c r="E700" s="11">
        <v>0.93839441923333511</v>
      </c>
      <c r="L700" s="9">
        <v>36270</v>
      </c>
      <c r="M700" s="14">
        <f t="shared" si="33"/>
        <v>-7.7794376617190686E-4</v>
      </c>
      <c r="N700" s="14">
        <f t="shared" si="34"/>
        <v>1.2943201910847746E-2</v>
      </c>
      <c r="O700" s="14">
        <f t="shared" si="35"/>
        <v>-4.0819659887607607E-3</v>
      </c>
      <c r="P700" s="14">
        <f t="array" ref="P700">MMULT(M700:O700,$I$9:$I$11)</f>
        <v>5.1411587240840365E-4</v>
      </c>
    </row>
    <row r="701" spans="2:16" x14ac:dyDescent="0.25">
      <c r="B701" s="9">
        <v>36271</v>
      </c>
      <c r="C701" s="10">
        <v>5.1760001183000004E-2</v>
      </c>
      <c r="D701" s="11">
        <v>1336.12</v>
      </c>
      <c r="E701" s="11">
        <v>0.94272919428259072</v>
      </c>
      <c r="L701" s="9">
        <v>36271</v>
      </c>
      <c r="M701" s="14">
        <f t="shared" si="33"/>
        <v>7.3958946702388229E-3</v>
      </c>
      <c r="N701" s="14">
        <f t="shared" si="34"/>
        <v>2.2929633968013174E-2</v>
      </c>
      <c r="O701" s="14">
        <f t="shared" si="35"/>
        <v>4.6193529718527859E-3</v>
      </c>
      <c r="P701" s="14">
        <f t="array" ref="P701">MMULT(M701:O701,$I$9:$I$11)</f>
        <v>9.5623615140063341E-3</v>
      </c>
    </row>
    <row r="702" spans="2:16" x14ac:dyDescent="0.25">
      <c r="B702" s="9">
        <v>36272</v>
      </c>
      <c r="C702" s="10">
        <v>5.2490000725000006E-2</v>
      </c>
      <c r="D702" s="11">
        <v>1358.82</v>
      </c>
      <c r="E702" s="11">
        <v>0.94370787766199093</v>
      </c>
      <c r="L702" s="9">
        <v>36272</v>
      </c>
      <c r="M702" s="14">
        <f t="shared" si="33"/>
        <v>1.4103545697749409E-2</v>
      </c>
      <c r="N702" s="14">
        <f t="shared" si="34"/>
        <v>1.6989491961799885E-2</v>
      </c>
      <c r="O702" s="14">
        <f t="shared" si="35"/>
        <v>1.0381384021367346E-3</v>
      </c>
      <c r="P702" s="14">
        <f t="array" ref="P702">MMULT(M702:O702,$I$9:$I$11)</f>
        <v>5.344335391732933E-3</v>
      </c>
    </row>
    <row r="703" spans="2:16" x14ac:dyDescent="0.25">
      <c r="B703" s="9">
        <v>36273</v>
      </c>
      <c r="C703" s="10">
        <v>5.2499999999999998E-2</v>
      </c>
      <c r="D703" s="11">
        <v>1356.85</v>
      </c>
      <c r="E703" s="11">
        <v>0.93940809033850969</v>
      </c>
      <c r="L703" s="9">
        <v>36273</v>
      </c>
      <c r="M703" s="14">
        <f t="shared" si="33"/>
        <v>1.904986637812911E-4</v>
      </c>
      <c r="N703" s="14">
        <f t="shared" si="34"/>
        <v>-1.4497873154648566E-3</v>
      </c>
      <c r="O703" s="14">
        <f t="shared" si="35"/>
        <v>-4.5562693978287161E-3</v>
      </c>
      <c r="P703" s="14">
        <f t="array" ref="P703">MMULT(M703:O703,$I$9:$I$11)</f>
        <v>-3.717649418572719E-3</v>
      </c>
    </row>
    <row r="704" spans="2:16" x14ac:dyDescent="0.25">
      <c r="B704" s="9">
        <v>36276</v>
      </c>
      <c r="C704" s="10">
        <v>5.2199997902E-2</v>
      </c>
      <c r="D704" s="11">
        <v>1360.04</v>
      </c>
      <c r="E704" s="11">
        <v>0.94317374071650351</v>
      </c>
      <c r="L704" s="9">
        <v>36276</v>
      </c>
      <c r="M704" s="14">
        <f t="shared" si="33"/>
        <v>-5.7143256761904571E-3</v>
      </c>
      <c r="N704" s="14">
        <f t="shared" si="34"/>
        <v>2.3510336441021629E-3</v>
      </c>
      <c r="O704" s="14">
        <f t="shared" si="35"/>
        <v>4.0085351794627577E-3</v>
      </c>
      <c r="P704" s="14">
        <f t="array" ref="P704">MMULT(M704:O704,$I$9:$I$11)</f>
        <v>3.5610792256388869E-3</v>
      </c>
    </row>
    <row r="705" spans="2:16" x14ac:dyDescent="0.25">
      <c r="B705" s="9">
        <v>36277</v>
      </c>
      <c r="C705" s="10">
        <v>5.1999998093000002E-2</v>
      </c>
      <c r="D705" s="11">
        <v>1362.8</v>
      </c>
      <c r="E705" s="11">
        <v>0.93905537966922048</v>
      </c>
      <c r="L705" s="9">
        <v>36277</v>
      </c>
      <c r="M705" s="14">
        <f t="shared" si="33"/>
        <v>-3.8314141195077145E-3</v>
      </c>
      <c r="N705" s="14">
        <f t="shared" si="34"/>
        <v>2.02935207788002E-3</v>
      </c>
      <c r="O705" s="14">
        <f t="shared" si="35"/>
        <v>-4.3664924811779304E-3</v>
      </c>
      <c r="P705" s="14">
        <f t="array" ref="P705">MMULT(M705:O705,$I$9:$I$11)</f>
        <v>-2.6398824801441259E-3</v>
      </c>
    </row>
    <row r="706" spans="2:16" x14ac:dyDescent="0.25">
      <c r="B706" s="9">
        <v>36278</v>
      </c>
      <c r="C706" s="10">
        <v>5.2630000114E-2</v>
      </c>
      <c r="D706" s="11">
        <v>1350.91</v>
      </c>
      <c r="E706" s="11">
        <v>0.94046834129942392</v>
      </c>
      <c r="L706" s="9">
        <v>36278</v>
      </c>
      <c r="M706" s="14">
        <f t="shared" si="33"/>
        <v>1.2115423925079138E-2</v>
      </c>
      <c r="N706" s="14">
        <f t="shared" si="34"/>
        <v>-8.7246844731434514E-3</v>
      </c>
      <c r="O706" s="14">
        <f t="shared" si="35"/>
        <v>1.5046627289447834E-3</v>
      </c>
      <c r="P706" s="14">
        <f t="array" ref="P706">MMULT(M706:O706,$I$9:$I$11)</f>
        <v>-1.2568323355591259E-3</v>
      </c>
    </row>
    <row r="707" spans="2:16" x14ac:dyDescent="0.25">
      <c r="B707" s="9">
        <v>36279</v>
      </c>
      <c r="C707" s="10">
        <v>5.2160000801E-2</v>
      </c>
      <c r="D707" s="11">
        <v>1342.83</v>
      </c>
      <c r="E707" s="11">
        <v>0.94419798179860592</v>
      </c>
      <c r="L707" s="9">
        <v>36279</v>
      </c>
      <c r="M707" s="14">
        <f t="shared" si="33"/>
        <v>-8.9302548353020761E-3</v>
      </c>
      <c r="N707" s="14">
        <f t="shared" si="34"/>
        <v>-5.9811534447151704E-3</v>
      </c>
      <c r="O707" s="14">
        <f t="shared" si="35"/>
        <v>3.9657267931303419E-3</v>
      </c>
      <c r="P707" s="14">
        <f t="array" ref="P707">MMULT(M707:O707,$I$9:$I$11)</f>
        <v>1.2804859716618476E-3</v>
      </c>
    </row>
    <row r="708" spans="2:16" x14ac:dyDescent="0.25">
      <c r="B708" s="9">
        <v>36280</v>
      </c>
      <c r="C708" s="10">
        <v>5.3499999045999995E-2</v>
      </c>
      <c r="D708" s="11">
        <v>1335.18</v>
      </c>
      <c r="E708" s="11">
        <v>0.94522423676408152</v>
      </c>
      <c r="L708" s="9">
        <v>36280</v>
      </c>
      <c r="M708" s="14">
        <f t="shared" si="33"/>
        <v>2.5690150008093937E-2</v>
      </c>
      <c r="N708" s="14">
        <f t="shared" si="34"/>
        <v>-5.6969236612228746E-3</v>
      </c>
      <c r="O708" s="14">
        <f t="shared" si="35"/>
        <v>1.0869065442404846E-3</v>
      </c>
      <c r="P708" s="14">
        <f t="array" ref="P708">MMULT(M708:O708,$I$9:$I$11)</f>
        <v>-7.4444332205355604E-4</v>
      </c>
    </row>
    <row r="709" spans="2:16" x14ac:dyDescent="0.25">
      <c r="B709" s="9">
        <v>36283</v>
      </c>
      <c r="C709" s="10">
        <v>5.3600001335000001E-2</v>
      </c>
      <c r="D709" s="11">
        <v>1354.63</v>
      </c>
      <c r="E709" s="11">
        <v>0.94629755767571733</v>
      </c>
      <c r="L709" s="9">
        <v>36283</v>
      </c>
      <c r="M709" s="14">
        <f t="shared" si="33"/>
        <v>1.8692016968826497E-3</v>
      </c>
      <c r="N709" s="14">
        <f t="shared" si="34"/>
        <v>1.4567324255905678E-2</v>
      </c>
      <c r="O709" s="14">
        <f t="shared" si="35"/>
        <v>1.1355198797169397E-3</v>
      </c>
      <c r="P709" s="14">
        <f t="array" ref="P709">MMULT(M709:O709,$I$9:$I$11)</f>
        <v>4.7615441762287663E-3</v>
      </c>
    </row>
    <row r="710" spans="2:16" x14ac:dyDescent="0.25">
      <c r="B710" s="9">
        <v>36284</v>
      </c>
      <c r="C710" s="10">
        <v>5.4070000648000001E-2</v>
      </c>
      <c r="D710" s="11">
        <v>1332</v>
      </c>
      <c r="E710" s="11">
        <v>0.94264031407654647</v>
      </c>
      <c r="L710" s="9">
        <v>36284</v>
      </c>
      <c r="M710" s="14">
        <f t="shared" si="33"/>
        <v>8.7686436808556145E-3</v>
      </c>
      <c r="N710" s="14">
        <f t="shared" si="34"/>
        <v>-1.6705668706584187E-2</v>
      </c>
      <c r="O710" s="14">
        <f t="shared" si="35"/>
        <v>-3.86479238956694E-3</v>
      </c>
      <c r="P710" s="14">
        <f t="array" ref="P710">MMULT(M710:O710,$I$9:$I$11)</f>
        <v>-7.3312908740557061E-3</v>
      </c>
    </row>
    <row r="711" spans="2:16" x14ac:dyDescent="0.25">
      <c r="B711" s="9">
        <v>36285</v>
      </c>
      <c r="C711" s="10">
        <v>5.396999836E-2</v>
      </c>
      <c r="D711" s="11">
        <v>1347.31</v>
      </c>
      <c r="E711" s="11">
        <v>0.93646111897710815</v>
      </c>
      <c r="L711" s="9">
        <v>36285</v>
      </c>
      <c r="M711" s="14">
        <f t="shared" si="33"/>
        <v>-1.8494967043004573E-3</v>
      </c>
      <c r="N711" s="14">
        <f t="shared" si="34"/>
        <v>1.1493993993993978E-2</v>
      </c>
      <c r="O711" s="14">
        <f t="shared" si="35"/>
        <v>-6.5551992707756357E-3</v>
      </c>
      <c r="P711" s="14">
        <f t="array" ref="P711">MMULT(M711:O711,$I$9:$I$11)</f>
        <v>-1.6826734747244949E-3</v>
      </c>
    </row>
    <row r="712" spans="2:16" x14ac:dyDescent="0.25">
      <c r="B712" s="9">
        <v>36286</v>
      </c>
      <c r="C712" s="10">
        <v>5.5040001869000002E-2</v>
      </c>
      <c r="D712" s="11">
        <v>1332.05</v>
      </c>
      <c r="E712" s="11">
        <v>0.9277728947987306</v>
      </c>
      <c r="L712" s="9">
        <v>36286</v>
      </c>
      <c r="M712" s="14">
        <f t="shared" si="33"/>
        <v>1.9825894784407438E-2</v>
      </c>
      <c r="N712" s="14">
        <f t="shared" si="34"/>
        <v>-1.1326272350090205E-2</v>
      </c>
      <c r="O712" s="14">
        <f t="shared" si="35"/>
        <v>-9.2777201341446291E-3</v>
      </c>
      <c r="P712" s="14">
        <f t="array" ref="P712">MMULT(M712:O712,$I$9:$I$11)</f>
        <v>-9.8307433840111903E-3</v>
      </c>
    </row>
    <row r="713" spans="2:16" x14ac:dyDescent="0.25">
      <c r="B713" s="9">
        <v>36287</v>
      </c>
      <c r="C713" s="10">
        <v>5.5399999619000002E-2</v>
      </c>
      <c r="D713" s="11">
        <v>1345</v>
      </c>
      <c r="E713" s="11">
        <v>0.92695590869240696</v>
      </c>
      <c r="L713" s="9">
        <v>36287</v>
      </c>
      <c r="M713" s="14">
        <f t="shared" ref="M713:M776" si="36">C713/C712-1</f>
        <v>6.5406565729562161E-3</v>
      </c>
      <c r="N713" s="14">
        <f t="shared" ref="N713:N776" si="37">D713/D712-1</f>
        <v>9.7218572876394127E-3</v>
      </c>
      <c r="O713" s="14">
        <f t="shared" ref="O713:O776" si="38">E713/E712-1</f>
        <v>-8.805884617925086E-4</v>
      </c>
      <c r="P713" s="14">
        <f t="array" ref="P713">MMULT(M713:O713,$I$9:$I$11)</f>
        <v>1.9816275750968956E-3</v>
      </c>
    </row>
    <row r="714" spans="2:16" x14ac:dyDescent="0.25">
      <c r="B714" s="9">
        <v>36290</v>
      </c>
      <c r="C714" s="10">
        <v>5.5359997748999995E-2</v>
      </c>
      <c r="D714" s="11">
        <v>1340.3</v>
      </c>
      <c r="E714" s="11">
        <v>0.9256687162737296</v>
      </c>
      <c r="L714" s="9">
        <v>36290</v>
      </c>
      <c r="M714" s="14">
        <f t="shared" si="36"/>
        <v>-7.2205542012837576E-4</v>
      </c>
      <c r="N714" s="14">
        <f t="shared" si="37"/>
        <v>-3.4944237918216325E-3</v>
      </c>
      <c r="O714" s="14">
        <f t="shared" si="38"/>
        <v>-1.3886231336430743E-3</v>
      </c>
      <c r="P714" s="14">
        <f t="array" ref="P714">MMULT(M714:O714,$I$9:$I$11)</f>
        <v>-1.9571010638087505E-3</v>
      </c>
    </row>
    <row r="715" spans="2:16" x14ac:dyDescent="0.25">
      <c r="B715" s="9">
        <v>36291</v>
      </c>
      <c r="C715" s="10">
        <v>5.5799999236999999E-2</v>
      </c>
      <c r="D715" s="11">
        <v>1355.61</v>
      </c>
      <c r="E715" s="11">
        <v>0.93231399718494379</v>
      </c>
      <c r="L715" s="9">
        <v>36291</v>
      </c>
      <c r="M715" s="14">
        <f t="shared" si="36"/>
        <v>7.948004080400306E-3</v>
      </c>
      <c r="N715" s="14">
        <f t="shared" si="37"/>
        <v>1.1422815787510254E-2</v>
      </c>
      <c r="O715" s="14">
        <f t="shared" si="38"/>
        <v>7.1788975844022662E-3</v>
      </c>
      <c r="P715" s="14">
        <f t="array" ref="P715">MMULT(M715:O715,$I$9:$I$11)</f>
        <v>8.3245776498563524E-3</v>
      </c>
    </row>
    <row r="716" spans="2:16" x14ac:dyDescent="0.25">
      <c r="B716" s="9">
        <v>36292</v>
      </c>
      <c r="C716" s="10">
        <v>5.5669999122999997E-2</v>
      </c>
      <c r="D716" s="11">
        <v>1364</v>
      </c>
      <c r="E716" s="11">
        <v>0.93689977232088517</v>
      </c>
      <c r="L716" s="9">
        <v>36292</v>
      </c>
      <c r="M716" s="14">
        <f t="shared" si="36"/>
        <v>-2.3297511788100689E-3</v>
      </c>
      <c r="N716" s="14">
        <f t="shared" si="37"/>
        <v>6.1890956838619449E-3</v>
      </c>
      <c r="O716" s="14">
        <f t="shared" si="38"/>
        <v>4.9187024433696713E-3</v>
      </c>
      <c r="P716" s="14">
        <f t="array" ref="P716">MMULT(M716:O716,$I$9:$I$11)</f>
        <v>5.2616553800812508E-3</v>
      </c>
    </row>
    <row r="717" spans="2:16" x14ac:dyDescent="0.25">
      <c r="B717" s="9">
        <v>36293</v>
      </c>
      <c r="C717" s="10">
        <v>5.4099998474000002E-2</v>
      </c>
      <c r="D717" s="11">
        <v>1367.56</v>
      </c>
      <c r="E717" s="11">
        <v>0.94095508542111228</v>
      </c>
      <c r="L717" s="9">
        <v>36293</v>
      </c>
      <c r="M717" s="14">
        <f t="shared" si="36"/>
        <v>-2.8201916179864783E-2</v>
      </c>
      <c r="N717" s="14">
        <f t="shared" si="37"/>
        <v>2.6099706744868723E-3</v>
      </c>
      <c r="O717" s="14">
        <f t="shared" si="38"/>
        <v>4.328438558781178E-3</v>
      </c>
      <c r="P717" s="14">
        <f t="array" ref="P717">MMULT(M717:O717,$I$9:$I$11)</f>
        <v>3.8645242456548782E-3</v>
      </c>
    </row>
    <row r="718" spans="2:16" x14ac:dyDescent="0.25">
      <c r="B718" s="9">
        <v>36294</v>
      </c>
      <c r="C718" s="10">
        <v>5.6279997825999996E-2</v>
      </c>
      <c r="D718" s="11">
        <v>1337.8</v>
      </c>
      <c r="E718" s="11">
        <v>0.93457949759804704</v>
      </c>
      <c r="L718" s="9">
        <v>36294</v>
      </c>
      <c r="M718" s="14">
        <f t="shared" si="36"/>
        <v>4.0295737772482187E-2</v>
      </c>
      <c r="N718" s="14">
        <f t="shared" si="37"/>
        <v>-2.1761385240866904E-2</v>
      </c>
      <c r="O718" s="14">
        <f t="shared" si="38"/>
        <v>-6.7756558435644321E-3</v>
      </c>
      <c r="P718" s="14">
        <f t="array" ref="P718">MMULT(M718:O718,$I$9:$I$11)</f>
        <v>-1.0821174775622376E-2</v>
      </c>
    </row>
    <row r="719" spans="2:16" x14ac:dyDescent="0.25">
      <c r="B719" s="9">
        <v>36297</v>
      </c>
      <c r="C719" s="10">
        <v>5.6299996376E-2</v>
      </c>
      <c r="D719" s="11">
        <v>1339.49</v>
      </c>
      <c r="E719" s="11">
        <v>0.93676815409506997</v>
      </c>
      <c r="L719" s="9">
        <v>36297</v>
      </c>
      <c r="M719" s="14">
        <f t="shared" si="36"/>
        <v>3.5534027669714696E-4</v>
      </c>
      <c r="N719" s="14">
        <f t="shared" si="37"/>
        <v>1.2632680520257011E-3</v>
      </c>
      <c r="O719" s="14">
        <f t="shared" si="38"/>
        <v>2.3418623056121746E-3</v>
      </c>
      <c r="P719" s="14">
        <f t="array" ref="P719">MMULT(M719:O719,$I$9:$I$11)</f>
        <v>2.0506870576673907E-3</v>
      </c>
    </row>
    <row r="720" spans="2:16" x14ac:dyDescent="0.25">
      <c r="B720" s="9">
        <v>36298</v>
      </c>
      <c r="C720" s="10">
        <v>5.6609997748999996E-2</v>
      </c>
      <c r="D720" s="11">
        <v>1333.32</v>
      </c>
      <c r="E720" s="11">
        <v>0.93769046855224158</v>
      </c>
      <c r="L720" s="9">
        <v>36298</v>
      </c>
      <c r="M720" s="14">
        <f t="shared" si="36"/>
        <v>5.5062414379150049E-3</v>
      </c>
      <c r="N720" s="14">
        <f t="shared" si="37"/>
        <v>-4.6062307296060867E-3</v>
      </c>
      <c r="O720" s="14">
        <f t="shared" si="38"/>
        <v>9.8457067860358016E-4</v>
      </c>
      <c r="P720" s="14">
        <f t="array" ref="P720">MMULT(M720:O720,$I$9:$I$11)</f>
        <v>-5.2471140855059968E-4</v>
      </c>
    </row>
    <row r="721" spans="2:16" x14ac:dyDescent="0.25">
      <c r="B721" s="9">
        <v>36299</v>
      </c>
      <c r="C721" s="10">
        <v>5.5949997902000004E-2</v>
      </c>
      <c r="D721" s="11">
        <v>1344.23</v>
      </c>
      <c r="E721" s="11">
        <v>0.93830635447235433</v>
      </c>
      <c r="L721" s="9">
        <v>36299</v>
      </c>
      <c r="M721" s="14">
        <f t="shared" si="36"/>
        <v>-1.1658715301956502E-2</v>
      </c>
      <c r="N721" s="14">
        <f t="shared" si="37"/>
        <v>8.1825818258183247E-3</v>
      </c>
      <c r="O721" s="14">
        <f t="shared" si="38"/>
        <v>6.5681153938101922E-4</v>
      </c>
      <c r="P721" s="14">
        <f t="array" ref="P721">MMULT(M721:O721,$I$9:$I$11)</f>
        <v>2.6884541351416017E-3</v>
      </c>
    </row>
    <row r="722" spans="2:16" x14ac:dyDescent="0.25">
      <c r="B722" s="9">
        <v>36300</v>
      </c>
      <c r="C722" s="10">
        <v>5.5949997902000004E-2</v>
      </c>
      <c r="D722" s="11">
        <v>1338.83</v>
      </c>
      <c r="E722" s="11">
        <v>0.94117647058823528</v>
      </c>
      <c r="L722" s="9">
        <v>36300</v>
      </c>
      <c r="M722" s="14">
        <f t="shared" si="36"/>
        <v>0</v>
      </c>
      <c r="N722" s="14">
        <f t="shared" si="37"/>
        <v>-4.0171696807839163E-3</v>
      </c>
      <c r="O722" s="14">
        <f t="shared" si="38"/>
        <v>3.0588262588233661E-3</v>
      </c>
      <c r="P722" s="14">
        <f t="array" ref="P722">MMULT(M722:O722,$I$9:$I$11)</f>
        <v>1.1486038880658049E-3</v>
      </c>
    </row>
    <row r="723" spans="2:16" x14ac:dyDescent="0.25">
      <c r="B723" s="9">
        <v>36301</v>
      </c>
      <c r="C723" s="10">
        <v>5.5120000839000004E-2</v>
      </c>
      <c r="D723" s="11">
        <v>1330.29</v>
      </c>
      <c r="E723" s="11">
        <v>0.94737342589679996</v>
      </c>
      <c r="L723" s="9">
        <v>36301</v>
      </c>
      <c r="M723" s="14">
        <f t="shared" si="36"/>
        <v>-1.4834621878874632E-2</v>
      </c>
      <c r="N723" s="14">
        <f t="shared" si="37"/>
        <v>-6.3787037936108293E-3</v>
      </c>
      <c r="O723" s="14">
        <f t="shared" si="38"/>
        <v>6.5842650153500326E-3</v>
      </c>
      <c r="P723" s="14">
        <f t="array" ref="P723">MMULT(M723:O723,$I$9:$I$11)</f>
        <v>3.0848066745523079E-3</v>
      </c>
    </row>
    <row r="724" spans="2:16" x14ac:dyDescent="0.25">
      <c r="B724" s="9">
        <v>36304</v>
      </c>
      <c r="C724" s="10">
        <v>5.4790000915999997E-2</v>
      </c>
      <c r="D724" s="11">
        <v>1306.6500000000001</v>
      </c>
      <c r="E724" s="11">
        <v>0.94580527203336917</v>
      </c>
      <c r="L724" s="9">
        <v>36304</v>
      </c>
      <c r="M724" s="14">
        <f t="shared" si="36"/>
        <v>-5.9869361026300139E-3</v>
      </c>
      <c r="N724" s="14">
        <f t="shared" si="37"/>
        <v>-1.7770561306181265E-2</v>
      </c>
      <c r="O724" s="14">
        <f t="shared" si="38"/>
        <v>-1.6552647779267682E-3</v>
      </c>
      <c r="P724" s="14">
        <f t="array" ref="P724">MMULT(M724:O724,$I$9:$I$11)</f>
        <v>-6.0057194987037706E-3</v>
      </c>
    </row>
    <row r="725" spans="2:16" x14ac:dyDescent="0.25">
      <c r="B725" s="9">
        <v>36305</v>
      </c>
      <c r="C725" s="10">
        <v>5.4710001945000003E-2</v>
      </c>
      <c r="D725" s="11">
        <v>1284.4000000000001</v>
      </c>
      <c r="E725" s="11">
        <v>0.94255145062811696</v>
      </c>
      <c r="L725" s="9">
        <v>36305</v>
      </c>
      <c r="M725" s="14">
        <f t="shared" si="36"/>
        <v>-1.4601016547278745E-3</v>
      </c>
      <c r="N725" s="14">
        <f t="shared" si="37"/>
        <v>-1.7028278421918674E-2</v>
      </c>
      <c r="O725" s="14">
        <f t="shared" si="38"/>
        <v>-3.4402656672201104E-3</v>
      </c>
      <c r="P725" s="14">
        <f t="array" ref="P725">MMULT(M725:O725,$I$9:$I$11)</f>
        <v>-7.1084596797232943E-3</v>
      </c>
    </row>
    <row r="726" spans="2:16" x14ac:dyDescent="0.25">
      <c r="B726" s="9">
        <v>36306</v>
      </c>
      <c r="C726" s="10">
        <v>5.5529999733000004E-2</v>
      </c>
      <c r="D726" s="11">
        <v>1304.76</v>
      </c>
      <c r="E726" s="11">
        <v>0.95438054860107535</v>
      </c>
      <c r="L726" s="9">
        <v>36306</v>
      </c>
      <c r="M726" s="14">
        <f t="shared" si="36"/>
        <v>1.4988078209617894E-2</v>
      </c>
      <c r="N726" s="14">
        <f t="shared" si="37"/>
        <v>1.5851759576455793E-2</v>
      </c>
      <c r="O726" s="14">
        <f t="shared" si="38"/>
        <v>1.2550081977037442E-2</v>
      </c>
      <c r="P726" s="14">
        <f t="array" ref="P726">MMULT(M726:O726,$I$9:$I$11)</f>
        <v>1.3441396565862388E-2</v>
      </c>
    </row>
    <row r="727" spans="2:16" x14ac:dyDescent="0.25">
      <c r="B727" s="9">
        <v>36307</v>
      </c>
      <c r="C727" s="10">
        <v>5.6279997825999996E-2</v>
      </c>
      <c r="D727" s="11">
        <v>1281.4100000000001</v>
      </c>
      <c r="E727" s="11">
        <v>0.95616002599592576</v>
      </c>
      <c r="L727" s="9">
        <v>36307</v>
      </c>
      <c r="M727" s="14">
        <f t="shared" si="36"/>
        <v>1.3506178581057737E-2</v>
      </c>
      <c r="N727" s="14">
        <f t="shared" si="37"/>
        <v>-1.7896011527024025E-2</v>
      </c>
      <c r="O727" s="14">
        <f t="shared" si="38"/>
        <v>1.8645365283886939E-3</v>
      </c>
      <c r="P727" s="14">
        <f t="array" ref="P727">MMULT(M727:O727,$I$9:$I$11)</f>
        <v>-3.4699833435905087E-3</v>
      </c>
    </row>
    <row r="728" spans="2:16" x14ac:dyDescent="0.25">
      <c r="B728" s="9">
        <v>36308</v>
      </c>
      <c r="C728" s="10">
        <v>5.6240000725000003E-2</v>
      </c>
      <c r="D728" s="11">
        <v>1301.8399999999999</v>
      </c>
      <c r="E728" s="11">
        <v>0.95634293973258977</v>
      </c>
      <c r="L728" s="9">
        <v>36308</v>
      </c>
      <c r="M728" s="14">
        <f t="shared" si="36"/>
        <v>-7.1068057116230321E-4</v>
      </c>
      <c r="N728" s="14">
        <f t="shared" si="37"/>
        <v>1.5943374876112859E-2</v>
      </c>
      <c r="O728" s="14">
        <f t="shared" si="38"/>
        <v>1.9130033853231865E-4</v>
      </c>
      <c r="P728" s="14">
        <f t="array" ref="P728">MMULT(M728:O728,$I$9:$I$11)</f>
        <v>4.4437003433289443E-3</v>
      </c>
    </row>
    <row r="729" spans="2:16" x14ac:dyDescent="0.25">
      <c r="B729" s="9">
        <v>36311</v>
      </c>
      <c r="C729" s="10">
        <v>5.6240000725000003E-2</v>
      </c>
      <c r="D729" s="11">
        <v>1301.8399999999999</v>
      </c>
      <c r="E729" s="11">
        <v>0.95634293973258977</v>
      </c>
      <c r="L729" s="9">
        <v>36311</v>
      </c>
      <c r="M729" s="14">
        <f t="shared" si="36"/>
        <v>0</v>
      </c>
      <c r="N729" s="14">
        <f t="shared" si="37"/>
        <v>0</v>
      </c>
      <c r="O729" s="14">
        <f t="shared" si="38"/>
        <v>0</v>
      </c>
      <c r="P729" s="14">
        <f t="array" ref="P729">MMULT(M729:O729,$I$9:$I$11)</f>
        <v>0</v>
      </c>
    </row>
    <row r="730" spans="2:16" x14ac:dyDescent="0.25">
      <c r="B730" s="9">
        <v>36312</v>
      </c>
      <c r="C730" s="10">
        <v>5.7620000839000006E-2</v>
      </c>
      <c r="D730" s="11">
        <v>1294.26</v>
      </c>
      <c r="E730" s="11">
        <v>0.95556620254213565</v>
      </c>
      <c r="L730" s="9">
        <v>36312</v>
      </c>
      <c r="M730" s="14">
        <f t="shared" si="36"/>
        <v>2.4537697301034278E-2</v>
      </c>
      <c r="N730" s="14">
        <f t="shared" si="37"/>
        <v>-5.8225281140539265E-3</v>
      </c>
      <c r="O730" s="14">
        <f t="shared" si="38"/>
        <v>-8.1219524731501735E-4</v>
      </c>
      <c r="P730" s="14">
        <f t="array" ref="P730">MMULT(M730:O730,$I$9:$I$11)</f>
        <v>-2.1647751538995466E-3</v>
      </c>
    </row>
    <row r="731" spans="2:16" x14ac:dyDescent="0.25">
      <c r="B731" s="9">
        <v>36313</v>
      </c>
      <c r="C731" s="10">
        <v>5.7789998055E-2</v>
      </c>
      <c r="D731" s="11">
        <v>1294.81</v>
      </c>
      <c r="E731" s="11">
        <v>0.96539069707458369</v>
      </c>
      <c r="L731" s="9">
        <v>36313</v>
      </c>
      <c r="M731" s="14">
        <f t="shared" si="36"/>
        <v>2.9503160972697007E-3</v>
      </c>
      <c r="N731" s="14">
        <f t="shared" si="37"/>
        <v>4.2495325514191329E-4</v>
      </c>
      <c r="O731" s="14">
        <f t="shared" si="38"/>
        <v>1.0281333209893218E-2</v>
      </c>
      <c r="P731" s="14">
        <f t="array" ref="P731">MMULT(M731:O731,$I$9:$I$11)</f>
        <v>7.6205236722753531E-3</v>
      </c>
    </row>
    <row r="732" spans="2:16" x14ac:dyDescent="0.25">
      <c r="B732" s="9">
        <v>36314</v>
      </c>
      <c r="C732" s="10">
        <v>5.8049998282999997E-2</v>
      </c>
      <c r="D732" s="11">
        <v>1299.54</v>
      </c>
      <c r="E732" s="11">
        <v>0.9659035875197346</v>
      </c>
      <c r="L732" s="9">
        <v>36314</v>
      </c>
      <c r="M732" s="14">
        <f t="shared" si="36"/>
        <v>4.4990523749897093E-3</v>
      </c>
      <c r="N732" s="14">
        <f t="shared" si="37"/>
        <v>3.6530456205929873E-3</v>
      </c>
      <c r="O732" s="14">
        <f t="shared" si="38"/>
        <v>5.3127759227966642E-4</v>
      </c>
      <c r="P732" s="14">
        <f t="array" ref="P732">MMULT(M732:O732,$I$9:$I$11)</f>
        <v>1.3740241363556641E-3</v>
      </c>
    </row>
    <row r="733" spans="2:16" x14ac:dyDescent="0.25">
      <c r="B733" s="9">
        <v>36315</v>
      </c>
      <c r="C733" s="10">
        <v>5.8090000152999997E-2</v>
      </c>
      <c r="D733" s="11">
        <v>1327.75</v>
      </c>
      <c r="E733" s="11">
        <v>0.97044981619784798</v>
      </c>
      <c r="L733" s="9">
        <v>36315</v>
      </c>
      <c r="M733" s="14">
        <f t="shared" si="36"/>
        <v>6.8909338816847132E-4</v>
      </c>
      <c r="N733" s="14">
        <f t="shared" si="37"/>
        <v>2.1707681179494287E-2</v>
      </c>
      <c r="O733" s="14">
        <f t="shared" si="38"/>
        <v>4.7067106250089363E-3</v>
      </c>
      <c r="P733" s="14">
        <f t="array" ref="P733">MMULT(M733:O733,$I$9:$I$11)</f>
        <v>9.2962602170301688E-3</v>
      </c>
    </row>
    <row r="734" spans="2:16" x14ac:dyDescent="0.25">
      <c r="B734" s="9">
        <v>36318</v>
      </c>
      <c r="C734" s="10">
        <v>5.7960000037999997E-2</v>
      </c>
      <c r="D734" s="11">
        <v>1334.52</v>
      </c>
      <c r="E734" s="11">
        <v>0.97115660908692847</v>
      </c>
      <c r="L734" s="9">
        <v>36318</v>
      </c>
      <c r="M734" s="14">
        <f t="shared" si="36"/>
        <v>-2.2379086702978279E-3</v>
      </c>
      <c r="N734" s="14">
        <f t="shared" si="37"/>
        <v>5.0988514404066709E-3</v>
      </c>
      <c r="O734" s="14">
        <f t="shared" si="38"/>
        <v>7.2831472301126965E-4</v>
      </c>
      <c r="P734" s="14">
        <f t="array" ref="P734">MMULT(M734:O734,$I$9:$I$11)</f>
        <v>1.9081764811356484E-3</v>
      </c>
    </row>
    <row r="735" spans="2:16" x14ac:dyDescent="0.25">
      <c r="B735" s="9">
        <v>36319</v>
      </c>
      <c r="C735" s="10">
        <v>5.8260002136000001E-2</v>
      </c>
      <c r="D735" s="11">
        <v>1317.33</v>
      </c>
      <c r="E735" s="11">
        <v>0.95909462903359355</v>
      </c>
      <c r="L735" s="9">
        <v>36319</v>
      </c>
      <c r="M735" s="14">
        <f t="shared" si="36"/>
        <v>5.1760196308370254E-3</v>
      </c>
      <c r="N735" s="14">
        <f t="shared" si="37"/>
        <v>-1.2881035878068547E-2</v>
      </c>
      <c r="O735" s="14">
        <f t="shared" si="38"/>
        <v>-1.2420221353047767E-2</v>
      </c>
      <c r="P735" s="14">
        <f t="array" ref="P735">MMULT(M735:O735,$I$9:$I$11)</f>
        <v>-1.2544621963502834E-2</v>
      </c>
    </row>
    <row r="736" spans="2:16" x14ac:dyDescent="0.25">
      <c r="B736" s="9">
        <v>36320</v>
      </c>
      <c r="C736" s="10">
        <v>5.8899998665000002E-2</v>
      </c>
      <c r="D736" s="11">
        <v>1318.64</v>
      </c>
      <c r="E736" s="11">
        <v>0.95872676419400127</v>
      </c>
      <c r="L736" s="9">
        <v>36320</v>
      </c>
      <c r="M736" s="14">
        <f t="shared" si="36"/>
        <v>1.0985178605143364E-2</v>
      </c>
      <c r="N736" s="14">
        <f t="shared" si="37"/>
        <v>9.9443571466539815E-4</v>
      </c>
      <c r="O736" s="14">
        <f t="shared" si="38"/>
        <v>-3.8355426926217628E-4</v>
      </c>
      <c r="P736" s="14">
        <f t="array" ref="P736">MMULT(M736:O736,$I$9:$I$11)</f>
        <v>-1.1554720867241E-5</v>
      </c>
    </row>
    <row r="737" spans="2:16" x14ac:dyDescent="0.25">
      <c r="B737" s="9">
        <v>36321</v>
      </c>
      <c r="C737" s="10">
        <v>5.9289999007999999E-2</v>
      </c>
      <c r="D737" s="11">
        <v>1302.82</v>
      </c>
      <c r="E737" s="11">
        <v>0.95333432583889544</v>
      </c>
      <c r="L737" s="9">
        <v>36321</v>
      </c>
      <c r="M737" s="14">
        <f t="shared" si="36"/>
        <v>6.6213981636598085E-3</v>
      </c>
      <c r="N737" s="14">
        <f t="shared" si="37"/>
        <v>-1.1997209245889873E-2</v>
      </c>
      <c r="O737" s="14">
        <f t="shared" si="38"/>
        <v>-5.6245830996897173E-3</v>
      </c>
      <c r="P737" s="14">
        <f t="array" ref="P737">MMULT(M737:O737,$I$9:$I$11)</f>
        <v>-7.3449251022632365E-3</v>
      </c>
    </row>
    <row r="738" spans="2:16" x14ac:dyDescent="0.25">
      <c r="B738" s="9">
        <v>36322</v>
      </c>
      <c r="C738" s="10">
        <v>6.0370001792999999E-2</v>
      </c>
      <c r="D738" s="11">
        <v>1293.6400000000001</v>
      </c>
      <c r="E738" s="11">
        <v>0.95301633708617994</v>
      </c>
      <c r="L738" s="9">
        <v>36322</v>
      </c>
      <c r="M738" s="14">
        <f t="shared" si="36"/>
        <v>1.8215597960362206E-2</v>
      </c>
      <c r="N738" s="14">
        <f t="shared" si="37"/>
        <v>-7.0462535116131431E-3</v>
      </c>
      <c r="O738" s="14">
        <f t="shared" si="38"/>
        <v>-3.3355428845560642E-4</v>
      </c>
      <c r="P738" s="14">
        <f t="array" ref="P738">MMULT(M738:O738,$I$9:$I$11)</f>
        <v>-2.1457017704048526E-3</v>
      </c>
    </row>
    <row r="739" spans="2:16" x14ac:dyDescent="0.25">
      <c r="B739" s="9">
        <v>36325</v>
      </c>
      <c r="C739" s="10">
        <v>5.9629998207000004E-2</v>
      </c>
      <c r="D739" s="11">
        <v>1294</v>
      </c>
      <c r="E739" s="11">
        <v>0.95845116013134302</v>
      </c>
      <c r="L739" s="9">
        <v>36325</v>
      </c>
      <c r="M739" s="14">
        <f t="shared" si="36"/>
        <v>-1.2257802948844709E-2</v>
      </c>
      <c r="N739" s="14">
        <f t="shared" si="37"/>
        <v>2.7828453047207269E-4</v>
      </c>
      <c r="O739" s="14">
        <f t="shared" si="38"/>
        <v>5.7027595788965435E-3</v>
      </c>
      <c r="P739" s="14">
        <f t="array" ref="P739">MMULT(M739:O739,$I$9:$I$11)</f>
        <v>4.238378638665009E-3</v>
      </c>
    </row>
    <row r="740" spans="2:16" x14ac:dyDescent="0.25">
      <c r="B740" s="9">
        <v>36326</v>
      </c>
      <c r="C740" s="10">
        <v>5.9809999465999998E-2</v>
      </c>
      <c r="D740" s="11">
        <v>1301.1600000000001</v>
      </c>
      <c r="E740" s="11">
        <v>0.96006145416348132</v>
      </c>
      <c r="L740" s="9">
        <v>36326</v>
      </c>
      <c r="M740" s="14">
        <f t="shared" si="36"/>
        <v>3.018635995512442E-3</v>
      </c>
      <c r="N740" s="14">
        <f t="shared" si="37"/>
        <v>5.5332302936630384E-3</v>
      </c>
      <c r="O740" s="14">
        <f t="shared" si="38"/>
        <v>1.6801002483191052E-3</v>
      </c>
      <c r="P740" s="14">
        <f t="array" ref="P740">MMULT(M740:O740,$I$9:$I$11)</f>
        <v>2.720283887890636E-3</v>
      </c>
    </row>
    <row r="741" spans="2:16" x14ac:dyDescent="0.25">
      <c r="B741" s="9">
        <v>36327</v>
      </c>
      <c r="C741" s="10">
        <v>5.9250001906999999E-2</v>
      </c>
      <c r="D741" s="11">
        <v>1330.41</v>
      </c>
      <c r="E741" s="11">
        <v>0.96946196562991915</v>
      </c>
      <c r="L741" s="9">
        <v>36327</v>
      </c>
      <c r="M741" s="14">
        <f t="shared" si="36"/>
        <v>-9.3629420498212435E-3</v>
      </c>
      <c r="N741" s="14">
        <f t="shared" si="37"/>
        <v>2.2479940975744794E-2</v>
      </c>
      <c r="O741" s="14">
        <f t="shared" si="38"/>
        <v>9.7915726390960245E-3</v>
      </c>
      <c r="P741" s="14">
        <f t="array" ref="P741">MMULT(M741:O741,$I$9:$I$11)</f>
        <v>1.3216900360019445E-2</v>
      </c>
    </row>
    <row r="742" spans="2:16" x14ac:dyDescent="0.25">
      <c r="B742" s="9">
        <v>36328</v>
      </c>
      <c r="C742" s="10">
        <v>5.7880001068000002E-2</v>
      </c>
      <c r="D742" s="11">
        <v>1339.9</v>
      </c>
      <c r="E742" s="11">
        <v>0.96927399957736027</v>
      </c>
      <c r="L742" s="9">
        <v>36328</v>
      </c>
      <c r="M742" s="14">
        <f t="shared" si="36"/>
        <v>-2.3122376285326984E-2</v>
      </c>
      <c r="N742" s="14">
        <f t="shared" si="37"/>
        <v>7.1331394081524113E-3</v>
      </c>
      <c r="O742" s="14">
        <f t="shared" si="38"/>
        <v>-1.9388697981226333E-4</v>
      </c>
      <c r="P742" s="14">
        <f t="array" ref="P742">MMULT(M742:O742,$I$9:$I$11)</f>
        <v>1.7841030920980779E-3</v>
      </c>
    </row>
    <row r="743" spans="2:16" x14ac:dyDescent="0.25">
      <c r="B743" s="9">
        <v>36329</v>
      </c>
      <c r="C743" s="10">
        <v>5.8270001411E-2</v>
      </c>
      <c r="D743" s="11">
        <v>1342.84</v>
      </c>
      <c r="E743" s="11">
        <v>0.96288092187800134</v>
      </c>
      <c r="L743" s="9">
        <v>36329</v>
      </c>
      <c r="M743" s="14">
        <f t="shared" si="36"/>
        <v>6.7380845854132509E-3</v>
      </c>
      <c r="N743" s="14">
        <f t="shared" si="37"/>
        <v>2.1941935965368309E-3</v>
      </c>
      <c r="O743" s="14">
        <f t="shared" si="38"/>
        <v>-6.5957383589640983E-3</v>
      </c>
      <c r="P743" s="14">
        <f t="array" ref="P743">MMULT(M743:O743,$I$9:$I$11)</f>
        <v>-4.222825089631935E-3</v>
      </c>
    </row>
    <row r="744" spans="2:16" x14ac:dyDescent="0.25">
      <c r="B744" s="9">
        <v>36332</v>
      </c>
      <c r="C744" s="10">
        <v>5.890999794E-2</v>
      </c>
      <c r="D744" s="11">
        <v>1349</v>
      </c>
      <c r="E744" s="11">
        <v>0.96918004388155898</v>
      </c>
      <c r="L744" s="9">
        <v>36332</v>
      </c>
      <c r="M744" s="14">
        <f t="shared" si="36"/>
        <v>1.0983293521581894E-2</v>
      </c>
      <c r="N744" s="14">
        <f t="shared" si="37"/>
        <v>4.5872926037353601E-3</v>
      </c>
      <c r="O744" s="14">
        <f t="shared" si="38"/>
        <v>6.5419532783679291E-3</v>
      </c>
      <c r="P744" s="14">
        <f t="array" ref="P744">MMULT(M744:O744,$I$9:$I$11)</f>
        <v>6.0142768099540099E-3</v>
      </c>
    </row>
    <row r="745" spans="2:16" x14ac:dyDescent="0.25">
      <c r="B745" s="9">
        <v>36333</v>
      </c>
      <c r="C745" s="10">
        <v>5.9250001906999999E-2</v>
      </c>
      <c r="D745" s="11">
        <v>1335.88</v>
      </c>
      <c r="E745" s="11">
        <v>0.97030849127507968</v>
      </c>
      <c r="L745" s="9">
        <v>36333</v>
      </c>
      <c r="M745" s="14">
        <f t="shared" si="36"/>
        <v>5.7715834135030342E-3</v>
      </c>
      <c r="N745" s="14">
        <f t="shared" si="37"/>
        <v>-9.7257227575980876E-3</v>
      </c>
      <c r="O745" s="14">
        <f t="shared" si="38"/>
        <v>1.1643320564065363E-3</v>
      </c>
      <c r="P745" s="14">
        <f t="array" ref="P745">MMULT(M745:O745,$I$9:$I$11)</f>
        <v>-1.7755263751179791E-3</v>
      </c>
    </row>
    <row r="746" spans="2:16" x14ac:dyDescent="0.25">
      <c r="B746" s="9">
        <v>36334</v>
      </c>
      <c r="C746" s="10">
        <v>6.0329999923999997E-2</v>
      </c>
      <c r="D746" s="11">
        <v>1333.06</v>
      </c>
      <c r="E746" s="11">
        <v>0.96983800440948631</v>
      </c>
      <c r="L746" s="9">
        <v>36334</v>
      </c>
      <c r="M746" s="14">
        <f t="shared" si="36"/>
        <v>1.8227814046237301E-2</v>
      </c>
      <c r="N746" s="14">
        <f t="shared" si="37"/>
        <v>-2.1109680510226214E-3</v>
      </c>
      <c r="O746" s="14">
        <f t="shared" si="38"/>
        <v>-4.8488379708511165E-4</v>
      </c>
      <c r="P746" s="14">
        <f t="array" ref="P746">MMULT(M746:O746,$I$9:$I$11)</f>
        <v>-9.2385840152509708E-4</v>
      </c>
    </row>
    <row r="747" spans="2:16" x14ac:dyDescent="0.25">
      <c r="B747" s="9">
        <v>36335</v>
      </c>
      <c r="C747" s="10">
        <v>6.0380001068000004E-2</v>
      </c>
      <c r="D747" s="11">
        <v>1315.78</v>
      </c>
      <c r="E747" s="11">
        <v>0.96655710530846362</v>
      </c>
      <c r="L747" s="9">
        <v>36335</v>
      </c>
      <c r="M747" s="14">
        <f t="shared" si="36"/>
        <v>8.2879403386360018E-4</v>
      </c>
      <c r="N747" s="14">
        <f t="shared" si="37"/>
        <v>-1.2962657344755657E-2</v>
      </c>
      <c r="O747" s="14">
        <f t="shared" si="38"/>
        <v>-3.3829351769116833E-3</v>
      </c>
      <c r="P747" s="14">
        <f t="array" ref="P747">MMULT(M747:O747,$I$9:$I$11)</f>
        <v>-5.9690587059301713E-3</v>
      </c>
    </row>
    <row r="748" spans="2:16" x14ac:dyDescent="0.25">
      <c r="B748" s="9">
        <v>36336</v>
      </c>
      <c r="C748" s="10">
        <v>6.0159997940000001E-2</v>
      </c>
      <c r="D748" s="11">
        <v>1315.31</v>
      </c>
      <c r="E748" s="11">
        <v>0.95547488543522185</v>
      </c>
      <c r="L748" s="9">
        <v>36336</v>
      </c>
      <c r="M748" s="14">
        <f t="shared" si="36"/>
        <v>-3.6436423336965174E-3</v>
      </c>
      <c r="N748" s="14">
        <f t="shared" si="37"/>
        <v>-3.5720257185856141E-4</v>
      </c>
      <c r="O748" s="14">
        <f t="shared" si="38"/>
        <v>-1.1465664896959216E-2</v>
      </c>
      <c r="P748" s="14">
        <f t="array" ref="P748">MMULT(M748:O748,$I$9:$I$11)</f>
        <v>-8.4668455902168604E-3</v>
      </c>
    </row>
    <row r="749" spans="2:16" x14ac:dyDescent="0.25">
      <c r="B749" s="9">
        <v>36339</v>
      </c>
      <c r="C749" s="10">
        <v>5.9470000266999994E-2</v>
      </c>
      <c r="D749" s="11">
        <v>1331.35</v>
      </c>
      <c r="E749" s="11">
        <v>0.96408769294607566</v>
      </c>
      <c r="L749" s="9">
        <v>36339</v>
      </c>
      <c r="M749" s="14">
        <f t="shared" si="36"/>
        <v>-1.1469376606165649E-2</v>
      </c>
      <c r="N749" s="14">
        <f t="shared" si="37"/>
        <v>1.2194843801081046E-2</v>
      </c>
      <c r="O749" s="14">
        <f t="shared" si="38"/>
        <v>9.0141642047771864E-3</v>
      </c>
      <c r="P749" s="14">
        <f t="array" ref="P749">MMULT(M749:O749,$I$9:$I$11)</f>
        <v>9.872814403410422E-3</v>
      </c>
    </row>
    <row r="750" spans="2:16" x14ac:dyDescent="0.25">
      <c r="B750" s="9">
        <v>36340</v>
      </c>
      <c r="C750" s="10">
        <v>5.9260001183000004E-2</v>
      </c>
      <c r="D750" s="11">
        <v>1351.45</v>
      </c>
      <c r="E750" s="11">
        <v>0.96735182071823544</v>
      </c>
      <c r="L750" s="9">
        <v>36340</v>
      </c>
      <c r="M750" s="14">
        <f t="shared" si="36"/>
        <v>-3.5311767791686988E-3</v>
      </c>
      <c r="N750" s="14">
        <f t="shared" si="37"/>
        <v>1.5097457467983633E-2</v>
      </c>
      <c r="O750" s="14">
        <f t="shared" si="38"/>
        <v>3.3857166687660811E-3</v>
      </c>
      <c r="P750" s="14">
        <f t="array" ref="P750">MMULT(M750:O750,$I$9:$I$11)</f>
        <v>6.5473958819993565E-3</v>
      </c>
    </row>
    <row r="751" spans="2:16" x14ac:dyDescent="0.25">
      <c r="B751" s="9">
        <v>36341</v>
      </c>
      <c r="C751" s="10">
        <v>5.7849998473999999E-2</v>
      </c>
      <c r="D751" s="11">
        <v>1372.71</v>
      </c>
      <c r="E751" s="11">
        <v>0.96969696969696972</v>
      </c>
      <c r="L751" s="9">
        <v>36341</v>
      </c>
      <c r="M751" s="14">
        <f t="shared" si="36"/>
        <v>-2.3793497820659759E-2</v>
      </c>
      <c r="N751" s="14">
        <f t="shared" si="37"/>
        <v>1.573125161863187E-2</v>
      </c>
      <c r="O751" s="14">
        <f t="shared" si="38"/>
        <v>2.4242978909090329E-3</v>
      </c>
      <c r="P751" s="14">
        <f t="array" ref="P751">MMULT(M751:O751,$I$9:$I$11)</f>
        <v>6.0166177444366271E-3</v>
      </c>
    </row>
    <row r="752" spans="2:16" x14ac:dyDescent="0.25">
      <c r="B752" s="9">
        <v>36342</v>
      </c>
      <c r="C752" s="10">
        <v>5.8400001526E-2</v>
      </c>
      <c r="D752" s="11">
        <v>1380.96</v>
      </c>
      <c r="E752" s="11">
        <v>0.9759430261684765</v>
      </c>
      <c r="L752" s="9">
        <v>36342</v>
      </c>
      <c r="M752" s="14">
        <f t="shared" si="36"/>
        <v>9.5073995939203293E-3</v>
      </c>
      <c r="N752" s="14">
        <f t="shared" si="37"/>
        <v>6.0100093974693181E-3</v>
      </c>
      <c r="O752" s="14">
        <f t="shared" si="38"/>
        <v>6.4412457362412745E-3</v>
      </c>
      <c r="P752" s="14">
        <f t="array" ref="P752">MMULT(M752:O752,$I$9:$I$11)</f>
        <v>6.3248299965437899E-3</v>
      </c>
    </row>
    <row r="753" spans="2:16" x14ac:dyDescent="0.25">
      <c r="B753" s="9">
        <v>36343</v>
      </c>
      <c r="C753" s="10">
        <v>5.8359999656999999E-2</v>
      </c>
      <c r="D753" s="11">
        <v>1391.22</v>
      </c>
      <c r="E753" s="11">
        <v>0.97852144785910322</v>
      </c>
      <c r="L753" s="9">
        <v>36343</v>
      </c>
      <c r="M753" s="14">
        <f t="shared" si="36"/>
        <v>-6.8496349237578968E-4</v>
      </c>
      <c r="N753" s="14">
        <f t="shared" si="37"/>
        <v>7.4296141814389483E-3</v>
      </c>
      <c r="O753" s="14">
        <f t="shared" si="38"/>
        <v>2.6419797278018908E-3</v>
      </c>
      <c r="P753" s="14">
        <f t="array" ref="P753">MMULT(M753:O753,$I$9:$I$11)</f>
        <v>3.9344403954453397E-3</v>
      </c>
    </row>
    <row r="754" spans="2:16" x14ac:dyDescent="0.25">
      <c r="B754" s="9">
        <v>36346</v>
      </c>
      <c r="C754" s="10">
        <v>5.8359999656999999E-2</v>
      </c>
      <c r="D754" s="11">
        <v>1391.22</v>
      </c>
      <c r="E754" s="11">
        <v>0.97746926520956479</v>
      </c>
      <c r="L754" s="9">
        <v>36346</v>
      </c>
      <c r="M754" s="14">
        <f t="shared" si="36"/>
        <v>0</v>
      </c>
      <c r="N754" s="14">
        <f t="shared" si="37"/>
        <v>0</v>
      </c>
      <c r="O754" s="14">
        <f t="shared" si="38"/>
        <v>-1.0752780655349792E-3</v>
      </c>
      <c r="P754" s="14">
        <f t="array" ref="P754">MMULT(M754:O754,$I$9:$I$11)</f>
        <v>-7.8499804939299281E-4</v>
      </c>
    </row>
    <row r="755" spans="2:16" x14ac:dyDescent="0.25">
      <c r="B755" s="9">
        <v>36347</v>
      </c>
      <c r="C755" s="10">
        <v>5.8699998856000003E-2</v>
      </c>
      <c r="D755" s="11">
        <v>1388.12</v>
      </c>
      <c r="E755" s="11">
        <v>0.97560977875074417</v>
      </c>
      <c r="L755" s="9">
        <v>36347</v>
      </c>
      <c r="M755" s="14">
        <f t="shared" si="36"/>
        <v>5.8258944653579725E-3</v>
      </c>
      <c r="N755" s="14">
        <f t="shared" si="37"/>
        <v>-2.2282600882679304E-3</v>
      </c>
      <c r="O755" s="14">
        <f t="shared" si="38"/>
        <v>-1.9023477514885645E-3</v>
      </c>
      <c r="P755" s="14">
        <f t="array" ref="P755">MMULT(M755:O755,$I$9:$I$11)</f>
        <v>-1.9903304244487142E-3</v>
      </c>
    </row>
    <row r="756" spans="2:16" x14ac:dyDescent="0.25">
      <c r="B756" s="9">
        <v>36348</v>
      </c>
      <c r="C756" s="10">
        <v>5.8880000113999999E-2</v>
      </c>
      <c r="D756" s="11">
        <v>1395.86</v>
      </c>
      <c r="E756" s="11">
        <v>0.97809074615927216</v>
      </c>
      <c r="L756" s="9">
        <v>36348</v>
      </c>
      <c r="M756" s="14">
        <f t="shared" si="36"/>
        <v>3.066461013765398E-3</v>
      </c>
      <c r="N756" s="14">
        <f t="shared" si="37"/>
        <v>5.5758868109385684E-3</v>
      </c>
      <c r="O756" s="14">
        <f t="shared" si="38"/>
        <v>2.5429915346941723E-3</v>
      </c>
      <c r="P756" s="14">
        <f t="array" ref="P756">MMULT(M756:O756,$I$9:$I$11)</f>
        <v>3.3617461600916141E-3</v>
      </c>
    </row>
    <row r="757" spans="2:16" x14ac:dyDescent="0.25">
      <c r="B757" s="9">
        <v>36349</v>
      </c>
      <c r="C757" s="10">
        <v>5.8229999542000005E-2</v>
      </c>
      <c r="D757" s="11">
        <v>1394.42</v>
      </c>
      <c r="E757" s="11">
        <v>0.98236646497641833</v>
      </c>
      <c r="L757" s="9">
        <v>36349</v>
      </c>
      <c r="M757" s="14">
        <f t="shared" si="36"/>
        <v>-1.1039411867213023E-2</v>
      </c>
      <c r="N757" s="14">
        <f t="shared" si="37"/>
        <v>-1.0316220824436728E-3</v>
      </c>
      <c r="O757" s="14">
        <f t="shared" si="38"/>
        <v>4.3714950110058659E-3</v>
      </c>
      <c r="P757" s="14">
        <f t="array" ref="P757">MMULT(M757:O757,$I$9:$I$11)</f>
        <v>2.9128798235722362E-3</v>
      </c>
    </row>
    <row r="758" spans="2:16" x14ac:dyDescent="0.25">
      <c r="B758" s="9">
        <v>36350</v>
      </c>
      <c r="C758" s="10">
        <v>5.8319997787000005E-2</v>
      </c>
      <c r="D758" s="11">
        <v>1403.28</v>
      </c>
      <c r="E758" s="11">
        <v>0.98140243802967309</v>
      </c>
      <c r="L758" s="9">
        <v>36350</v>
      </c>
      <c r="M758" s="14">
        <f t="shared" si="36"/>
        <v>1.5455649271487459E-3</v>
      </c>
      <c r="N758" s="14">
        <f t="shared" si="37"/>
        <v>6.3538962435993884E-3</v>
      </c>
      <c r="O758" s="14">
        <f t="shared" si="38"/>
        <v>-9.8133128635291555E-4</v>
      </c>
      <c r="P758" s="14">
        <f t="array" ref="P758">MMULT(M758:O758,$I$9:$I$11)</f>
        <v>9.9887275020978496E-4</v>
      </c>
    </row>
    <row r="759" spans="2:16" x14ac:dyDescent="0.25">
      <c r="B759" s="9">
        <v>36353</v>
      </c>
      <c r="C759" s="10">
        <v>5.7300000000000004E-2</v>
      </c>
      <c r="D759" s="11">
        <v>1399.1</v>
      </c>
      <c r="E759" s="11">
        <v>0.98633920205158565</v>
      </c>
      <c r="L759" s="9">
        <v>36353</v>
      </c>
      <c r="M759" s="14">
        <f t="shared" si="36"/>
        <v>-1.7489674652000242E-2</v>
      </c>
      <c r="N759" s="14">
        <f t="shared" si="37"/>
        <v>-2.9787355338920518E-3</v>
      </c>
      <c r="O759" s="14">
        <f t="shared" si="38"/>
        <v>5.0303156285447237E-3</v>
      </c>
      <c r="P759" s="14">
        <f t="array" ref="P759">MMULT(M759:O759,$I$9:$I$11)</f>
        <v>2.8682074490595788E-3</v>
      </c>
    </row>
    <row r="760" spans="2:16" x14ac:dyDescent="0.25">
      <c r="B760" s="9">
        <v>36354</v>
      </c>
      <c r="C760" s="10">
        <v>5.704E-2</v>
      </c>
      <c r="D760" s="11">
        <v>1393.56</v>
      </c>
      <c r="E760" s="11">
        <v>0.98236652094896615</v>
      </c>
      <c r="L760" s="9">
        <v>36354</v>
      </c>
      <c r="M760" s="14">
        <f t="shared" si="36"/>
        <v>-4.5375218150087715E-3</v>
      </c>
      <c r="N760" s="14">
        <f t="shared" si="37"/>
        <v>-3.9596883710957265E-3</v>
      </c>
      <c r="O760" s="14">
        <f t="shared" si="38"/>
        <v>-4.0277027358908146E-3</v>
      </c>
      <c r="P760" s="14">
        <f t="array" ref="P760">MMULT(M760:O760,$I$9:$I$11)</f>
        <v>-4.0093417076661926E-3</v>
      </c>
    </row>
    <row r="761" spans="2:16" x14ac:dyDescent="0.25">
      <c r="B761" s="9">
        <v>36355</v>
      </c>
      <c r="C761" s="10">
        <v>5.7340000000000002E-2</v>
      </c>
      <c r="D761" s="11">
        <v>1398.17</v>
      </c>
      <c r="E761" s="11">
        <v>0.97971980013716087</v>
      </c>
      <c r="L761" s="9">
        <v>36355</v>
      </c>
      <c r="M761" s="14">
        <f t="shared" si="36"/>
        <v>5.2594670406731492E-3</v>
      </c>
      <c r="N761" s="14">
        <f t="shared" si="37"/>
        <v>3.3080742845661426E-3</v>
      </c>
      <c r="O761" s="14">
        <f t="shared" si="38"/>
        <v>-2.6942294503772279E-3</v>
      </c>
      <c r="P761" s="14">
        <f t="array" ref="P761">MMULT(M761:O761,$I$9:$I$11)</f>
        <v>-1.0738589797849515E-3</v>
      </c>
    </row>
    <row r="762" spans="2:16" x14ac:dyDescent="0.25">
      <c r="B762" s="9">
        <v>36356</v>
      </c>
      <c r="C762" s="10">
        <v>5.7259999999999998E-2</v>
      </c>
      <c r="D762" s="11">
        <v>1409.62</v>
      </c>
      <c r="E762" s="11">
        <v>0.97599063048994739</v>
      </c>
      <c r="L762" s="9">
        <v>36356</v>
      </c>
      <c r="M762" s="14">
        <f t="shared" si="36"/>
        <v>-1.3951866062086316E-3</v>
      </c>
      <c r="N762" s="14">
        <f t="shared" si="37"/>
        <v>8.1892759821766692E-3</v>
      </c>
      <c r="O762" s="14">
        <f t="shared" si="38"/>
        <v>-3.8063634589108331E-3</v>
      </c>
      <c r="P762" s="14">
        <f t="array" ref="P762">MMULT(M762:O762,$I$9:$I$11)</f>
        <v>-5.6804350967993829E-4</v>
      </c>
    </row>
    <row r="763" spans="2:16" x14ac:dyDescent="0.25">
      <c r="B763" s="9">
        <v>36357</v>
      </c>
      <c r="C763" s="10">
        <v>5.6710000000000003E-2</v>
      </c>
      <c r="D763" s="11">
        <v>1418.78</v>
      </c>
      <c r="E763" s="11">
        <v>0.97866510080250535</v>
      </c>
      <c r="L763" s="9">
        <v>36357</v>
      </c>
      <c r="M763" s="14">
        <f t="shared" si="36"/>
        <v>-9.6053091163115223E-3</v>
      </c>
      <c r="N763" s="14">
        <f t="shared" si="37"/>
        <v>6.4982051900512872E-3</v>
      </c>
      <c r="O763" s="14">
        <f t="shared" si="38"/>
        <v>2.7402622822469969E-3</v>
      </c>
      <c r="P763" s="14">
        <f t="array" ref="P763">MMULT(M763:O763,$I$9:$I$11)</f>
        <v>3.7547493836790932E-3</v>
      </c>
    </row>
    <row r="764" spans="2:16" x14ac:dyDescent="0.25">
      <c r="B764" s="9">
        <v>36360</v>
      </c>
      <c r="C764" s="10">
        <v>5.6669999999999998E-2</v>
      </c>
      <c r="D764" s="11">
        <v>1407.65</v>
      </c>
      <c r="E764" s="11">
        <v>0.98289758207194799</v>
      </c>
      <c r="L764" s="9">
        <v>36360</v>
      </c>
      <c r="M764" s="14">
        <f t="shared" si="36"/>
        <v>-7.0534297302071725E-4</v>
      </c>
      <c r="N764" s="14">
        <f t="shared" si="37"/>
        <v>-7.8447680401471098E-3</v>
      </c>
      <c r="O764" s="14">
        <f t="shared" si="38"/>
        <v>4.3247493611164867E-3</v>
      </c>
      <c r="P764" s="14">
        <f t="array" ref="P764">MMULT(M764:O764,$I$9:$I$11)</f>
        <v>1.0394896493214401E-3</v>
      </c>
    </row>
    <row r="765" spans="2:16" x14ac:dyDescent="0.25">
      <c r="B765" s="9">
        <v>36361</v>
      </c>
      <c r="C765" s="10">
        <v>5.6369999999999996E-2</v>
      </c>
      <c r="D765" s="11">
        <v>1377.1</v>
      </c>
      <c r="E765" s="11">
        <v>0.96061479346781953</v>
      </c>
      <c r="L765" s="9">
        <v>36361</v>
      </c>
      <c r="M765" s="14">
        <f t="shared" si="36"/>
        <v>-5.2938062466914015E-3</v>
      </c>
      <c r="N765" s="14">
        <f t="shared" si="37"/>
        <v>-2.17028380634392E-2</v>
      </c>
      <c r="O765" s="14">
        <f t="shared" si="38"/>
        <v>-2.2670509125840344E-2</v>
      </c>
      <c r="P765" s="14">
        <f t="array" ref="P765">MMULT(M765:O765,$I$9:$I$11)</f>
        <v>-2.2409278491070363E-2</v>
      </c>
    </row>
    <row r="766" spans="2:16" x14ac:dyDescent="0.25">
      <c r="B766" s="9">
        <v>36362</v>
      </c>
      <c r="C766" s="10">
        <v>5.654E-2</v>
      </c>
      <c r="D766" s="11">
        <v>1379.29</v>
      </c>
      <c r="E766" s="11">
        <v>0.95229025807065992</v>
      </c>
      <c r="L766" s="9">
        <v>36362</v>
      </c>
      <c r="M766" s="14">
        <f t="shared" si="36"/>
        <v>3.0157885400035056E-3</v>
      </c>
      <c r="N766" s="14">
        <f t="shared" si="37"/>
        <v>1.5902984532714104E-3</v>
      </c>
      <c r="O766" s="14">
        <f t="shared" si="38"/>
        <v>-8.6658413484431707E-3</v>
      </c>
      <c r="P766" s="14">
        <f t="array" ref="P766">MMULT(M766:O766,$I$9:$I$11)</f>
        <v>-5.8971134048344948E-3</v>
      </c>
    </row>
    <row r="767" spans="2:16" x14ac:dyDescent="0.25">
      <c r="B767" s="9">
        <v>36363</v>
      </c>
      <c r="C767" s="10">
        <v>5.781E-2</v>
      </c>
      <c r="D767" s="11">
        <v>1360.97</v>
      </c>
      <c r="E767" s="11">
        <v>0.95315255206595817</v>
      </c>
      <c r="L767" s="9">
        <v>36363</v>
      </c>
      <c r="M767" s="14">
        <f t="shared" si="36"/>
        <v>2.246197382384163E-2</v>
      </c>
      <c r="N767" s="14">
        <f t="shared" si="37"/>
        <v>-1.328219591238966E-2</v>
      </c>
      <c r="O767" s="14">
        <f t="shared" si="38"/>
        <v>9.0549492446267976E-4</v>
      </c>
      <c r="P767" s="14">
        <f t="array" ref="P767">MMULT(M767:O767,$I$9:$I$11)</f>
        <v>-2.9245870395825883E-3</v>
      </c>
    </row>
    <row r="768" spans="2:16" x14ac:dyDescent="0.25">
      <c r="B768" s="9">
        <v>36364</v>
      </c>
      <c r="C768" s="10">
        <v>5.842E-2</v>
      </c>
      <c r="D768" s="11">
        <v>1356.94</v>
      </c>
      <c r="E768" s="11">
        <v>0.95538358650998378</v>
      </c>
      <c r="L768" s="9">
        <v>36364</v>
      </c>
      <c r="M768" s="14">
        <f t="shared" si="36"/>
        <v>1.0551807645736044E-2</v>
      </c>
      <c r="N768" s="14">
        <f t="shared" si="37"/>
        <v>-2.9611233164581474E-3</v>
      </c>
      <c r="O768" s="14">
        <f t="shared" si="38"/>
        <v>2.340689786949568E-3</v>
      </c>
      <c r="P768" s="14">
        <f t="array" ref="P768">MMULT(M768:O768,$I$9:$I$11)</f>
        <v>9.0942243149273695E-4</v>
      </c>
    </row>
    <row r="769" spans="2:16" x14ac:dyDescent="0.25">
      <c r="B769" s="9">
        <v>36367</v>
      </c>
      <c r="C769" s="10">
        <v>5.8459999999999998E-2</v>
      </c>
      <c r="D769" s="11">
        <v>1347.76</v>
      </c>
      <c r="E769" s="11">
        <v>0.93835038003190385</v>
      </c>
      <c r="L769" s="9">
        <v>36367</v>
      </c>
      <c r="M769" s="14">
        <f t="shared" si="36"/>
        <v>6.84697021567926E-4</v>
      </c>
      <c r="N769" s="14">
        <f t="shared" si="37"/>
        <v>-6.7652217489351241E-3</v>
      </c>
      <c r="O769" s="14">
        <f t="shared" si="38"/>
        <v>-1.7828657220606225E-2</v>
      </c>
      <c r="P769" s="14">
        <f t="array" ref="P769">MMULT(M769:O769,$I$9:$I$11)</f>
        <v>-1.4841993277354757E-2</v>
      </c>
    </row>
    <row r="770" spans="2:16" x14ac:dyDescent="0.25">
      <c r="B770" s="9">
        <v>36368</v>
      </c>
      <c r="C770" s="10">
        <v>5.8120000000000005E-2</v>
      </c>
      <c r="D770" s="11">
        <v>1362.84</v>
      </c>
      <c r="E770" s="11">
        <v>0.94099934130046115</v>
      </c>
      <c r="L770" s="9">
        <v>36368</v>
      </c>
      <c r="M770" s="14">
        <f t="shared" si="36"/>
        <v>-5.8159425248032193E-3</v>
      </c>
      <c r="N770" s="14">
        <f t="shared" si="37"/>
        <v>1.118893571555768E-2</v>
      </c>
      <c r="O770" s="14">
        <f t="shared" si="38"/>
        <v>2.8229980239014019E-3</v>
      </c>
      <c r="P770" s="14">
        <f t="array" ref="P770">MMULT(M770:O770,$I$9:$I$11)</f>
        <v>5.0814506102736644E-3</v>
      </c>
    </row>
    <row r="771" spans="2:16" x14ac:dyDescent="0.25">
      <c r="B771" s="9">
        <v>36369</v>
      </c>
      <c r="C771" s="10">
        <v>5.7939999999999998E-2</v>
      </c>
      <c r="D771" s="11">
        <v>1365.4</v>
      </c>
      <c r="E771" s="11">
        <v>0.94219625948084984</v>
      </c>
      <c r="L771" s="9">
        <v>36369</v>
      </c>
      <c r="M771" s="14">
        <f t="shared" si="36"/>
        <v>-3.0970406056436417E-3</v>
      </c>
      <c r="N771" s="14">
        <f t="shared" si="37"/>
        <v>1.8784303366501387E-3</v>
      </c>
      <c r="O771" s="14">
        <f t="shared" si="38"/>
        <v>1.2719649502990205E-3</v>
      </c>
      <c r="P771" s="14">
        <f t="array" ref="P771">MMULT(M771:O771,$I$9:$I$11)</f>
        <v>1.4356851895396226E-3</v>
      </c>
    </row>
    <row r="772" spans="2:16" x14ac:dyDescent="0.25">
      <c r="B772" s="9">
        <v>36370</v>
      </c>
      <c r="C772" s="10">
        <v>5.8760000000000007E-2</v>
      </c>
      <c r="D772" s="11">
        <v>1341.03</v>
      </c>
      <c r="E772" s="11">
        <v>0.93327111525898288</v>
      </c>
      <c r="L772" s="9">
        <v>36370</v>
      </c>
      <c r="M772" s="14">
        <f t="shared" si="36"/>
        <v>1.4152571625819954E-2</v>
      </c>
      <c r="N772" s="14">
        <f t="shared" si="37"/>
        <v>-1.7848249597187671E-2</v>
      </c>
      <c r="O772" s="14">
        <f t="shared" si="38"/>
        <v>-9.4727018198784707E-3</v>
      </c>
      <c r="P772" s="14">
        <f t="array" ref="P772">MMULT(M772:O772,$I$9:$I$11)</f>
        <v>-1.1733748726648284E-2</v>
      </c>
    </row>
    <row r="773" spans="2:16" x14ac:dyDescent="0.25">
      <c r="B773" s="9">
        <v>36371</v>
      </c>
      <c r="C773" s="10">
        <v>5.9020000000000003E-2</v>
      </c>
      <c r="D773" s="11">
        <v>1328.72</v>
      </c>
      <c r="E773" s="11">
        <v>0.93436113057696801</v>
      </c>
      <c r="L773" s="9">
        <v>36371</v>
      </c>
      <c r="M773" s="14">
        <f t="shared" si="36"/>
        <v>4.4247787610618428E-3</v>
      </c>
      <c r="N773" s="14">
        <f t="shared" si="37"/>
        <v>-9.1795112711869908E-3</v>
      </c>
      <c r="O773" s="14">
        <f t="shared" si="38"/>
        <v>1.1679514132210134E-3</v>
      </c>
      <c r="P773" s="14">
        <f t="array" ref="P773">MMULT(M773:O773,$I$9:$I$11)</f>
        <v>-1.6254298816574945E-3</v>
      </c>
    </row>
    <row r="774" spans="2:16" x14ac:dyDescent="0.25">
      <c r="B774" s="9">
        <v>36374</v>
      </c>
      <c r="C774" s="10">
        <v>5.9240000000000001E-2</v>
      </c>
      <c r="D774" s="11">
        <v>1328.05</v>
      </c>
      <c r="E774" s="11">
        <v>0.93791033577190019</v>
      </c>
      <c r="L774" s="9">
        <v>36374</v>
      </c>
      <c r="M774" s="14">
        <f t="shared" si="36"/>
        <v>3.7275499830564662E-3</v>
      </c>
      <c r="N774" s="14">
        <f t="shared" si="37"/>
        <v>-5.0424468661569577E-4</v>
      </c>
      <c r="O774" s="14">
        <f t="shared" si="38"/>
        <v>3.7985368598760783E-3</v>
      </c>
      <c r="P774" s="14">
        <f t="array" ref="P774">MMULT(M774:O774,$I$9:$I$11)</f>
        <v>2.6369661584876359E-3</v>
      </c>
    </row>
    <row r="775" spans="2:16" x14ac:dyDescent="0.25">
      <c r="B775" s="9">
        <v>36375</v>
      </c>
      <c r="C775" s="10">
        <v>5.9549999999999999E-2</v>
      </c>
      <c r="D775" s="11">
        <v>1322.18</v>
      </c>
      <c r="E775" s="11">
        <v>0.93777840296337989</v>
      </c>
      <c r="L775" s="9">
        <v>36375</v>
      </c>
      <c r="M775" s="14">
        <f t="shared" si="36"/>
        <v>5.2329507089803329E-3</v>
      </c>
      <c r="N775" s="14">
        <f t="shared" si="37"/>
        <v>-4.4200143066901454E-3</v>
      </c>
      <c r="O775" s="14">
        <f t="shared" si="38"/>
        <v>-1.4066676044433013E-4</v>
      </c>
      <c r="P775" s="14">
        <f t="array" ref="P775">MMULT(M775:O775,$I$9:$I$11)</f>
        <v>-1.2959112638122783E-3</v>
      </c>
    </row>
    <row r="776" spans="2:16" x14ac:dyDescent="0.25">
      <c r="B776" s="9">
        <v>36376</v>
      </c>
      <c r="C776" s="10">
        <v>5.9370000000000006E-2</v>
      </c>
      <c r="D776" s="11">
        <v>1305.33</v>
      </c>
      <c r="E776" s="11">
        <v>0.92910898448387991</v>
      </c>
      <c r="L776" s="9">
        <v>36376</v>
      </c>
      <c r="M776" s="14">
        <f t="shared" si="36"/>
        <v>-3.0226700251887451E-3</v>
      </c>
      <c r="N776" s="14">
        <f t="shared" si="37"/>
        <v>-1.2744104433587089E-2</v>
      </c>
      <c r="O776" s="14">
        <f t="shared" si="38"/>
        <v>-9.244634395614848E-3</v>
      </c>
      <c r="P776" s="14">
        <f t="array" ref="P776">MMULT(M776:O776,$I$9:$I$11)</f>
        <v>-1.0189344653984696E-2</v>
      </c>
    </row>
    <row r="777" spans="2:16" x14ac:dyDescent="0.25">
      <c r="B777" s="9">
        <v>36377</v>
      </c>
      <c r="C777" s="10">
        <v>5.8639999999999998E-2</v>
      </c>
      <c r="D777" s="11">
        <v>1313.71</v>
      </c>
      <c r="E777" s="11">
        <v>0.92584019998148315</v>
      </c>
      <c r="L777" s="9">
        <v>36377</v>
      </c>
      <c r="M777" s="14">
        <f t="shared" ref="M777:M840" si="39">C777/C776-1</f>
        <v>-1.2295772275560224E-2</v>
      </c>
      <c r="N777" s="14">
        <f t="shared" ref="N777:N840" si="40">D777/D776-1</f>
        <v>6.4198325327695649E-3</v>
      </c>
      <c r="O777" s="14">
        <f t="shared" ref="O777:O840" si="41">E777/E776-1</f>
        <v>-3.5181927599295948E-3</v>
      </c>
      <c r="P777" s="14">
        <f t="array" ref="P777">MMULT(M777:O777,$I$9:$I$11)</f>
        <v>-8.3534240256746264E-4</v>
      </c>
    </row>
    <row r="778" spans="2:16" x14ac:dyDescent="0.25">
      <c r="B778" s="9">
        <v>36378</v>
      </c>
      <c r="C778" s="10">
        <v>6.0380000000000003E-2</v>
      </c>
      <c r="D778" s="11">
        <v>1300.29</v>
      </c>
      <c r="E778" s="11">
        <v>0.92751472429624826</v>
      </c>
      <c r="L778" s="9">
        <v>36378</v>
      </c>
      <c r="M778" s="14">
        <f t="shared" si="39"/>
        <v>2.9672578444747799E-2</v>
      </c>
      <c r="N778" s="14">
        <f t="shared" si="40"/>
        <v>-1.0215344330179454E-2</v>
      </c>
      <c r="O778" s="14">
        <f t="shared" si="41"/>
        <v>1.8086537123778168E-3</v>
      </c>
      <c r="P778" s="14">
        <f t="array" ref="P778">MMULT(M778:O778,$I$9:$I$11)</f>
        <v>-1.4373218708293122E-3</v>
      </c>
    </row>
    <row r="779" spans="2:16" x14ac:dyDescent="0.25">
      <c r="B779" s="9">
        <v>36381</v>
      </c>
      <c r="C779" s="10">
        <v>6.1310000000000003E-2</v>
      </c>
      <c r="D779" s="11">
        <v>1297.8</v>
      </c>
      <c r="E779" s="11">
        <v>0.93457943925233644</v>
      </c>
      <c r="L779" s="9">
        <v>36381</v>
      </c>
      <c r="M779" s="14">
        <f t="shared" si="39"/>
        <v>1.5402451142762619E-2</v>
      </c>
      <c r="N779" s="14">
        <f t="shared" si="40"/>
        <v>-1.9149574325727503E-3</v>
      </c>
      <c r="O779" s="14">
        <f t="shared" si="41"/>
        <v>7.6168224299064669E-3</v>
      </c>
      <c r="P779" s="14">
        <f t="array" ref="P779">MMULT(M779:O779,$I$9:$I$11)</f>
        <v>5.0436413142238646E-3</v>
      </c>
    </row>
    <row r="780" spans="2:16" x14ac:dyDescent="0.25">
      <c r="B780" s="9">
        <v>36382</v>
      </c>
      <c r="C780" s="10">
        <v>6.1620000000000001E-2</v>
      </c>
      <c r="D780" s="11">
        <v>1281.43</v>
      </c>
      <c r="E780" s="11">
        <v>0.93183618319899353</v>
      </c>
      <c r="L780" s="9">
        <v>36382</v>
      </c>
      <c r="M780" s="14">
        <f t="shared" si="39"/>
        <v>5.0562714076007875E-3</v>
      </c>
      <c r="N780" s="14">
        <f t="shared" si="40"/>
        <v>-1.2613653875789721E-2</v>
      </c>
      <c r="O780" s="14">
        <f t="shared" si="41"/>
        <v>-2.9352839770768746E-3</v>
      </c>
      <c r="P780" s="14">
        <f t="array" ref="P780">MMULT(M780:O780,$I$9:$I$11)</f>
        <v>-5.5480382594110082E-3</v>
      </c>
    </row>
    <row r="781" spans="2:16" x14ac:dyDescent="0.25">
      <c r="B781" s="9">
        <v>36383</v>
      </c>
      <c r="C781" s="10">
        <v>6.0999999999999999E-2</v>
      </c>
      <c r="D781" s="11">
        <v>1301.93</v>
      </c>
      <c r="E781" s="11">
        <v>0.93813030629954508</v>
      </c>
      <c r="L781" s="9">
        <v>36383</v>
      </c>
      <c r="M781" s="14">
        <f t="shared" si="39"/>
        <v>-1.0061668289516379E-2</v>
      </c>
      <c r="N781" s="14">
        <f t="shared" si="40"/>
        <v>1.599775251086677E-2</v>
      </c>
      <c r="O781" s="14">
        <f t="shared" si="41"/>
        <v>6.7545382053568748E-3</v>
      </c>
      <c r="P781" s="14">
        <f t="array" ref="P781">MMULT(M781:O781,$I$9:$I$11)</f>
        <v>9.249818713540893E-3</v>
      </c>
    </row>
    <row r="782" spans="2:16" x14ac:dyDescent="0.25">
      <c r="B782" s="9">
        <v>36384</v>
      </c>
      <c r="C782" s="10">
        <v>6.08E-2</v>
      </c>
      <c r="D782" s="11">
        <v>1298.1600000000001</v>
      </c>
      <c r="E782" s="11">
        <v>0.93936405053778582</v>
      </c>
      <c r="L782" s="9">
        <v>36384</v>
      </c>
      <c r="M782" s="14">
        <f t="shared" si="39"/>
        <v>-3.2786885245901232E-3</v>
      </c>
      <c r="N782" s="14">
        <f t="shared" si="40"/>
        <v>-2.8957009977494952E-3</v>
      </c>
      <c r="O782" s="14">
        <f t="shared" si="41"/>
        <v>1.3151096707526566E-3</v>
      </c>
      <c r="P782" s="14">
        <f t="array" ref="P782">MMULT(M782:O782,$I$9:$I$11)</f>
        <v>1.783672522085569E-4</v>
      </c>
    </row>
    <row r="783" spans="2:16" x14ac:dyDescent="0.25">
      <c r="B783" s="9">
        <v>36385</v>
      </c>
      <c r="C783" s="10">
        <v>5.9790000000000003E-2</v>
      </c>
      <c r="D783" s="11">
        <v>1327.68</v>
      </c>
      <c r="E783" s="11">
        <v>0.94625283875851629</v>
      </c>
      <c r="L783" s="9">
        <v>36385</v>
      </c>
      <c r="M783" s="14">
        <f t="shared" si="39"/>
        <v>-1.6611842105263119E-2</v>
      </c>
      <c r="N783" s="14">
        <f t="shared" si="40"/>
        <v>2.273987798114252E-2</v>
      </c>
      <c r="O783" s="14">
        <f t="shared" si="41"/>
        <v>7.3334595003786696E-3</v>
      </c>
      <c r="P783" s="14">
        <f t="array" ref="P783">MMULT(M783:O783,$I$9:$I$11)</f>
        <v>1.1492546855202842E-2</v>
      </c>
    </row>
    <row r="784" spans="2:16" x14ac:dyDescent="0.25">
      <c r="B784" s="9">
        <v>36388</v>
      </c>
      <c r="C784" s="10">
        <v>5.9660000000000005E-2</v>
      </c>
      <c r="D784" s="11">
        <v>1330.77</v>
      </c>
      <c r="E784" s="11">
        <v>0.94616330778692403</v>
      </c>
      <c r="L784" s="9">
        <v>36388</v>
      </c>
      <c r="M784" s="14">
        <f t="shared" si="39"/>
        <v>-2.1742766348887832E-3</v>
      </c>
      <c r="N784" s="14">
        <f t="shared" si="40"/>
        <v>2.3273680404916064E-3</v>
      </c>
      <c r="O784" s="14">
        <f t="shared" si="41"/>
        <v>-9.461633077867404E-5</v>
      </c>
      <c r="P784" s="14">
        <f t="array" ref="P784">MMULT(M784:O784,$I$9:$I$11)</f>
        <v>5.592179516477866E-4</v>
      </c>
    </row>
    <row r="785" spans="2:16" x14ac:dyDescent="0.25">
      <c r="B785" s="9">
        <v>36389</v>
      </c>
      <c r="C785" s="10">
        <v>5.8789999999999995E-2</v>
      </c>
      <c r="D785" s="11">
        <v>1344.16</v>
      </c>
      <c r="E785" s="11">
        <v>0.95174645474445607</v>
      </c>
      <c r="L785" s="9">
        <v>36389</v>
      </c>
      <c r="M785" s="14">
        <f t="shared" si="39"/>
        <v>-1.4582634931277427E-2</v>
      </c>
      <c r="N785" s="14">
        <f t="shared" si="40"/>
        <v>1.0061843894888067E-2</v>
      </c>
      <c r="O785" s="14">
        <f t="shared" si="41"/>
        <v>5.9008280194157159E-3</v>
      </c>
      <c r="P785" s="14">
        <f t="array" ref="P785">MMULT(M785:O785,$I$9:$I$11)</f>
        <v>7.0241279305863526E-3</v>
      </c>
    </row>
    <row r="786" spans="2:16" x14ac:dyDescent="0.25">
      <c r="B786" s="9">
        <v>36390</v>
      </c>
      <c r="C786" s="10">
        <v>5.8700000000000002E-2</v>
      </c>
      <c r="D786" s="11">
        <v>1332.84</v>
      </c>
      <c r="E786" s="11">
        <v>0.94899169632265723</v>
      </c>
      <c r="L786" s="9">
        <v>36390</v>
      </c>
      <c r="M786" s="14">
        <f t="shared" si="39"/>
        <v>-1.5308725973803838E-3</v>
      </c>
      <c r="N786" s="14">
        <f t="shared" si="40"/>
        <v>-8.4216164742293431E-3</v>
      </c>
      <c r="O786" s="14">
        <f t="shared" si="41"/>
        <v>-2.8944246737840906E-3</v>
      </c>
      <c r="P786" s="14">
        <f t="array" ref="P786">MMULT(M786:O786,$I$9:$I$11)</f>
        <v>-4.3865348325222916E-3</v>
      </c>
    </row>
    <row r="787" spans="2:16" x14ac:dyDescent="0.25">
      <c r="B787" s="9">
        <v>36391</v>
      </c>
      <c r="C787" s="10">
        <v>5.8949999999999995E-2</v>
      </c>
      <c r="D787" s="11">
        <v>1323.59</v>
      </c>
      <c r="E787" s="11">
        <v>0.94099934130046115</v>
      </c>
      <c r="L787" s="9">
        <v>36391</v>
      </c>
      <c r="M787" s="14">
        <f t="shared" si="39"/>
        <v>4.2589437819420262E-3</v>
      </c>
      <c r="N787" s="14">
        <f t="shared" si="40"/>
        <v>-6.9400678250952641E-3</v>
      </c>
      <c r="O787" s="14">
        <f t="shared" si="41"/>
        <v>-8.4219441046391452E-3</v>
      </c>
      <c r="P787" s="14">
        <f t="array" ref="P787">MMULT(M787:O787,$I$9:$I$11)</f>
        <v>-8.0218996099786794E-3</v>
      </c>
    </row>
    <row r="788" spans="2:16" x14ac:dyDescent="0.25">
      <c r="B788" s="9">
        <v>36392</v>
      </c>
      <c r="C788" s="10">
        <v>5.8700000000000002E-2</v>
      </c>
      <c r="D788" s="11">
        <v>1336.61</v>
      </c>
      <c r="E788" s="11">
        <v>0.93918760272364399</v>
      </c>
      <c r="L788" s="9">
        <v>36392</v>
      </c>
      <c r="M788" s="14">
        <f t="shared" si="39"/>
        <v>-4.2408821034773947E-3</v>
      </c>
      <c r="N788" s="14">
        <f t="shared" si="40"/>
        <v>9.8368830226882586E-3</v>
      </c>
      <c r="O788" s="14">
        <f t="shared" si="41"/>
        <v>-1.9253345855836379E-3</v>
      </c>
      <c r="P788" s="14">
        <f t="array" ref="P788">MMULT(M788:O788,$I$9:$I$11)</f>
        <v>1.2499712507685623E-3</v>
      </c>
    </row>
    <row r="789" spans="2:16" x14ac:dyDescent="0.25">
      <c r="B789" s="9">
        <v>36395</v>
      </c>
      <c r="C789" s="10">
        <v>5.8909999999999997E-2</v>
      </c>
      <c r="D789" s="11">
        <v>1360.22</v>
      </c>
      <c r="E789" s="11">
        <v>0.94522425445436931</v>
      </c>
      <c r="L789" s="9">
        <v>36395</v>
      </c>
      <c r="M789" s="14">
        <f t="shared" si="39"/>
        <v>3.5775127768311599E-3</v>
      </c>
      <c r="N789" s="14">
        <f t="shared" si="40"/>
        <v>1.7664090497602203E-2</v>
      </c>
      <c r="O789" s="14">
        <f t="shared" si="41"/>
        <v>6.4275249302898629E-3</v>
      </c>
      <c r="P789" s="14">
        <f t="array" ref="P789">MMULT(M789:O789,$I$9:$I$11)</f>
        <v>9.460926744021745E-3</v>
      </c>
    </row>
    <row r="790" spans="2:16" x14ac:dyDescent="0.25">
      <c r="B790" s="9">
        <v>36396</v>
      </c>
      <c r="C790" s="10">
        <v>5.8200000000000002E-2</v>
      </c>
      <c r="D790" s="11">
        <v>1363.5</v>
      </c>
      <c r="E790" s="11">
        <v>0.95025419299662672</v>
      </c>
      <c r="L790" s="9">
        <v>36396</v>
      </c>
      <c r="M790" s="14">
        <f t="shared" si="39"/>
        <v>-1.2052283143778597E-2</v>
      </c>
      <c r="N790" s="14">
        <f t="shared" si="40"/>
        <v>2.4113746305745032E-3</v>
      </c>
      <c r="O790" s="14">
        <f t="shared" si="41"/>
        <v>5.3214234807812399E-3</v>
      </c>
      <c r="P790" s="14">
        <f t="array" ref="P790">MMULT(M790:O790,$I$9:$I$11)</f>
        <v>4.5358322423031212E-3</v>
      </c>
    </row>
    <row r="791" spans="2:16" x14ac:dyDescent="0.25">
      <c r="B791" s="9">
        <v>36397</v>
      </c>
      <c r="C791" s="10">
        <v>5.713E-2</v>
      </c>
      <c r="D791" s="11">
        <v>1381.79</v>
      </c>
      <c r="E791" s="11">
        <v>0.95643441251016215</v>
      </c>
      <c r="L791" s="9">
        <v>36397</v>
      </c>
      <c r="M791" s="14">
        <f t="shared" si="39"/>
        <v>-1.8384879725085956E-2</v>
      </c>
      <c r="N791" s="14">
        <f t="shared" si="40"/>
        <v>1.3414008067473393E-2</v>
      </c>
      <c r="O791" s="14">
        <f t="shared" si="41"/>
        <v>6.5037540050689735E-3</v>
      </c>
      <c r="P791" s="14">
        <f t="array" ref="P791">MMULT(M791:O791,$I$9:$I$11)</f>
        <v>8.3692330147072756E-3</v>
      </c>
    </row>
    <row r="792" spans="2:16" x14ac:dyDescent="0.25">
      <c r="B792" s="9">
        <v>36398</v>
      </c>
      <c r="C792" s="10">
        <v>5.7660000000000003E-2</v>
      </c>
      <c r="D792" s="11">
        <v>1362.01</v>
      </c>
      <c r="E792" s="11">
        <v>0.95904862376522493</v>
      </c>
      <c r="L792" s="9">
        <v>36398</v>
      </c>
      <c r="M792" s="14">
        <f t="shared" si="39"/>
        <v>9.2770873446526014E-3</v>
      </c>
      <c r="N792" s="14">
        <f t="shared" si="40"/>
        <v>-1.4314765630088488E-2</v>
      </c>
      <c r="O792" s="14">
        <f t="shared" si="41"/>
        <v>2.733288577730919E-3</v>
      </c>
      <c r="P792" s="14">
        <f t="array" ref="P792">MMULT(M792:O792,$I$9:$I$11)</f>
        <v>-1.8689716275613402E-3</v>
      </c>
    </row>
    <row r="793" spans="2:16" x14ac:dyDescent="0.25">
      <c r="B793" s="9">
        <v>36399</v>
      </c>
      <c r="C793" s="10">
        <v>5.8609999999999995E-2</v>
      </c>
      <c r="D793" s="11">
        <v>1348.27</v>
      </c>
      <c r="E793" s="11">
        <v>0.9565258979386867</v>
      </c>
      <c r="L793" s="9">
        <v>36399</v>
      </c>
      <c r="M793" s="14">
        <f t="shared" si="39"/>
        <v>1.6475893166840061E-2</v>
      </c>
      <c r="N793" s="14">
        <f t="shared" si="40"/>
        <v>-1.0088031659092112E-2</v>
      </c>
      <c r="O793" s="14">
        <f t="shared" si="41"/>
        <v>-2.6304462193313949E-3</v>
      </c>
      <c r="P793" s="14">
        <f t="array" ref="P793">MMULT(M793:O793,$I$9:$I$11)</f>
        <v>-4.6436817639037139E-3</v>
      </c>
    </row>
    <row r="794" spans="2:16" x14ac:dyDescent="0.25">
      <c r="B794" s="9">
        <v>36402</v>
      </c>
      <c r="C794" s="10">
        <v>5.9569999999999998E-2</v>
      </c>
      <c r="D794" s="11">
        <v>1324.02</v>
      </c>
      <c r="E794" s="11">
        <v>0.95716678631251484</v>
      </c>
      <c r="L794" s="9">
        <v>36402</v>
      </c>
      <c r="M794" s="14">
        <f t="shared" si="39"/>
        <v>1.6379457430472755E-2</v>
      </c>
      <c r="N794" s="14">
        <f t="shared" si="40"/>
        <v>-1.798601170388725E-2</v>
      </c>
      <c r="O794" s="14">
        <f t="shared" si="41"/>
        <v>6.7001675041855613E-4</v>
      </c>
      <c r="P794" s="14">
        <f t="array" ref="P794">MMULT(M794:O794,$I$9:$I$11)</f>
        <v>-4.3663291162358581E-3</v>
      </c>
    </row>
    <row r="795" spans="2:16" x14ac:dyDescent="0.25">
      <c r="B795" s="9">
        <v>36403</v>
      </c>
      <c r="C795" s="10">
        <v>5.9740000000000001E-2</v>
      </c>
      <c r="D795" s="11">
        <v>1320.41</v>
      </c>
      <c r="E795" s="11">
        <v>0.94674556213017758</v>
      </c>
      <c r="L795" s="9">
        <v>36403</v>
      </c>
      <c r="M795" s="14">
        <f t="shared" si="39"/>
        <v>2.8537854624812731E-3</v>
      </c>
      <c r="N795" s="14">
        <f t="shared" si="40"/>
        <v>-2.7265449162399147E-3</v>
      </c>
      <c r="O795" s="14">
        <f t="shared" si="41"/>
        <v>-1.0887573964496911E-2</v>
      </c>
      <c r="P795" s="14">
        <f t="array" ref="P795">MMULT(M795:O795,$I$9:$I$11)</f>
        <v>-8.6844381247598388E-3</v>
      </c>
    </row>
    <row r="796" spans="2:16" x14ac:dyDescent="0.25">
      <c r="B796" s="9">
        <v>36404</v>
      </c>
      <c r="C796" s="10">
        <v>5.9829999999999994E-2</v>
      </c>
      <c r="D796" s="11">
        <v>1331.07</v>
      </c>
      <c r="E796" s="11">
        <v>0.94393052671323396</v>
      </c>
      <c r="L796" s="9">
        <v>36404</v>
      </c>
      <c r="M796" s="14">
        <f t="shared" si="39"/>
        <v>1.5065282892532394E-3</v>
      </c>
      <c r="N796" s="14">
        <f t="shared" si="40"/>
        <v>8.0732499753863873E-3</v>
      </c>
      <c r="O796" s="14">
        <f t="shared" si="41"/>
        <v>-2.973381159146693E-3</v>
      </c>
      <c r="P796" s="14">
        <f t="array" ref="P796">MMULT(M796:O796,$I$9:$I$11)</f>
        <v>8.7463172949060752E-6</v>
      </c>
    </row>
    <row r="797" spans="2:16" x14ac:dyDescent="0.25">
      <c r="B797" s="9">
        <v>36405</v>
      </c>
      <c r="C797" s="10">
        <v>6.0080000000000001E-2</v>
      </c>
      <c r="D797" s="11">
        <v>1319.11</v>
      </c>
      <c r="E797" s="11">
        <v>0.93375040851580371</v>
      </c>
      <c r="L797" s="9">
        <v>36405</v>
      </c>
      <c r="M797" s="14">
        <f t="shared" si="39"/>
        <v>4.1785057663381586E-3</v>
      </c>
      <c r="N797" s="14">
        <f t="shared" si="40"/>
        <v>-8.9852524660611888E-3</v>
      </c>
      <c r="O797" s="14">
        <f t="shared" si="41"/>
        <v>-1.0784817218357556E-2</v>
      </c>
      <c r="P797" s="14">
        <f t="array" ref="P797">MMULT(M797:O797,$I$9:$I$11)</f>
        <v>-1.0299010149387687E-2</v>
      </c>
    </row>
    <row r="798" spans="2:16" x14ac:dyDescent="0.25">
      <c r="B798" s="9">
        <v>36406</v>
      </c>
      <c r="C798" s="10">
        <v>5.8860000000000003E-2</v>
      </c>
      <c r="D798" s="11">
        <v>1357.24</v>
      </c>
      <c r="E798" s="11">
        <v>0.94312930302744502</v>
      </c>
      <c r="L798" s="9">
        <v>36406</v>
      </c>
      <c r="M798" s="14">
        <f t="shared" si="39"/>
        <v>-2.0306258322236981E-2</v>
      </c>
      <c r="N798" s="14">
        <f t="shared" si="40"/>
        <v>2.8905853188892605E-2</v>
      </c>
      <c r="O798" s="14">
        <f t="shared" si="41"/>
        <v>1.0044327077242343E-2</v>
      </c>
      <c r="P798" s="14">
        <f t="array" ref="P798">MMULT(M798:O798,$I$9:$I$11)</f>
        <v>1.5136148699613406E-2</v>
      </c>
    </row>
    <row r="799" spans="2:16" x14ac:dyDescent="0.25">
      <c r="B799" s="9">
        <v>36409</v>
      </c>
      <c r="C799" s="10">
        <v>5.8860000000000003E-2</v>
      </c>
      <c r="D799" s="11">
        <v>1357.24</v>
      </c>
      <c r="E799" s="11">
        <v>0.94535829079221023</v>
      </c>
      <c r="L799" s="9">
        <v>36409</v>
      </c>
      <c r="M799" s="14">
        <f t="shared" si="39"/>
        <v>0</v>
      </c>
      <c r="N799" s="14">
        <f t="shared" si="40"/>
        <v>0</v>
      </c>
      <c r="O799" s="14">
        <f t="shared" si="41"/>
        <v>2.3633957269806327E-3</v>
      </c>
      <c r="P799" s="14">
        <f t="array" ref="P799">MMULT(M799:O799,$I$9:$I$11)</f>
        <v>1.7253779232448954E-3</v>
      </c>
    </row>
    <row r="800" spans="2:16" x14ac:dyDescent="0.25">
      <c r="B800" s="9">
        <v>36410</v>
      </c>
      <c r="C800" s="10">
        <v>5.9490000000000001E-2</v>
      </c>
      <c r="D800" s="11">
        <v>1350.45</v>
      </c>
      <c r="E800" s="11">
        <v>0.94379689490821572</v>
      </c>
      <c r="L800" s="9">
        <v>36410</v>
      </c>
      <c r="M800" s="14">
        <f t="shared" si="39"/>
        <v>1.0703363914372988E-2</v>
      </c>
      <c r="N800" s="14">
        <f t="shared" si="40"/>
        <v>-5.0027997995932827E-3</v>
      </c>
      <c r="O800" s="14">
        <f t="shared" si="41"/>
        <v>-1.6516445660893497E-3</v>
      </c>
      <c r="P800" s="14">
        <f t="array" ref="P800">MMULT(M800:O800,$I$9:$I$11)</f>
        <v>-2.5563160426639634E-3</v>
      </c>
    </row>
    <row r="801" spans="2:16" x14ac:dyDescent="0.25">
      <c r="B801" s="9">
        <v>36411</v>
      </c>
      <c r="C801" s="10">
        <v>5.9279999999999999E-2</v>
      </c>
      <c r="D801" s="11">
        <v>1344.15</v>
      </c>
      <c r="E801" s="11">
        <v>0.94344072833624237</v>
      </c>
      <c r="L801" s="9">
        <v>36411</v>
      </c>
      <c r="M801" s="14">
        <f t="shared" si="39"/>
        <v>-3.5300050428643814E-3</v>
      </c>
      <c r="N801" s="14">
        <f t="shared" si="40"/>
        <v>-4.6651116294568196E-3</v>
      </c>
      <c r="O801" s="14">
        <f t="shared" si="41"/>
        <v>-3.7737629133438588E-4</v>
      </c>
      <c r="P801" s="14">
        <f t="array" ref="P801">MMULT(M801:O801,$I$9:$I$11)</f>
        <v>-1.5348851470028053E-3</v>
      </c>
    </row>
    <row r="802" spans="2:16" x14ac:dyDescent="0.25">
      <c r="B802" s="9">
        <v>36412</v>
      </c>
      <c r="C802" s="10">
        <v>5.9660000000000005E-2</v>
      </c>
      <c r="D802" s="11">
        <v>1347.66</v>
      </c>
      <c r="E802" s="11">
        <v>0.94674556213017758</v>
      </c>
      <c r="L802" s="9">
        <v>36412</v>
      </c>
      <c r="M802" s="14">
        <f t="shared" si="39"/>
        <v>6.4102564102566095E-3</v>
      </c>
      <c r="N802" s="14">
        <f t="shared" si="40"/>
        <v>2.6113157013725186E-3</v>
      </c>
      <c r="O802" s="14">
        <f t="shared" si="41"/>
        <v>3.5029585798815877E-3</v>
      </c>
      <c r="P802" s="14">
        <f t="array" ref="P802">MMULT(M802:O802,$I$9:$I$11)</f>
        <v>3.2622523686582357E-3</v>
      </c>
    </row>
    <row r="803" spans="2:16" x14ac:dyDescent="0.25">
      <c r="B803" s="9">
        <v>36413</v>
      </c>
      <c r="C803" s="10">
        <v>5.9020000000000003E-2</v>
      </c>
      <c r="D803" s="11">
        <v>1351.66</v>
      </c>
      <c r="E803" s="11">
        <v>0.95497302201212808</v>
      </c>
      <c r="L803" s="9">
        <v>36413</v>
      </c>
      <c r="M803" s="14">
        <f t="shared" si="39"/>
        <v>-1.0727455581629242E-2</v>
      </c>
      <c r="N803" s="14">
        <f t="shared" si="40"/>
        <v>2.9681076829466413E-3</v>
      </c>
      <c r="O803" s="14">
        <f t="shared" si="41"/>
        <v>8.690254500310246E-3</v>
      </c>
      <c r="P803" s="14">
        <f t="array" ref="P803">MMULT(M803:O803,$I$9:$I$11)</f>
        <v>7.1455146569612427E-3</v>
      </c>
    </row>
    <row r="804" spans="2:16" x14ac:dyDescent="0.25">
      <c r="B804" s="9">
        <v>36416</v>
      </c>
      <c r="C804" s="10">
        <v>5.8979999999999998E-2</v>
      </c>
      <c r="D804" s="11">
        <v>1344.13</v>
      </c>
      <c r="E804" s="11">
        <v>0.9626492106276473</v>
      </c>
      <c r="L804" s="9">
        <v>36416</v>
      </c>
      <c r="M804" s="14">
        <f t="shared" si="39"/>
        <v>-6.7773636055579178E-4</v>
      </c>
      <c r="N804" s="14">
        <f t="shared" si="40"/>
        <v>-5.5709276001361108E-3</v>
      </c>
      <c r="O804" s="14">
        <f t="shared" si="41"/>
        <v>8.0381209087410088E-3</v>
      </c>
      <c r="P804" s="14">
        <f t="array" ref="P804">MMULT(M804:O804,$I$9:$I$11)</f>
        <v>4.3642481241525123E-3</v>
      </c>
    </row>
    <row r="805" spans="2:16" x14ac:dyDescent="0.25">
      <c r="B805" s="9">
        <v>36417</v>
      </c>
      <c r="C805" s="10">
        <v>5.9610000000000003E-2</v>
      </c>
      <c r="D805" s="11">
        <v>1336.29</v>
      </c>
      <c r="E805" s="11">
        <v>0.95877277085330781</v>
      </c>
      <c r="L805" s="9">
        <v>36417</v>
      </c>
      <c r="M805" s="14">
        <f t="shared" si="39"/>
        <v>1.068158697863697E-2</v>
      </c>
      <c r="N805" s="14">
        <f t="shared" si="40"/>
        <v>-5.8327691517934266E-3</v>
      </c>
      <c r="O805" s="14">
        <f t="shared" si="41"/>
        <v>-4.0268456375838202E-3</v>
      </c>
      <c r="P805" s="14">
        <f t="array" ref="P805">MMULT(M805:O805,$I$9:$I$11)</f>
        <v>-4.5143693057943697E-3</v>
      </c>
    </row>
    <row r="806" spans="2:16" x14ac:dyDescent="0.25">
      <c r="B806" s="9">
        <v>36418</v>
      </c>
      <c r="C806" s="10">
        <v>5.9229999999999998E-2</v>
      </c>
      <c r="D806" s="11">
        <v>1317.97</v>
      </c>
      <c r="E806" s="11">
        <v>0.96195469193400995</v>
      </c>
      <c r="L806" s="9">
        <v>36418</v>
      </c>
      <c r="M806" s="14">
        <f t="shared" si="39"/>
        <v>-6.3747693340044931E-3</v>
      </c>
      <c r="N806" s="14">
        <f t="shared" si="40"/>
        <v>-1.3709598964296577E-2</v>
      </c>
      <c r="O806" s="14">
        <f t="shared" si="41"/>
        <v>3.3187436871724429E-3</v>
      </c>
      <c r="P806" s="14">
        <f t="array" ref="P806">MMULT(M806:O806,$I$9:$I$11)</f>
        <v>-1.2781952239551038E-3</v>
      </c>
    </row>
    <row r="807" spans="2:16" x14ac:dyDescent="0.25">
      <c r="B807" s="9">
        <v>36419</v>
      </c>
      <c r="C807" s="10">
        <v>5.8979999999999998E-2</v>
      </c>
      <c r="D807" s="11">
        <v>1318.48</v>
      </c>
      <c r="E807" s="11">
        <v>0.96139979810604248</v>
      </c>
      <c r="L807" s="9">
        <v>36419</v>
      </c>
      <c r="M807" s="14">
        <f t="shared" si="39"/>
        <v>-4.2208340368057318E-3</v>
      </c>
      <c r="N807" s="14">
        <f t="shared" si="40"/>
        <v>3.8695873198935082E-4</v>
      </c>
      <c r="O807" s="14">
        <f t="shared" si="41"/>
        <v>-5.7683987886358867E-4</v>
      </c>
      <c r="P807" s="14">
        <f t="array" ref="P807">MMULT(M807:O807,$I$9:$I$11)</f>
        <v>-3.1665464372925006E-4</v>
      </c>
    </row>
    <row r="808" spans="2:16" x14ac:dyDescent="0.25">
      <c r="B808" s="9">
        <v>36420</v>
      </c>
      <c r="C808" s="10">
        <v>5.8689999999999999E-2</v>
      </c>
      <c r="D808" s="11">
        <v>1335.42</v>
      </c>
      <c r="E808" s="11">
        <v>0.9612149757293218</v>
      </c>
      <c r="L808" s="9">
        <v>36420</v>
      </c>
      <c r="M808" s="14">
        <f t="shared" si="39"/>
        <v>-4.9169209901661626E-3</v>
      </c>
      <c r="N808" s="14">
        <f t="shared" si="40"/>
        <v>1.2848128147563864E-2</v>
      </c>
      <c r="O808" s="14">
        <f t="shared" si="41"/>
        <v>-1.9224299514597476E-4</v>
      </c>
      <c r="P808" s="14">
        <f t="array" ref="P808">MMULT(M808:O808,$I$9:$I$11)</f>
        <v>3.3281107320734023E-3</v>
      </c>
    </row>
    <row r="809" spans="2:16" x14ac:dyDescent="0.25">
      <c r="B809" s="9">
        <v>36423</v>
      </c>
      <c r="C809" s="10">
        <v>5.9059999999999994E-2</v>
      </c>
      <c r="D809" s="11">
        <v>1335.53</v>
      </c>
      <c r="E809" s="11">
        <v>0.96056865664473368</v>
      </c>
      <c r="L809" s="9">
        <v>36423</v>
      </c>
      <c r="M809" s="14">
        <f t="shared" si="39"/>
        <v>6.3043107854829916E-3</v>
      </c>
      <c r="N809" s="14">
        <f t="shared" si="40"/>
        <v>8.237108924524783E-5</v>
      </c>
      <c r="O809" s="14">
        <f t="shared" si="41"/>
        <v>-6.7239805965124688E-4</v>
      </c>
      <c r="P809" s="14">
        <f t="array" ref="P809">MMULT(M809:O809,$I$9:$I$11)</f>
        <v>-4.6864201947187004E-4</v>
      </c>
    </row>
    <row r="810" spans="2:16" x14ac:dyDescent="0.25">
      <c r="B810" s="9">
        <v>36424</v>
      </c>
      <c r="C810" s="10">
        <v>5.9359999999999996E-2</v>
      </c>
      <c r="D810" s="11">
        <v>1307.58</v>
      </c>
      <c r="E810" s="11">
        <v>0.95460837191542169</v>
      </c>
      <c r="L810" s="9">
        <v>36424</v>
      </c>
      <c r="M810" s="14">
        <f t="shared" si="39"/>
        <v>5.0795800880460984E-3</v>
      </c>
      <c r="N810" s="14">
        <f t="shared" si="40"/>
        <v>-2.0928021085262039E-2</v>
      </c>
      <c r="O810" s="14">
        <f t="shared" si="41"/>
        <v>-6.2049544174502813E-3</v>
      </c>
      <c r="P810" s="14">
        <f t="array" ref="P810">MMULT(M810:O810,$I$9:$I$11)</f>
        <v>-1.0179565419922097E-2</v>
      </c>
    </row>
    <row r="811" spans="2:16" x14ac:dyDescent="0.25">
      <c r="B811" s="9">
        <v>36425</v>
      </c>
      <c r="C811" s="10">
        <v>5.9150000000000001E-2</v>
      </c>
      <c r="D811" s="11">
        <v>1310.51</v>
      </c>
      <c r="E811" s="11">
        <v>0.95210892126059221</v>
      </c>
      <c r="L811" s="9">
        <v>36425</v>
      </c>
      <c r="M811" s="14">
        <f t="shared" si="39"/>
        <v>-3.5377358490564781E-3</v>
      </c>
      <c r="N811" s="14">
        <f t="shared" si="40"/>
        <v>2.2407806788113938E-3</v>
      </c>
      <c r="O811" s="14">
        <f t="shared" si="41"/>
        <v>-2.6182995334665948E-3</v>
      </c>
      <c r="P811" s="14">
        <f t="array" ref="P811">MMULT(M811:O811,$I$9:$I$11)</f>
        <v>-1.3065515050591676E-3</v>
      </c>
    </row>
    <row r="812" spans="2:16" x14ac:dyDescent="0.25">
      <c r="B812" s="9">
        <v>36426</v>
      </c>
      <c r="C812" s="10">
        <v>5.7980000000000004E-2</v>
      </c>
      <c r="D812" s="11">
        <v>1280.4100000000001</v>
      </c>
      <c r="E812" s="11">
        <v>0.95863490389685091</v>
      </c>
      <c r="L812" s="9">
        <v>36426</v>
      </c>
      <c r="M812" s="14">
        <f t="shared" si="39"/>
        <v>-1.978021978021971E-2</v>
      </c>
      <c r="N812" s="14">
        <f t="shared" si="40"/>
        <v>-2.2968157434891667E-2</v>
      </c>
      <c r="O812" s="14">
        <f t="shared" si="41"/>
        <v>6.8542395628625741E-3</v>
      </c>
      <c r="P812" s="14">
        <f t="array" ref="P812">MMULT(M812:O812,$I$9:$I$11)</f>
        <v>-1.1965578628189578E-3</v>
      </c>
    </row>
    <row r="813" spans="2:16" x14ac:dyDescent="0.25">
      <c r="B813" s="9">
        <v>36427</v>
      </c>
      <c r="C813" s="10">
        <v>5.7729999999999997E-2</v>
      </c>
      <c r="D813" s="11">
        <v>1277.3599999999999</v>
      </c>
      <c r="E813" s="11">
        <v>0.95538358650998378</v>
      </c>
      <c r="L813" s="9">
        <v>36427</v>
      </c>
      <c r="M813" s="14">
        <f t="shared" si="39"/>
        <v>-4.3118316660918365E-3</v>
      </c>
      <c r="N813" s="14">
        <f t="shared" si="40"/>
        <v>-2.3820494997697228E-3</v>
      </c>
      <c r="O813" s="14">
        <f t="shared" si="41"/>
        <v>-3.3916117321104444E-3</v>
      </c>
      <c r="P813" s="14">
        <f t="array" ref="P813">MMULT(M813:O813,$I$9:$I$11)</f>
        <v>-3.1190722369851521E-3</v>
      </c>
    </row>
    <row r="814" spans="2:16" x14ac:dyDescent="0.25">
      <c r="B814" s="9">
        <v>36430</v>
      </c>
      <c r="C814" s="10">
        <v>5.8310000000000001E-2</v>
      </c>
      <c r="D814" s="11">
        <v>1283.31</v>
      </c>
      <c r="E814" s="11">
        <v>0.9574875526618154</v>
      </c>
      <c r="L814" s="9">
        <v>36430</v>
      </c>
      <c r="M814" s="14">
        <f t="shared" si="39"/>
        <v>1.0046769443963433E-2</v>
      </c>
      <c r="N814" s="14">
        <f t="shared" si="40"/>
        <v>4.6580447172293038E-3</v>
      </c>
      <c r="O814" s="14">
        <f t="shared" si="41"/>
        <v>2.2022213711221372E-3</v>
      </c>
      <c r="P814" s="14">
        <f t="array" ref="P814">MMULT(M814:O814,$I$9:$I$11)</f>
        <v>2.865190758668586E-3</v>
      </c>
    </row>
    <row r="815" spans="2:16" x14ac:dyDescent="0.25">
      <c r="B815" s="9">
        <v>36431</v>
      </c>
      <c r="C815" s="10">
        <v>5.91E-2</v>
      </c>
      <c r="D815" s="11">
        <v>1282.2</v>
      </c>
      <c r="E815" s="11">
        <v>0.95242630601457223</v>
      </c>
      <c r="L815" s="9">
        <v>36431</v>
      </c>
      <c r="M815" s="14">
        <f t="shared" si="39"/>
        <v>1.3548276453438479E-2</v>
      </c>
      <c r="N815" s="14">
        <f t="shared" si="40"/>
        <v>-8.6495079131299057E-4</v>
      </c>
      <c r="O815" s="14">
        <f t="shared" si="41"/>
        <v>-5.285965998380715E-3</v>
      </c>
      <c r="P815" s="14">
        <f t="array" ref="P815">MMULT(M815:O815,$I$9:$I$11)</f>
        <v>-4.0924771634409871E-3</v>
      </c>
    </row>
    <row r="816" spans="2:16" x14ac:dyDescent="0.25">
      <c r="B816" s="9">
        <v>36432</v>
      </c>
      <c r="C816" s="10">
        <v>5.9610000000000003E-2</v>
      </c>
      <c r="D816" s="11">
        <v>1268.3699999999999</v>
      </c>
      <c r="E816" s="11">
        <v>0.94268476621417796</v>
      </c>
      <c r="L816" s="9">
        <v>36432</v>
      </c>
      <c r="M816" s="14">
        <f t="shared" si="39"/>
        <v>8.6294416243655192E-3</v>
      </c>
      <c r="N816" s="14">
        <f t="shared" si="40"/>
        <v>-1.078614880673856E-2</v>
      </c>
      <c r="O816" s="14">
        <f t="shared" si="41"/>
        <v>-1.0228129713424017E-2</v>
      </c>
      <c r="P816" s="14">
        <f t="array" ref="P816">MMULT(M816:O816,$I$9:$I$11)</f>
        <v>-1.0378771483777895E-2</v>
      </c>
    </row>
    <row r="817" spans="2:16" x14ac:dyDescent="0.25">
      <c r="B817" s="9">
        <v>36433</v>
      </c>
      <c r="C817" s="10">
        <v>5.8810000000000001E-2</v>
      </c>
      <c r="D817" s="11">
        <v>1282.71</v>
      </c>
      <c r="E817" s="11">
        <v>0.93901122118409308</v>
      </c>
      <c r="L817" s="9">
        <v>36433</v>
      </c>
      <c r="M817" s="14">
        <f t="shared" si="39"/>
        <v>-1.3420567018956553E-2</v>
      </c>
      <c r="N817" s="14">
        <f t="shared" si="40"/>
        <v>1.1305849239575227E-2</v>
      </c>
      <c r="O817" s="14">
        <f t="shared" si="41"/>
        <v>-3.8968965679140322E-3</v>
      </c>
      <c r="P817" s="14">
        <f t="array" ref="P817">MMULT(M817:O817,$I$9:$I$11)</f>
        <v>2.0720770041295902E-4</v>
      </c>
    </row>
    <row r="818" spans="2:16" x14ac:dyDescent="0.25">
      <c r="B818" s="9">
        <v>36434</v>
      </c>
      <c r="C818" s="10">
        <v>5.9729999999999998E-2</v>
      </c>
      <c r="D818" s="11">
        <v>1282.81</v>
      </c>
      <c r="E818" s="11">
        <v>0.93471047343085478</v>
      </c>
      <c r="L818" s="9">
        <v>36434</v>
      </c>
      <c r="M818" s="14">
        <f t="shared" si="39"/>
        <v>1.5643598027546224E-2</v>
      </c>
      <c r="N818" s="14">
        <f t="shared" si="40"/>
        <v>7.7959944180694407E-5</v>
      </c>
      <c r="O818" s="14">
        <f t="shared" si="41"/>
        <v>-4.5800813198111356E-3</v>
      </c>
      <c r="P818" s="14">
        <f t="array" ref="P818">MMULT(M818:O818,$I$9:$I$11)</f>
        <v>-3.3226053825252174E-3</v>
      </c>
    </row>
    <row r="819" spans="2:16" x14ac:dyDescent="0.25">
      <c r="B819" s="9">
        <v>36437</v>
      </c>
      <c r="C819" s="10">
        <v>5.9310000000000002E-2</v>
      </c>
      <c r="D819" s="11">
        <v>1304.5999999999999</v>
      </c>
      <c r="E819" s="11">
        <v>0.93462311322959024</v>
      </c>
      <c r="L819" s="9">
        <v>36437</v>
      </c>
      <c r="M819" s="14">
        <f t="shared" si="39"/>
        <v>-7.0316423907583747E-3</v>
      </c>
      <c r="N819" s="14">
        <f t="shared" si="40"/>
        <v>1.6986147597851664E-2</v>
      </c>
      <c r="O819" s="14">
        <f t="shared" si="41"/>
        <v>-9.3462311322900504E-5</v>
      </c>
      <c r="P819" s="14">
        <f t="array" ref="P819">MMULT(M819:O819,$I$9:$I$11)</f>
        <v>4.5173166109341552E-3</v>
      </c>
    </row>
    <row r="820" spans="2:16" x14ac:dyDescent="0.25">
      <c r="B820" s="9">
        <v>36438</v>
      </c>
      <c r="C820" s="10">
        <v>6.037E-2</v>
      </c>
      <c r="D820" s="11">
        <v>1301.3499999999999</v>
      </c>
      <c r="E820" s="11">
        <v>0.93619809951785804</v>
      </c>
      <c r="L820" s="9">
        <v>36438</v>
      </c>
      <c r="M820" s="14">
        <f t="shared" si="39"/>
        <v>1.7872196931377538E-2</v>
      </c>
      <c r="N820" s="14">
        <f t="shared" si="40"/>
        <v>-2.4911850375594069E-3</v>
      </c>
      <c r="O820" s="14">
        <f t="shared" si="41"/>
        <v>1.6851565791320411E-3</v>
      </c>
      <c r="P820" s="14">
        <f t="array" ref="P820">MMULT(M820:O820,$I$9:$I$11)</f>
        <v>5.5771936008629827E-4</v>
      </c>
    </row>
    <row r="821" spans="2:16" x14ac:dyDescent="0.25">
      <c r="B821" s="9">
        <v>36439</v>
      </c>
      <c r="C821" s="10">
        <v>6.037E-2</v>
      </c>
      <c r="D821" s="11">
        <v>1325.4</v>
      </c>
      <c r="E821" s="11">
        <v>0.93401204875542887</v>
      </c>
      <c r="L821" s="9">
        <v>36439</v>
      </c>
      <c r="M821" s="14">
        <f t="shared" si="39"/>
        <v>0</v>
      </c>
      <c r="N821" s="14">
        <f t="shared" si="40"/>
        <v>1.8480808391286185E-2</v>
      </c>
      <c r="O821" s="14">
        <f t="shared" si="41"/>
        <v>-2.335030121888737E-3</v>
      </c>
      <c r="P821" s="14">
        <f t="array" ref="P821">MMULT(M821:O821,$I$9:$I$11)</f>
        <v>3.2843739497521503E-3</v>
      </c>
    </row>
    <row r="822" spans="2:16" x14ac:dyDescent="0.25">
      <c r="B822" s="9">
        <v>36440</v>
      </c>
      <c r="C822" s="10">
        <v>6.0410000000000005E-2</v>
      </c>
      <c r="D822" s="11">
        <v>1317.64</v>
      </c>
      <c r="E822" s="11">
        <v>0.93170595360104358</v>
      </c>
      <c r="L822" s="9">
        <v>36440</v>
      </c>
      <c r="M822" s="14">
        <f t="shared" si="39"/>
        <v>6.6258075202929589E-4</v>
      </c>
      <c r="N822" s="14">
        <f t="shared" si="40"/>
        <v>-5.8548362758412686E-3</v>
      </c>
      <c r="O822" s="14">
        <f t="shared" si="41"/>
        <v>-2.4690207770425854E-3</v>
      </c>
      <c r="P822" s="14">
        <f t="array" ref="P822">MMULT(M822:O822,$I$9:$I$11)</f>
        <v>-3.3830490727430871E-3</v>
      </c>
    </row>
    <row r="823" spans="2:16" x14ac:dyDescent="0.25">
      <c r="B823" s="9">
        <v>36441</v>
      </c>
      <c r="C823" s="10">
        <v>6.037E-2</v>
      </c>
      <c r="D823" s="11">
        <v>1336.02</v>
      </c>
      <c r="E823" s="11">
        <v>0.94095506939543627</v>
      </c>
      <c r="L823" s="9">
        <v>36441</v>
      </c>
      <c r="M823" s="14">
        <f t="shared" si="39"/>
        <v>-6.621420294654623E-4</v>
      </c>
      <c r="N823" s="14">
        <f t="shared" si="40"/>
        <v>1.3949181870617E-2</v>
      </c>
      <c r="O823" s="14">
        <f t="shared" si="41"/>
        <v>9.9270759821217247E-3</v>
      </c>
      <c r="P823" s="14">
        <f t="array" ref="P823">MMULT(M823:O823,$I$9:$I$11)</f>
        <v>1.1012876018093171E-2</v>
      </c>
    </row>
    <row r="824" spans="2:16" x14ac:dyDescent="0.25">
      <c r="B824" s="9">
        <v>36444</v>
      </c>
      <c r="C824" s="10">
        <v>6.037E-2</v>
      </c>
      <c r="D824" s="11">
        <v>1335.21</v>
      </c>
      <c r="E824" s="11">
        <v>0.93989379200150391</v>
      </c>
      <c r="L824" s="9">
        <v>36444</v>
      </c>
      <c r="M824" s="14">
        <f t="shared" si="39"/>
        <v>0</v>
      </c>
      <c r="N824" s="14">
        <f t="shared" si="40"/>
        <v>-6.0627834912652112E-4</v>
      </c>
      <c r="O824" s="14">
        <f t="shared" si="41"/>
        <v>-1.1278725504015874E-3</v>
      </c>
      <c r="P824" s="14">
        <f t="array" ref="P824">MMULT(M824:O824,$I$9:$I$11)</f>
        <v>-9.8706397444466671E-4</v>
      </c>
    </row>
    <row r="825" spans="2:16" x14ac:dyDescent="0.25">
      <c r="B825" s="9">
        <v>36445</v>
      </c>
      <c r="C825" s="10">
        <v>6.0579999999999995E-2</v>
      </c>
      <c r="D825" s="11">
        <v>1313.04</v>
      </c>
      <c r="E825" s="11">
        <v>0.93205331344952935</v>
      </c>
      <c r="L825" s="9">
        <v>36445</v>
      </c>
      <c r="M825" s="14">
        <f t="shared" si="39"/>
        <v>3.4785489481530263E-3</v>
      </c>
      <c r="N825" s="14">
        <f t="shared" si="40"/>
        <v>-1.6604129687464941E-2</v>
      </c>
      <c r="O825" s="14">
        <f t="shared" si="41"/>
        <v>-8.3418771553733784E-3</v>
      </c>
      <c r="P825" s="14">
        <f t="array" ref="P825">MMULT(M825:O825,$I$9:$I$11)</f>
        <v>-1.0572339093785054E-2</v>
      </c>
    </row>
    <row r="826" spans="2:16" x14ac:dyDescent="0.25">
      <c r="B826" s="9">
        <v>36446</v>
      </c>
      <c r="C826" s="10">
        <v>6.1100000000000002E-2</v>
      </c>
      <c r="D826" s="11">
        <v>1285.55</v>
      </c>
      <c r="E826" s="11">
        <v>0.92919531685560297</v>
      </c>
      <c r="L826" s="9">
        <v>36446</v>
      </c>
      <c r="M826" s="14">
        <f t="shared" si="39"/>
        <v>8.583690987124637E-3</v>
      </c>
      <c r="N826" s="14">
        <f t="shared" si="40"/>
        <v>-2.0936148175226932E-2</v>
      </c>
      <c r="O826" s="14">
        <f t="shared" si="41"/>
        <v>-3.0663445456236005E-3</v>
      </c>
      <c r="P826" s="14">
        <f t="array" ref="P826">MMULT(M826:O826,$I$9:$I$11)</f>
        <v>-7.8904426578403596E-3</v>
      </c>
    </row>
    <row r="827" spans="2:16" x14ac:dyDescent="0.25">
      <c r="B827" s="9">
        <v>36447</v>
      </c>
      <c r="C827" s="10">
        <v>6.1699999999999998E-2</v>
      </c>
      <c r="D827" s="11">
        <v>1283.42</v>
      </c>
      <c r="E827" s="11">
        <v>0.92751472429624826</v>
      </c>
      <c r="L827" s="9">
        <v>36447</v>
      </c>
      <c r="M827" s="14">
        <f t="shared" si="39"/>
        <v>9.8199672667758087E-3</v>
      </c>
      <c r="N827" s="14">
        <f t="shared" si="40"/>
        <v>-1.6568783789038255E-3</v>
      </c>
      <c r="O827" s="14">
        <f t="shared" si="41"/>
        <v>-1.8086537123774837E-3</v>
      </c>
      <c r="P827" s="14">
        <f t="array" ref="P827">MMULT(M827:O827,$I$9:$I$11)</f>
        <v>-1.7676807327707909E-3</v>
      </c>
    </row>
    <row r="828" spans="2:16" x14ac:dyDescent="0.25">
      <c r="B828" s="9">
        <v>36448</v>
      </c>
      <c r="C828" s="10">
        <v>6.0749999999999998E-2</v>
      </c>
      <c r="D828" s="11">
        <v>1247.4100000000001</v>
      </c>
      <c r="E828" s="11">
        <v>0.91877986034546122</v>
      </c>
      <c r="L828" s="9">
        <v>36448</v>
      </c>
      <c r="M828" s="14">
        <f t="shared" si="39"/>
        <v>-1.5397082658022643E-2</v>
      </c>
      <c r="N828" s="14">
        <f t="shared" si="40"/>
        <v>-2.8057845444203755E-2</v>
      </c>
      <c r="O828" s="14">
        <f t="shared" si="41"/>
        <v>-9.4174935685410466E-3</v>
      </c>
      <c r="P828" s="14">
        <f t="array" ref="P828">MMULT(M828:O828,$I$9:$I$11)</f>
        <v>-1.4449607415918378E-2</v>
      </c>
    </row>
    <row r="829" spans="2:16" x14ac:dyDescent="0.25">
      <c r="B829" s="9">
        <v>36451</v>
      </c>
      <c r="C829" s="10">
        <v>6.1490000000000003E-2</v>
      </c>
      <c r="D829" s="11">
        <v>1254.1300000000001</v>
      </c>
      <c r="E829" s="11">
        <v>0.92187139893984782</v>
      </c>
      <c r="L829" s="9">
        <v>36451</v>
      </c>
      <c r="M829" s="14">
        <f t="shared" si="39"/>
        <v>1.2181069958847823E-2</v>
      </c>
      <c r="N829" s="14">
        <f t="shared" si="40"/>
        <v>5.3871622000785102E-3</v>
      </c>
      <c r="O829" s="14">
        <f t="shared" si="41"/>
        <v>3.3648306061304645E-3</v>
      </c>
      <c r="P829" s="14">
        <f t="array" ref="P829">MMULT(M829:O829,$I$9:$I$11)</f>
        <v>3.9107753868822398E-3</v>
      </c>
    </row>
    <row r="830" spans="2:16" x14ac:dyDescent="0.25">
      <c r="B830" s="9">
        <v>36452</v>
      </c>
      <c r="C830" s="10">
        <v>6.1790000000000005E-2</v>
      </c>
      <c r="D830" s="11">
        <v>1261.32</v>
      </c>
      <c r="E830" s="11">
        <v>0.92622609178900572</v>
      </c>
      <c r="L830" s="9">
        <v>36452</v>
      </c>
      <c r="M830" s="14">
        <f t="shared" si="39"/>
        <v>4.8788420881444861E-3</v>
      </c>
      <c r="N830" s="14">
        <f t="shared" si="40"/>
        <v>5.7330579764456324E-3</v>
      </c>
      <c r="O830" s="14">
        <f t="shared" si="41"/>
        <v>4.7237530681241147E-3</v>
      </c>
      <c r="P830" s="14">
        <f t="array" ref="P830">MMULT(M830:O830,$I$9:$I$11)</f>
        <v>4.9962230965478697E-3</v>
      </c>
    </row>
    <row r="831" spans="2:16" x14ac:dyDescent="0.25">
      <c r="B831" s="9">
        <v>36453</v>
      </c>
      <c r="C831" s="10">
        <v>6.1749999999999999E-2</v>
      </c>
      <c r="D831" s="11">
        <v>1289.43</v>
      </c>
      <c r="E831" s="11">
        <v>0.92794506565211343</v>
      </c>
      <c r="L831" s="9">
        <v>36453</v>
      </c>
      <c r="M831" s="14">
        <f t="shared" si="39"/>
        <v>-6.4735394076720354E-4</v>
      </c>
      <c r="N831" s="14">
        <f t="shared" si="40"/>
        <v>2.2286176386642653E-2</v>
      </c>
      <c r="O831" s="14">
        <f t="shared" si="41"/>
        <v>1.8558901313041609E-3</v>
      </c>
      <c r="P831" s="14">
        <f t="array" ref="P831">MMULT(M831:O831,$I$9:$I$11)</f>
        <v>7.3712112506227057E-3</v>
      </c>
    </row>
    <row r="832" spans="2:16" x14ac:dyDescent="0.25">
      <c r="B832" s="9">
        <v>36454</v>
      </c>
      <c r="C832" s="10">
        <v>6.1920000000000003E-2</v>
      </c>
      <c r="D832" s="11">
        <v>1283.6099999999999</v>
      </c>
      <c r="E832" s="11">
        <v>0.92515496345637893</v>
      </c>
      <c r="L832" s="9">
        <v>36454</v>
      </c>
      <c r="M832" s="14">
        <f t="shared" si="39"/>
        <v>2.7530364372470029E-3</v>
      </c>
      <c r="N832" s="14">
        <f t="shared" si="40"/>
        <v>-4.5136222982249397E-3</v>
      </c>
      <c r="O832" s="14">
        <f t="shared" si="41"/>
        <v>-3.006753631233261E-3</v>
      </c>
      <c r="P832" s="14">
        <f t="array" ref="P832">MMULT(M832:O832,$I$9:$I$11)</f>
        <v>-3.4135450231515671E-3</v>
      </c>
    </row>
    <row r="833" spans="2:16" x14ac:dyDescent="0.25">
      <c r="B833" s="9">
        <v>36455</v>
      </c>
      <c r="C833" s="10">
        <v>6.1959999999999994E-2</v>
      </c>
      <c r="D833" s="11">
        <v>1301.6500000000001</v>
      </c>
      <c r="E833" s="11">
        <v>0.93527871305649091</v>
      </c>
      <c r="L833" s="9">
        <v>36455</v>
      </c>
      <c r="M833" s="14">
        <f t="shared" si="39"/>
        <v>6.4599483204119679E-4</v>
      </c>
      <c r="N833" s="14">
        <f t="shared" si="40"/>
        <v>1.4054113009403402E-2</v>
      </c>
      <c r="O833" s="14">
        <f t="shared" si="41"/>
        <v>1.0942760942761032E-2</v>
      </c>
      <c r="P833" s="14">
        <f t="array" ref="P833">MMULT(M833:O833,$I$9:$I$11)</f>
        <v>1.1782695613686363E-2</v>
      </c>
    </row>
    <row r="834" spans="2:16" x14ac:dyDescent="0.25">
      <c r="B834" s="9">
        <v>36458</v>
      </c>
      <c r="C834" s="10">
        <v>6.2050000000000001E-2</v>
      </c>
      <c r="D834" s="11">
        <v>1293.6300000000001</v>
      </c>
      <c r="E834" s="11">
        <v>0.93663653819135484</v>
      </c>
      <c r="L834" s="9">
        <v>36458</v>
      </c>
      <c r="M834" s="14">
        <f t="shared" si="39"/>
        <v>1.4525500322790652E-3</v>
      </c>
      <c r="N834" s="14">
        <f t="shared" si="40"/>
        <v>-6.1614105174201406E-3</v>
      </c>
      <c r="O834" s="14">
        <f t="shared" si="41"/>
        <v>1.4517866341965391E-3</v>
      </c>
      <c r="P834" s="14">
        <f t="array" ref="P834">MMULT(M834:O834,$I$9:$I$11)</f>
        <v>-6.0345755137503369E-4</v>
      </c>
    </row>
    <row r="835" spans="2:16" x14ac:dyDescent="0.25">
      <c r="B835" s="9">
        <v>36459</v>
      </c>
      <c r="C835" s="10">
        <v>6.2350000000000003E-2</v>
      </c>
      <c r="D835" s="11">
        <v>1281.9100000000001</v>
      </c>
      <c r="E835" s="11">
        <v>0.94442083392359633</v>
      </c>
      <c r="L835" s="9">
        <v>36459</v>
      </c>
      <c r="M835" s="14">
        <f t="shared" si="39"/>
        <v>4.8348106365834198E-3</v>
      </c>
      <c r="N835" s="14">
        <f t="shared" si="40"/>
        <v>-9.0597775252584389E-3</v>
      </c>
      <c r="O835" s="14">
        <f t="shared" si="41"/>
        <v>8.3109033385275755E-3</v>
      </c>
      <c r="P835" s="14">
        <f t="array" ref="P835">MMULT(M835:O835,$I$9:$I$11)</f>
        <v>3.6215474564019684E-3</v>
      </c>
    </row>
    <row r="836" spans="2:16" x14ac:dyDescent="0.25">
      <c r="B836" s="9">
        <v>36460</v>
      </c>
      <c r="C836" s="10">
        <v>6.1959999999999994E-2</v>
      </c>
      <c r="D836" s="11">
        <v>1296.71</v>
      </c>
      <c r="E836" s="11">
        <v>0.94980291589495169</v>
      </c>
      <c r="L836" s="9">
        <v>36460</v>
      </c>
      <c r="M836" s="14">
        <f t="shared" si="39"/>
        <v>-6.2550120288694666E-3</v>
      </c>
      <c r="N836" s="14">
        <f t="shared" si="40"/>
        <v>1.1545272289006148E-2</v>
      </c>
      <c r="O836" s="14">
        <f t="shared" si="41"/>
        <v>5.6988174953696014E-3</v>
      </c>
      <c r="P836" s="14">
        <f t="array" ref="P836">MMULT(M836:O836,$I$9:$I$11)</f>
        <v>7.2771152829524382E-3</v>
      </c>
    </row>
    <row r="837" spans="2:16" x14ac:dyDescent="0.25">
      <c r="B837" s="9">
        <v>36461</v>
      </c>
      <c r="C837" s="10">
        <v>6.1189999999999994E-2</v>
      </c>
      <c r="D837" s="11">
        <v>1342.44</v>
      </c>
      <c r="E837" s="11">
        <v>0.9510675733510866</v>
      </c>
      <c r="L837" s="9">
        <v>36461</v>
      </c>
      <c r="M837" s="14">
        <f t="shared" si="39"/>
        <v>-1.2427372498386102E-2</v>
      </c>
      <c r="N837" s="14">
        <f t="shared" si="40"/>
        <v>3.5266173624017627E-2</v>
      </c>
      <c r="O837" s="14">
        <f t="shared" si="41"/>
        <v>1.331494602691663E-3</v>
      </c>
      <c r="P837" s="14">
        <f t="array" ref="P837">MMULT(M837:O837,$I$9:$I$11)</f>
        <v>1.0492435841814507E-2</v>
      </c>
    </row>
    <row r="838" spans="2:16" x14ac:dyDescent="0.25">
      <c r="B838" s="9">
        <v>36462</v>
      </c>
      <c r="C838" s="10">
        <v>6.0279999999999993E-2</v>
      </c>
      <c r="D838" s="11">
        <v>1362.93</v>
      </c>
      <c r="E838" s="11">
        <v>0.95142952285809423</v>
      </c>
      <c r="L838" s="9">
        <v>36462</v>
      </c>
      <c r="M838" s="14">
        <f t="shared" si="39"/>
        <v>-1.4871711063899395E-2</v>
      </c>
      <c r="N838" s="14">
        <f t="shared" si="40"/>
        <v>1.526325198891576E-2</v>
      </c>
      <c r="O838" s="14">
        <f t="shared" si="41"/>
        <v>3.8057180914319311E-4</v>
      </c>
      <c r="P838" s="14">
        <f t="array" ref="P838">MMULT(M838:O838,$I$9:$I$11)</f>
        <v>4.3982717709396008E-3</v>
      </c>
    </row>
    <row r="839" spans="2:16" x14ac:dyDescent="0.25">
      <c r="B839" s="9">
        <v>36465</v>
      </c>
      <c r="C839" s="10">
        <v>6.0499999999999998E-2</v>
      </c>
      <c r="D839" s="11">
        <v>1354.12</v>
      </c>
      <c r="E839" s="11">
        <v>0.95306171074577073</v>
      </c>
      <c r="L839" s="9">
        <v>36465</v>
      </c>
      <c r="M839" s="14">
        <f t="shared" si="39"/>
        <v>3.6496350364965124E-3</v>
      </c>
      <c r="N839" s="14">
        <f t="shared" si="40"/>
        <v>-6.4640150264504426E-3</v>
      </c>
      <c r="O839" s="14">
        <f t="shared" si="41"/>
        <v>1.7155110793423134E-3</v>
      </c>
      <c r="P839" s="14">
        <f t="array" ref="P839">MMULT(M839:O839,$I$9:$I$11)</f>
        <v>-4.9261819077538139E-4</v>
      </c>
    </row>
    <row r="840" spans="2:16" x14ac:dyDescent="0.25">
      <c r="B840" s="9">
        <v>36466</v>
      </c>
      <c r="C840" s="10">
        <v>6.0240000000000002E-2</v>
      </c>
      <c r="D840" s="11">
        <v>1347.74</v>
      </c>
      <c r="E840" s="11">
        <v>0.95306171074577073</v>
      </c>
      <c r="L840" s="9">
        <v>36466</v>
      </c>
      <c r="M840" s="14">
        <f t="shared" si="39"/>
        <v>-4.2975206611569616E-3</v>
      </c>
      <c r="N840" s="14">
        <f t="shared" si="40"/>
        <v>-4.7115469825420586E-3</v>
      </c>
      <c r="O840" s="14">
        <f t="shared" si="41"/>
        <v>0</v>
      </c>
      <c r="P840" s="14">
        <f t="array" ref="P840">MMULT(M840:O840,$I$9:$I$11)</f>
        <v>-1.2719202390365743E-3</v>
      </c>
    </row>
    <row r="841" spans="2:16" x14ac:dyDescent="0.25">
      <c r="B841" s="9">
        <v>36467</v>
      </c>
      <c r="C841" s="10">
        <v>5.9989999999999995E-2</v>
      </c>
      <c r="D841" s="11">
        <v>1354.93</v>
      </c>
      <c r="E841" s="11">
        <v>0.95415295071800021</v>
      </c>
      <c r="L841" s="9">
        <v>36467</v>
      </c>
      <c r="M841" s="14">
        <f t="shared" ref="M841:M904" si="42">C841/C840-1</f>
        <v>-4.1500664010625243E-3</v>
      </c>
      <c r="N841" s="14">
        <f t="shared" ref="N841:N904" si="43">D841/D840-1</f>
        <v>5.3348568715034794E-3</v>
      </c>
      <c r="O841" s="14">
        <f t="shared" ref="O841:O904" si="44">E841/E840-1</f>
        <v>1.1449835408616771E-3</v>
      </c>
      <c r="P841" s="14">
        <f t="array" ref="P841">MMULT(M841:O841,$I$9:$I$11)</f>
        <v>2.2760737556020575E-3</v>
      </c>
    </row>
    <row r="842" spans="2:16" x14ac:dyDescent="0.25">
      <c r="B842" s="9">
        <v>36468</v>
      </c>
      <c r="C842" s="10">
        <v>5.9560000000000002E-2</v>
      </c>
      <c r="D842" s="11">
        <v>1362.64</v>
      </c>
      <c r="E842" s="11">
        <v>0.95744171573555448</v>
      </c>
      <c r="L842" s="9">
        <v>36468</v>
      </c>
      <c r="M842" s="14">
        <f t="shared" si="42"/>
        <v>-7.1678613102182931E-3</v>
      </c>
      <c r="N842" s="14">
        <f t="shared" si="43"/>
        <v>5.6903308658011742E-3</v>
      </c>
      <c r="O842" s="14">
        <f t="shared" si="44"/>
        <v>3.4467901766477294E-3</v>
      </c>
      <c r="P842" s="14">
        <f t="array" ref="P842">MMULT(M842:O842,$I$9:$I$11)</f>
        <v>4.0524521429212146E-3</v>
      </c>
    </row>
    <row r="843" spans="2:16" x14ac:dyDescent="0.25">
      <c r="B843" s="9">
        <v>36469</v>
      </c>
      <c r="C843" s="10">
        <v>5.926E-2</v>
      </c>
      <c r="D843" s="11">
        <v>1370.23</v>
      </c>
      <c r="E843" s="11">
        <v>0.9604763962925611</v>
      </c>
      <c r="L843" s="9">
        <v>36469</v>
      </c>
      <c r="M843" s="14">
        <f t="shared" si="42"/>
        <v>-5.0369375419745399E-3</v>
      </c>
      <c r="N843" s="14">
        <f t="shared" si="43"/>
        <v>5.5700698643808E-3</v>
      </c>
      <c r="O843" s="14">
        <f t="shared" si="44"/>
        <v>3.1695721077655836E-3</v>
      </c>
      <c r="P843" s="14">
        <f t="array" ref="P843">MMULT(M843:O843,$I$9:$I$11)</f>
        <v>3.8176059046722303E-3</v>
      </c>
    </row>
    <row r="844" spans="2:16" x14ac:dyDescent="0.25">
      <c r="B844" s="9">
        <v>36472</v>
      </c>
      <c r="C844" s="10">
        <v>5.9349999999999993E-2</v>
      </c>
      <c r="D844" s="11">
        <v>1377.01</v>
      </c>
      <c r="E844" s="11">
        <v>0.96427366086495347</v>
      </c>
      <c r="L844" s="9">
        <v>36472</v>
      </c>
      <c r="M844" s="14">
        <f t="shared" si="42"/>
        <v>1.5187310158621958E-3</v>
      </c>
      <c r="N844" s="14">
        <f t="shared" si="43"/>
        <v>4.9480744108651997E-3</v>
      </c>
      <c r="O844" s="14">
        <f t="shared" si="44"/>
        <v>3.9535220095463508E-3</v>
      </c>
      <c r="P844" s="14">
        <f t="array" ref="P844">MMULT(M844:O844,$I$9:$I$11)</f>
        <v>4.2220094793109751E-3</v>
      </c>
    </row>
    <row r="845" spans="2:16" x14ac:dyDescent="0.25">
      <c r="B845" s="9">
        <v>36473</v>
      </c>
      <c r="C845" s="10">
        <v>5.9560000000000002E-2</v>
      </c>
      <c r="D845" s="11">
        <v>1365.28</v>
      </c>
      <c r="E845" s="11">
        <v>0.96116878123798544</v>
      </c>
      <c r="L845" s="9">
        <v>36473</v>
      </c>
      <c r="M845" s="14">
        <f t="shared" si="42"/>
        <v>3.5383319292334736E-3</v>
      </c>
      <c r="N845" s="14">
        <f t="shared" si="43"/>
        <v>-8.5184566560881914E-3</v>
      </c>
      <c r="O845" s="14">
        <f t="shared" si="44"/>
        <v>-3.2199154171471678E-3</v>
      </c>
      <c r="P845" s="14">
        <f t="array" ref="P845">MMULT(M845:O845,$I$9:$I$11)</f>
        <v>-4.6502995063116342E-3</v>
      </c>
    </row>
    <row r="846" spans="2:16" x14ac:dyDescent="0.25">
      <c r="B846" s="9">
        <v>36474</v>
      </c>
      <c r="C846" s="10">
        <v>5.9810000000000002E-2</v>
      </c>
      <c r="D846" s="11">
        <v>1373.46</v>
      </c>
      <c r="E846" s="11">
        <v>0.95835928889740762</v>
      </c>
      <c r="L846" s="9">
        <v>36474</v>
      </c>
      <c r="M846" s="14">
        <f t="shared" si="42"/>
        <v>4.1974479516453389E-3</v>
      </c>
      <c r="N846" s="14">
        <f t="shared" si="43"/>
        <v>5.9914449783196044E-3</v>
      </c>
      <c r="O846" s="14">
        <f t="shared" si="44"/>
        <v>-2.9229958311371984E-3</v>
      </c>
      <c r="P846" s="14">
        <f t="array" ref="P846">MMULT(M846:O846,$I$9:$I$11)</f>
        <v>-5.1647038901496758E-4</v>
      </c>
    </row>
    <row r="847" spans="2:16" x14ac:dyDescent="0.25">
      <c r="B847" s="9">
        <v>36475</v>
      </c>
      <c r="C847" s="10">
        <v>5.9859999999999997E-2</v>
      </c>
      <c r="D847" s="11">
        <v>1381.46</v>
      </c>
      <c r="E847" s="11">
        <v>0.9610302244005573</v>
      </c>
      <c r="L847" s="9">
        <v>36475</v>
      </c>
      <c r="M847" s="14">
        <f t="shared" si="42"/>
        <v>8.3598060524980866E-4</v>
      </c>
      <c r="N847" s="14">
        <f t="shared" si="43"/>
        <v>5.8247054883286964E-3</v>
      </c>
      <c r="O847" s="14">
        <f t="shared" si="44"/>
        <v>2.7869876507615743E-3</v>
      </c>
      <c r="P847" s="14">
        <f t="array" ref="P847">MMULT(M847:O847,$I$9:$I$11)</f>
        <v>3.607044165617637E-3</v>
      </c>
    </row>
    <row r="848" spans="2:16" x14ac:dyDescent="0.25">
      <c r="B848" s="9">
        <v>36476</v>
      </c>
      <c r="C848" s="10">
        <v>5.9299999999999999E-2</v>
      </c>
      <c r="D848" s="11">
        <v>1396.06</v>
      </c>
      <c r="E848" s="11">
        <v>0.96908615175889135</v>
      </c>
      <c r="L848" s="9">
        <v>36476</v>
      </c>
      <c r="M848" s="14">
        <f t="shared" si="42"/>
        <v>-9.3551620447710482E-3</v>
      </c>
      <c r="N848" s="14">
        <f t="shared" si="43"/>
        <v>1.0568528947634936E-2</v>
      </c>
      <c r="O848" s="14">
        <f t="shared" si="44"/>
        <v>8.3825952127145609E-3</v>
      </c>
      <c r="P848" s="14">
        <f t="array" ref="P848">MMULT(M848:O848,$I$9:$I$11)</f>
        <v>8.972705715473029E-3</v>
      </c>
    </row>
    <row r="849" spans="2:16" x14ac:dyDescent="0.25">
      <c r="B849" s="9">
        <v>36479</v>
      </c>
      <c r="C849" s="10">
        <v>5.9219999999999995E-2</v>
      </c>
      <c r="D849" s="11">
        <v>1394.39</v>
      </c>
      <c r="E849" s="11">
        <v>0.9702614854703342</v>
      </c>
      <c r="L849" s="9">
        <v>36479</v>
      </c>
      <c r="M849" s="14">
        <f t="shared" si="42"/>
        <v>-1.3490725126475978E-3</v>
      </c>
      <c r="N849" s="14">
        <f t="shared" si="43"/>
        <v>-1.1962236580088659E-3</v>
      </c>
      <c r="O849" s="14">
        <f t="shared" si="44"/>
        <v>1.2128268568378786E-3</v>
      </c>
      <c r="P849" s="14">
        <f t="array" ref="P849">MMULT(M849:O849,$I$9:$I$11)</f>
        <v>5.6248417362816038E-4</v>
      </c>
    </row>
    <row r="850" spans="2:16" x14ac:dyDescent="0.25">
      <c r="B850" s="9">
        <v>36480</v>
      </c>
      <c r="C850" s="10">
        <v>5.96E-2</v>
      </c>
      <c r="D850" s="11">
        <v>1419.83</v>
      </c>
      <c r="E850" s="11">
        <v>0.97016735386854225</v>
      </c>
      <c r="L850" s="9">
        <v>36480</v>
      </c>
      <c r="M850" s="14">
        <f t="shared" si="42"/>
        <v>6.4167510976023134E-3</v>
      </c>
      <c r="N850" s="14">
        <f t="shared" si="43"/>
        <v>1.8244537037700903E-2</v>
      </c>
      <c r="O850" s="14">
        <f t="shared" si="44"/>
        <v>-9.7016735386867836E-5</v>
      </c>
      <c r="P850" s="14">
        <f t="array" ref="P850">MMULT(M850:O850,$I$9:$I$11)</f>
        <v>4.8544341459924581E-3</v>
      </c>
    </row>
    <row r="851" spans="2:16" x14ac:dyDescent="0.25">
      <c r="B851" s="9">
        <v>36481</v>
      </c>
      <c r="C851" s="10">
        <v>6.037E-2</v>
      </c>
      <c r="D851" s="11">
        <v>1410.71</v>
      </c>
      <c r="E851" s="11">
        <v>0.96218608678918516</v>
      </c>
      <c r="L851" s="9">
        <v>36481</v>
      </c>
      <c r="M851" s="14">
        <f t="shared" si="42"/>
        <v>1.2919463087248229E-2</v>
      </c>
      <c r="N851" s="14">
        <f t="shared" si="43"/>
        <v>-6.4233041983898786E-3</v>
      </c>
      <c r="O851" s="14">
        <f t="shared" si="44"/>
        <v>-8.2266910420473183E-3</v>
      </c>
      <c r="P851" s="14">
        <f t="array" ref="P851">MMULT(M851:O851,$I$9:$I$11)</f>
        <v>-7.739852168581896E-3</v>
      </c>
    </row>
    <row r="852" spans="2:16" x14ac:dyDescent="0.25">
      <c r="B852" s="9">
        <v>36482</v>
      </c>
      <c r="C852" s="10">
        <v>6.0590000000000005E-2</v>
      </c>
      <c r="D852" s="11">
        <v>1424.94</v>
      </c>
      <c r="E852" s="11">
        <v>0.96927401376369093</v>
      </c>
      <c r="L852" s="9">
        <v>36482</v>
      </c>
      <c r="M852" s="14">
        <f t="shared" si="42"/>
        <v>3.6441941361604613E-3</v>
      </c>
      <c r="N852" s="14">
        <f t="shared" si="43"/>
        <v>1.0087119252007781E-2</v>
      </c>
      <c r="O852" s="14">
        <f t="shared" si="44"/>
        <v>7.3664825046038107E-3</v>
      </c>
      <c r="P852" s="14">
        <f t="array" ref="P852">MMULT(M852:O852,$I$9:$I$11)</f>
        <v>8.1009404129960792E-3</v>
      </c>
    </row>
    <row r="853" spans="2:16" x14ac:dyDescent="0.25">
      <c r="B853" s="9">
        <v>36483</v>
      </c>
      <c r="C853" s="10">
        <v>6.0670000000000002E-2</v>
      </c>
      <c r="D853" s="11">
        <v>1422</v>
      </c>
      <c r="E853" s="11">
        <v>0.9715812484819043</v>
      </c>
      <c r="L853" s="9">
        <v>36483</v>
      </c>
      <c r="M853" s="14">
        <f t="shared" si="42"/>
        <v>1.3203498927214508E-3</v>
      </c>
      <c r="N853" s="14">
        <f t="shared" si="43"/>
        <v>-2.0632447682008559E-3</v>
      </c>
      <c r="O853" s="14">
        <f t="shared" si="44"/>
        <v>2.3803740587806654E-3</v>
      </c>
      <c r="P853" s="14">
        <f t="array" ref="P853">MMULT(M853:O853,$I$9:$I$11)</f>
        <v>1.1807831937114756E-3</v>
      </c>
    </row>
    <row r="854" spans="2:16" x14ac:dyDescent="0.25">
      <c r="B854" s="9">
        <v>36486</v>
      </c>
      <c r="C854" s="10">
        <v>6.0890000000000007E-2</v>
      </c>
      <c r="D854" s="11">
        <v>1420.94</v>
      </c>
      <c r="E854" s="11">
        <v>0.96824167312161125</v>
      </c>
      <c r="L854" s="9">
        <v>36486</v>
      </c>
      <c r="M854" s="14">
        <f t="shared" si="42"/>
        <v>3.6261743860228624E-3</v>
      </c>
      <c r="N854" s="14">
        <f t="shared" si="43"/>
        <v>-7.4542897327700697E-4</v>
      </c>
      <c r="O854" s="14">
        <f t="shared" si="44"/>
        <v>-3.4372579395816061E-3</v>
      </c>
      <c r="P854" s="14">
        <f t="array" ref="P854">MMULT(M854:O854,$I$9:$I$11)</f>
        <v>-2.7105769248418452E-3</v>
      </c>
    </row>
    <row r="855" spans="2:16" x14ac:dyDescent="0.25">
      <c r="B855" s="9">
        <v>36487</v>
      </c>
      <c r="C855" s="10">
        <v>6.08E-2</v>
      </c>
      <c r="D855" s="11">
        <v>1404.64</v>
      </c>
      <c r="E855" s="11">
        <v>0.97153405226853196</v>
      </c>
      <c r="L855" s="9">
        <v>36487</v>
      </c>
      <c r="M855" s="14">
        <f t="shared" si="42"/>
        <v>-1.4780752176056788E-3</v>
      </c>
      <c r="N855" s="14">
        <f t="shared" si="43"/>
        <v>-1.147127957549221E-2</v>
      </c>
      <c r="O855" s="14">
        <f t="shared" si="44"/>
        <v>3.4003691829396221E-3</v>
      </c>
      <c r="P855" s="14">
        <f t="array" ref="P855">MMULT(M855:O855,$I$9:$I$11)</f>
        <v>-6.1435275738727516E-4</v>
      </c>
    </row>
    <row r="856" spans="2:16" x14ac:dyDescent="0.25">
      <c r="B856" s="9">
        <v>36488</v>
      </c>
      <c r="C856" s="10">
        <v>6.0850000000000001E-2</v>
      </c>
      <c r="D856" s="11">
        <v>1417.08</v>
      </c>
      <c r="E856" s="11">
        <v>0.98072868141028791</v>
      </c>
      <c r="L856" s="9">
        <v>36488</v>
      </c>
      <c r="M856" s="14">
        <f t="shared" si="42"/>
        <v>8.2236842105265495E-4</v>
      </c>
      <c r="N856" s="14">
        <f t="shared" si="43"/>
        <v>8.8563617724113364E-3</v>
      </c>
      <c r="O856" s="14">
        <f t="shared" si="44"/>
        <v>9.4640317756093939E-3</v>
      </c>
      <c r="P856" s="14">
        <f t="array" ref="P856">MMULT(M856:O856,$I$9:$I$11)</f>
        <v>9.2999863403018558E-3</v>
      </c>
    </row>
    <row r="857" spans="2:16" x14ac:dyDescent="0.25">
      <c r="B857" s="9">
        <v>36489</v>
      </c>
      <c r="C857" s="10">
        <v>6.0850000000000001E-2</v>
      </c>
      <c r="D857" s="11">
        <v>1417.08</v>
      </c>
      <c r="E857" s="11">
        <v>0.98087297694948494</v>
      </c>
      <c r="L857" s="9">
        <v>36489</v>
      </c>
      <c r="M857" s="14">
        <f t="shared" si="42"/>
        <v>0</v>
      </c>
      <c r="N857" s="14">
        <f t="shared" si="43"/>
        <v>0</v>
      </c>
      <c r="O857" s="14">
        <f t="shared" si="44"/>
        <v>1.4713094654217329E-4</v>
      </c>
      <c r="P857" s="14">
        <f t="array" ref="P857">MMULT(M857:O857,$I$9:$I$11)</f>
        <v>1.0741175677519998E-4</v>
      </c>
    </row>
    <row r="858" spans="2:16" x14ac:dyDescent="0.25">
      <c r="B858" s="9">
        <v>36490</v>
      </c>
      <c r="C858" s="10">
        <v>6.1189999999999994E-2</v>
      </c>
      <c r="D858" s="11">
        <v>1416.62</v>
      </c>
      <c r="E858" s="11">
        <v>0.98848415954134339</v>
      </c>
      <c r="L858" s="9">
        <v>36490</v>
      </c>
      <c r="M858" s="14">
        <f t="shared" si="42"/>
        <v>5.5875102711584468E-3</v>
      </c>
      <c r="N858" s="14">
        <f t="shared" si="43"/>
        <v>-3.246111722697842E-4</v>
      </c>
      <c r="O858" s="14">
        <f t="shared" si="44"/>
        <v>7.7596006523996675E-3</v>
      </c>
      <c r="P858" s="14">
        <f t="array" ref="P858">MMULT(M858:O858,$I$9:$I$11)</f>
        <v>5.5772022438608038E-3</v>
      </c>
    </row>
    <row r="859" spans="2:16" x14ac:dyDescent="0.25">
      <c r="B859" s="9">
        <v>36493</v>
      </c>
      <c r="C859" s="10">
        <v>6.2060000000000004E-2</v>
      </c>
      <c r="D859" s="11">
        <v>1407.83</v>
      </c>
      <c r="E859" s="11">
        <v>0.99359133588355097</v>
      </c>
      <c r="L859" s="9">
        <v>36493</v>
      </c>
      <c r="M859" s="14">
        <f t="shared" si="42"/>
        <v>1.4218009478673244E-2</v>
      </c>
      <c r="N859" s="14">
        <f t="shared" si="43"/>
        <v>-6.204910279397402E-3</v>
      </c>
      <c r="O859" s="14">
        <f t="shared" si="44"/>
        <v>5.1666749465943962E-3</v>
      </c>
      <c r="P859" s="14">
        <f t="array" ref="P859">MMULT(M859:O859,$I$9:$I$11)</f>
        <v>2.096823483272147E-3</v>
      </c>
    </row>
    <row r="860" spans="2:16" x14ac:dyDescent="0.25">
      <c r="B860" s="9">
        <v>36494</v>
      </c>
      <c r="C860" s="10">
        <v>6.1929999999999999E-2</v>
      </c>
      <c r="D860" s="11">
        <v>1388.91</v>
      </c>
      <c r="E860" s="11">
        <v>0.99314728374217909</v>
      </c>
      <c r="L860" s="9">
        <v>36494</v>
      </c>
      <c r="M860" s="14">
        <f t="shared" si="42"/>
        <v>-2.0947470190139095E-3</v>
      </c>
      <c r="N860" s="14">
        <f t="shared" si="43"/>
        <v>-1.3439122621339061E-2</v>
      </c>
      <c r="O860" s="14">
        <f t="shared" si="44"/>
        <v>-4.4691627768378428E-4</v>
      </c>
      <c r="P860" s="14">
        <f t="array" ref="P860">MMULT(M860:O860,$I$9:$I$11)</f>
        <v>-3.9542675275950449E-3</v>
      </c>
    </row>
    <row r="861" spans="2:16" x14ac:dyDescent="0.25">
      <c r="B861" s="9">
        <v>36495</v>
      </c>
      <c r="C861" s="10">
        <v>6.207E-2</v>
      </c>
      <c r="D861" s="11">
        <v>1397.72</v>
      </c>
      <c r="E861" s="11">
        <v>0.99221114253113074</v>
      </c>
      <c r="L861" s="9">
        <v>36495</v>
      </c>
      <c r="M861" s="14">
        <f t="shared" si="42"/>
        <v>2.2606168254482029E-3</v>
      </c>
      <c r="N861" s="14">
        <f t="shared" si="43"/>
        <v>6.3431035848253714E-3</v>
      </c>
      <c r="O861" s="14">
        <f t="shared" si="44"/>
        <v>-9.4260058540462932E-4</v>
      </c>
      <c r="P861" s="14">
        <f t="array" ref="P861">MMULT(M861:O861,$I$9:$I$11)</f>
        <v>1.024234219402708E-3</v>
      </c>
    </row>
    <row r="862" spans="2:16" x14ac:dyDescent="0.25">
      <c r="B862" s="9">
        <v>36496</v>
      </c>
      <c r="C862" s="10">
        <v>6.2329999999999997E-2</v>
      </c>
      <c r="D862" s="11">
        <v>1409.04</v>
      </c>
      <c r="E862" s="11">
        <v>0.99656186157755744</v>
      </c>
      <c r="L862" s="9">
        <v>36496</v>
      </c>
      <c r="M862" s="14">
        <f t="shared" si="42"/>
        <v>4.1888190752374932E-3</v>
      </c>
      <c r="N862" s="14">
        <f t="shared" si="43"/>
        <v>8.0989039292562737E-3</v>
      </c>
      <c r="O862" s="14">
        <f t="shared" si="44"/>
        <v>4.3848721909411914E-3</v>
      </c>
      <c r="P862" s="14">
        <f t="array" ref="P862">MMULT(M862:O862,$I$9:$I$11)</f>
        <v>5.3875051167914592E-3</v>
      </c>
    </row>
    <row r="863" spans="2:16" x14ac:dyDescent="0.25">
      <c r="B863" s="9">
        <v>36497</v>
      </c>
      <c r="C863" s="10">
        <v>6.1669999999999996E-2</v>
      </c>
      <c r="D863" s="11">
        <v>1433.3</v>
      </c>
      <c r="E863" s="11">
        <v>0.99865182004294206</v>
      </c>
      <c r="L863" s="9">
        <v>36497</v>
      </c>
      <c r="M863" s="14">
        <f t="shared" si="42"/>
        <v>-1.0588801540189374E-2</v>
      </c>
      <c r="N863" s="14">
        <f t="shared" si="43"/>
        <v>1.7217396241412608E-2</v>
      </c>
      <c r="O863" s="14">
        <f t="shared" si="44"/>
        <v>2.0971688220901008E-3</v>
      </c>
      <c r="P863" s="14">
        <f t="array" ref="P863">MMULT(M863:O863,$I$9:$I$11)</f>
        <v>6.1789965837005358E-3</v>
      </c>
    </row>
    <row r="864" spans="2:16" x14ac:dyDescent="0.25">
      <c r="B864" s="9">
        <v>36500</v>
      </c>
      <c r="C864" s="10">
        <v>6.1409999999999999E-2</v>
      </c>
      <c r="D864" s="11">
        <v>1423.33</v>
      </c>
      <c r="E864" s="11">
        <v>0.97789947193428517</v>
      </c>
      <c r="L864" s="9">
        <v>36500</v>
      </c>
      <c r="M864" s="14">
        <f t="shared" si="42"/>
        <v>-4.2159883249553998E-3</v>
      </c>
      <c r="N864" s="14">
        <f t="shared" si="43"/>
        <v>-6.9559757203656591E-3</v>
      </c>
      <c r="O864" s="14">
        <f t="shared" si="44"/>
        <v>-2.0780363778603594E-2</v>
      </c>
      <c r="P864" s="14">
        <f t="array" ref="P864">MMULT(M864:O864,$I$9:$I$11)</f>
        <v>-1.7048358339897051E-2</v>
      </c>
    </row>
    <row r="865" spans="2:16" x14ac:dyDescent="0.25">
      <c r="B865" s="9">
        <v>36501</v>
      </c>
      <c r="C865" s="10">
        <v>6.1020000000000005E-2</v>
      </c>
      <c r="D865" s="11">
        <v>1409.17</v>
      </c>
      <c r="E865" s="11">
        <v>0.97775604986555853</v>
      </c>
      <c r="L865" s="9">
        <v>36501</v>
      </c>
      <c r="M865" s="14">
        <f t="shared" si="42"/>
        <v>-6.3507572056666906E-3</v>
      </c>
      <c r="N865" s="14">
        <f t="shared" si="43"/>
        <v>-9.9485010503536087E-3</v>
      </c>
      <c r="O865" s="14">
        <f t="shared" si="44"/>
        <v>-1.4666340747981899E-4</v>
      </c>
      <c r="P865" s="14">
        <f t="array" ref="P865">MMULT(M865:O865,$I$9:$I$11)</f>
        <v>-2.7927488065890558E-3</v>
      </c>
    </row>
    <row r="866" spans="2:16" x14ac:dyDescent="0.25">
      <c r="B866" s="9">
        <v>36502</v>
      </c>
      <c r="C866" s="10">
        <v>6.1369999999999994E-2</v>
      </c>
      <c r="D866" s="11">
        <v>1403.88</v>
      </c>
      <c r="E866" s="11">
        <v>0.97594300492851216</v>
      </c>
      <c r="L866" s="9">
        <v>36502</v>
      </c>
      <c r="M866" s="14">
        <f t="shared" si="42"/>
        <v>5.7358243198948333E-3</v>
      </c>
      <c r="N866" s="14">
        <f t="shared" si="43"/>
        <v>-3.753982840963066E-3</v>
      </c>
      <c r="O866" s="14">
        <f t="shared" si="44"/>
        <v>-1.8542917093641309E-3</v>
      </c>
      <c r="P866" s="14">
        <f t="array" ref="P866">MMULT(M866:O866,$I$9:$I$11)</f>
        <v>-2.367128704761196E-3</v>
      </c>
    </row>
    <row r="867" spans="2:16" x14ac:dyDescent="0.25">
      <c r="B867" s="9">
        <v>36503</v>
      </c>
      <c r="C867" s="10">
        <v>6.1280000000000001E-2</v>
      </c>
      <c r="D867" s="11">
        <v>1408.11</v>
      </c>
      <c r="E867" s="11">
        <v>0.98255956767379027</v>
      </c>
      <c r="L867" s="9">
        <v>36503</v>
      </c>
      <c r="M867" s="14">
        <f t="shared" si="42"/>
        <v>-1.4665145836726401E-3</v>
      </c>
      <c r="N867" s="14">
        <f t="shared" si="43"/>
        <v>3.0130780408581526E-3</v>
      </c>
      <c r="O867" s="14">
        <f t="shared" si="44"/>
        <v>6.7796610169492677E-3</v>
      </c>
      <c r="P867" s="14">
        <f t="array" ref="P867">MMULT(M867:O867,$I$9:$I$11)</f>
        <v>5.7628414591580626E-3</v>
      </c>
    </row>
    <row r="868" spans="2:16" x14ac:dyDescent="0.25">
      <c r="B868" s="9">
        <v>36504</v>
      </c>
      <c r="C868" s="10">
        <v>6.0720000000000003E-2</v>
      </c>
      <c r="D868" s="11">
        <v>1417.04</v>
      </c>
      <c r="E868" s="11">
        <v>0.98391302208884723</v>
      </c>
      <c r="L868" s="9">
        <v>36504</v>
      </c>
      <c r="M868" s="14">
        <f t="shared" si="42"/>
        <v>-9.1383812010443766E-3</v>
      </c>
      <c r="N868" s="14">
        <f t="shared" si="43"/>
        <v>6.3418340896663761E-3</v>
      </c>
      <c r="O868" s="14">
        <f t="shared" si="44"/>
        <v>1.3774782309241562E-3</v>
      </c>
      <c r="P868" s="14">
        <f t="array" ref="P868">MMULT(M868:O868,$I$9:$I$11)</f>
        <v>2.71764627210269E-3</v>
      </c>
    </row>
    <row r="869" spans="2:16" x14ac:dyDescent="0.25">
      <c r="B869" s="9">
        <v>36507</v>
      </c>
      <c r="C869" s="10">
        <v>6.1020000000000005E-2</v>
      </c>
      <c r="D869" s="11">
        <v>1415.22</v>
      </c>
      <c r="E869" s="11">
        <v>0.98853301700276786</v>
      </c>
      <c r="L869" s="9">
        <v>36507</v>
      </c>
      <c r="M869" s="14">
        <f t="shared" si="42"/>
        <v>4.9407114624506754E-3</v>
      </c>
      <c r="N869" s="14">
        <f t="shared" si="43"/>
        <v>-1.2843674137638095E-3</v>
      </c>
      <c r="O869" s="14">
        <f t="shared" si="44"/>
        <v>4.695531830763322E-3</v>
      </c>
      <c r="P869" s="14">
        <f t="array" ref="P869">MMULT(M869:O869,$I$9:$I$11)</f>
        <v>3.0812096336810639E-3</v>
      </c>
    </row>
    <row r="870" spans="2:16" x14ac:dyDescent="0.25">
      <c r="B870" s="9">
        <v>36508</v>
      </c>
      <c r="C870" s="10">
        <v>6.216E-2</v>
      </c>
      <c r="D870" s="11">
        <v>1403.17</v>
      </c>
      <c r="E870" s="11">
        <v>0.99443118536197295</v>
      </c>
      <c r="L870" s="9">
        <v>36508</v>
      </c>
      <c r="M870" s="14">
        <f t="shared" si="42"/>
        <v>1.8682399213372669E-2</v>
      </c>
      <c r="N870" s="14">
        <f t="shared" si="43"/>
        <v>-8.5145772388744989E-3</v>
      </c>
      <c r="O870" s="14">
        <f t="shared" si="44"/>
        <v>5.9665871121719061E-3</v>
      </c>
      <c r="P870" s="14">
        <f t="array" ref="P870">MMULT(M870:O870,$I$9:$I$11)</f>
        <v>2.0572795978545649E-3</v>
      </c>
    </row>
    <row r="871" spans="2:16" x14ac:dyDescent="0.25">
      <c r="B871" s="9">
        <v>36509</v>
      </c>
      <c r="C871" s="10">
        <v>6.2380000000000005E-2</v>
      </c>
      <c r="D871" s="11">
        <v>1413.32</v>
      </c>
      <c r="E871" s="11">
        <v>0.9964625579193862</v>
      </c>
      <c r="L871" s="9">
        <v>36509</v>
      </c>
      <c r="M871" s="14">
        <f t="shared" si="42"/>
        <v>3.5392535392535507E-3</v>
      </c>
      <c r="N871" s="14">
        <f t="shared" si="43"/>
        <v>7.2336210152723623E-3</v>
      </c>
      <c r="O871" s="14">
        <f t="shared" si="44"/>
        <v>2.0427482437348488E-3</v>
      </c>
      <c r="P871" s="14">
        <f t="array" ref="P871">MMULT(M871:O871,$I$9:$I$11)</f>
        <v>3.4440663587502716E-3</v>
      </c>
    </row>
    <row r="872" spans="2:16" x14ac:dyDescent="0.25">
      <c r="B872" s="9">
        <v>36510</v>
      </c>
      <c r="C872" s="10">
        <v>6.3039999999999999E-2</v>
      </c>
      <c r="D872" s="11">
        <v>1418.78</v>
      </c>
      <c r="E872" s="11">
        <v>0.98227002603015579</v>
      </c>
      <c r="L872" s="9">
        <v>36510</v>
      </c>
      <c r="M872" s="14">
        <f t="shared" si="42"/>
        <v>1.0580314203270103E-2</v>
      </c>
      <c r="N872" s="14">
        <f t="shared" si="43"/>
        <v>3.8632439928678597E-3</v>
      </c>
      <c r="O872" s="14">
        <f t="shared" si="44"/>
        <v>-1.424291537743716E-2</v>
      </c>
      <c r="P872" s="14">
        <f t="array" ref="P872">MMULT(M872:O872,$I$9:$I$11)</f>
        <v>-9.3550111201633982E-3</v>
      </c>
    </row>
    <row r="873" spans="2:16" x14ac:dyDescent="0.25">
      <c r="B873" s="9">
        <v>36511</v>
      </c>
      <c r="C873" s="10">
        <v>6.2910000000000008E-2</v>
      </c>
      <c r="D873" s="11">
        <v>1421.03</v>
      </c>
      <c r="E873" s="11">
        <v>0.99063846649165388</v>
      </c>
      <c r="L873" s="9">
        <v>36511</v>
      </c>
      <c r="M873" s="14">
        <f t="shared" si="42"/>
        <v>-2.0621827411165805E-3</v>
      </c>
      <c r="N873" s="14">
        <f t="shared" si="43"/>
        <v>1.5858695498949249E-3</v>
      </c>
      <c r="O873" s="14">
        <f t="shared" si="44"/>
        <v>8.5194908118282342E-3</v>
      </c>
      <c r="P873" s="14">
        <f t="array" ref="P873">MMULT(M873:O873,$I$9:$I$11)</f>
        <v>6.6477036375636369E-3</v>
      </c>
    </row>
    <row r="874" spans="2:16" x14ac:dyDescent="0.25">
      <c r="B874" s="9">
        <v>36514</v>
      </c>
      <c r="C874" s="10">
        <v>6.3579999999999998E-2</v>
      </c>
      <c r="D874" s="11">
        <v>1418.09</v>
      </c>
      <c r="E874" s="11">
        <v>0.99162080420447218</v>
      </c>
      <c r="L874" s="9">
        <v>36514</v>
      </c>
      <c r="M874" s="14">
        <f t="shared" si="42"/>
        <v>1.0650135113654313E-2</v>
      </c>
      <c r="N874" s="14">
        <f t="shared" si="43"/>
        <v>-2.0689218383849184E-3</v>
      </c>
      <c r="O874" s="14">
        <f t="shared" si="44"/>
        <v>9.9162080420445164E-4</v>
      </c>
      <c r="P874" s="14">
        <f t="array" ref="P874">MMULT(M874:O874,$I$9:$I$11)</f>
        <v>1.6540254850882325E-4</v>
      </c>
    </row>
    <row r="875" spans="2:16" x14ac:dyDescent="0.25">
      <c r="B875" s="9">
        <v>36515</v>
      </c>
      <c r="C875" s="10">
        <v>6.3759999999999997E-2</v>
      </c>
      <c r="D875" s="11">
        <v>1433.43</v>
      </c>
      <c r="E875" s="11">
        <v>0.99117851124987622</v>
      </c>
      <c r="L875" s="9">
        <v>36515</v>
      </c>
      <c r="M875" s="14">
        <f t="shared" si="42"/>
        <v>2.8310789556464933E-3</v>
      </c>
      <c r="N875" s="14">
        <f t="shared" si="43"/>
        <v>1.0817367021839441E-2</v>
      </c>
      <c r="O875" s="14">
        <f t="shared" si="44"/>
        <v>-4.4603033006229698E-4</v>
      </c>
      <c r="P875" s="14">
        <f t="array" ref="P875">MMULT(M875:O875,$I$9:$I$11)</f>
        <v>2.5946149410722551E-3</v>
      </c>
    </row>
    <row r="876" spans="2:16" x14ac:dyDescent="0.25">
      <c r="B876" s="9">
        <v>36516</v>
      </c>
      <c r="C876" s="10">
        <v>6.3759999999999997E-2</v>
      </c>
      <c r="D876" s="11">
        <v>1436.13</v>
      </c>
      <c r="E876" s="11">
        <v>0.99206349206349209</v>
      </c>
      <c r="L876" s="9">
        <v>36516</v>
      </c>
      <c r="M876" s="14">
        <f t="shared" si="42"/>
        <v>0</v>
      </c>
      <c r="N876" s="14">
        <f t="shared" si="43"/>
        <v>1.8835938971557553E-3</v>
      </c>
      <c r="O876" s="14">
        <f t="shared" si="44"/>
        <v>8.9285714285702866E-4</v>
      </c>
      <c r="P876" s="14">
        <f t="array" ref="P876">MMULT(M876:O876,$I$9:$I$11)</f>
        <v>1.1603145478280949E-3</v>
      </c>
    </row>
    <row r="877" spans="2:16" x14ac:dyDescent="0.25">
      <c r="B877" s="9">
        <v>36517</v>
      </c>
      <c r="C877" s="10">
        <v>6.4210000000000003E-2</v>
      </c>
      <c r="D877" s="11">
        <v>1458.34</v>
      </c>
      <c r="E877" s="11">
        <v>0.98478507065832888</v>
      </c>
      <c r="L877" s="9">
        <v>36517</v>
      </c>
      <c r="M877" s="14">
        <f t="shared" si="42"/>
        <v>7.0577164366374401E-3</v>
      </c>
      <c r="N877" s="14">
        <f t="shared" si="43"/>
        <v>1.5465173765605966E-2</v>
      </c>
      <c r="O877" s="14">
        <f t="shared" si="44"/>
        <v>-7.3366487764044974E-3</v>
      </c>
      <c r="P877" s="14">
        <f t="array" ref="P877">MMULT(M877:O877,$I$9:$I$11)</f>
        <v>-1.1811122433790398E-3</v>
      </c>
    </row>
    <row r="878" spans="2:16" x14ac:dyDescent="0.25">
      <c r="B878" s="9">
        <v>36518</v>
      </c>
      <c r="C878" s="10">
        <v>6.4210000000000003E-2</v>
      </c>
      <c r="D878" s="11">
        <v>1458.34</v>
      </c>
      <c r="E878" s="11">
        <v>0.98478507065832888</v>
      </c>
      <c r="L878" s="9">
        <v>36518</v>
      </c>
      <c r="M878" s="14">
        <f t="shared" si="42"/>
        <v>0</v>
      </c>
      <c r="N878" s="14">
        <f t="shared" si="43"/>
        <v>0</v>
      </c>
      <c r="O878" s="14">
        <f t="shared" si="44"/>
        <v>0</v>
      </c>
      <c r="P878" s="14">
        <f t="array" ref="P878">MMULT(M878:O878,$I$9:$I$11)</f>
        <v>0</v>
      </c>
    </row>
    <row r="879" spans="2:16" x14ac:dyDescent="0.25">
      <c r="B879" s="9">
        <v>36521</v>
      </c>
      <c r="C879" s="10">
        <v>6.3990000000000005E-2</v>
      </c>
      <c r="D879" s="11">
        <v>1457.1</v>
      </c>
      <c r="E879" s="11">
        <v>0.98809347364260669</v>
      </c>
      <c r="L879" s="9">
        <v>36521</v>
      </c>
      <c r="M879" s="14">
        <f t="shared" si="42"/>
        <v>-3.426257592275328E-3</v>
      </c>
      <c r="N879" s="14">
        <f t="shared" si="43"/>
        <v>-8.5028182728308366E-4</v>
      </c>
      <c r="O879" s="14">
        <f t="shared" si="44"/>
        <v>3.3595178103849044E-3</v>
      </c>
      <c r="P879" s="14">
        <f t="array" ref="P879">MMULT(M879:O879,$I$9:$I$11)</f>
        <v>2.2230483277968778E-3</v>
      </c>
    </row>
    <row r="880" spans="2:16" x14ac:dyDescent="0.25">
      <c r="B880" s="9">
        <v>36522</v>
      </c>
      <c r="C880" s="10">
        <v>6.4170000000000005E-2</v>
      </c>
      <c r="D880" s="11">
        <v>1457.66</v>
      </c>
      <c r="E880" s="11">
        <v>0.99275290380224357</v>
      </c>
      <c r="L880" s="9">
        <v>36522</v>
      </c>
      <c r="M880" s="14">
        <f t="shared" si="42"/>
        <v>2.8129395218001729E-3</v>
      </c>
      <c r="N880" s="14">
        <f t="shared" si="43"/>
        <v>3.8432502916774247E-4</v>
      </c>
      <c r="O880" s="14">
        <f t="shared" si="44"/>
        <v>4.7155762930604084E-3</v>
      </c>
      <c r="P880" s="14">
        <f t="array" ref="P880">MMULT(M880:O880,$I$9:$I$11)</f>
        <v>3.5463199610508509E-3</v>
      </c>
    </row>
    <row r="881" spans="2:16" x14ac:dyDescent="0.25">
      <c r="B881" s="9">
        <v>36523</v>
      </c>
      <c r="C881" s="10">
        <v>6.3899999999999998E-2</v>
      </c>
      <c r="D881" s="11">
        <v>1463.46</v>
      </c>
      <c r="E881" s="11">
        <v>0.99537152242074345</v>
      </c>
      <c r="L881" s="9">
        <v>36523</v>
      </c>
      <c r="M881" s="14">
        <f t="shared" si="42"/>
        <v>-4.2075736325386526E-3</v>
      </c>
      <c r="N881" s="14">
        <f t="shared" si="43"/>
        <v>3.9789800090554994E-3</v>
      </c>
      <c r="O881" s="14">
        <f t="shared" si="44"/>
        <v>2.6377345344148484E-3</v>
      </c>
      <c r="P881" s="14">
        <f t="array" ref="P881">MMULT(M881:O881,$I$9:$I$11)</f>
        <v>2.9998146051501786E-3</v>
      </c>
    </row>
    <row r="882" spans="2:16" x14ac:dyDescent="0.25">
      <c r="B882" s="9">
        <v>36524</v>
      </c>
      <c r="C882" s="10">
        <v>6.368E-2</v>
      </c>
      <c r="D882" s="11">
        <v>1464.47</v>
      </c>
      <c r="E882" s="11">
        <v>0.99537152242074345</v>
      </c>
      <c r="L882" s="9">
        <v>36524</v>
      </c>
      <c r="M882" s="14">
        <f t="shared" si="42"/>
        <v>-3.4428794992175105E-3</v>
      </c>
      <c r="N882" s="14">
        <f t="shared" si="43"/>
        <v>6.9014527216326726E-4</v>
      </c>
      <c r="O882" s="14">
        <f t="shared" si="44"/>
        <v>0</v>
      </c>
      <c r="P882" s="14">
        <f t="array" ref="P882">MMULT(M882:O882,$I$9:$I$11)</f>
        <v>1.8631030164666912E-4</v>
      </c>
    </row>
    <row r="883" spans="2:16" x14ac:dyDescent="0.25">
      <c r="B883" s="9">
        <v>36525</v>
      </c>
      <c r="C883" s="10">
        <v>6.4349999999999991E-2</v>
      </c>
      <c r="D883" s="11">
        <v>1469.25</v>
      </c>
      <c r="E883" s="11">
        <v>0.99765550955255144</v>
      </c>
      <c r="L883" s="9">
        <v>36525</v>
      </c>
      <c r="M883" s="14">
        <f t="shared" si="42"/>
        <v>1.0521356783919522E-2</v>
      </c>
      <c r="N883" s="14">
        <f t="shared" si="43"/>
        <v>3.2639794601458938E-3</v>
      </c>
      <c r="O883" s="14">
        <f t="shared" si="44"/>
        <v>2.2946076719709829E-3</v>
      </c>
      <c r="P883" s="14">
        <f t="array" ref="P883">MMULT(M883:O883,$I$9:$I$11)</f>
        <v>2.5562974314277619E-3</v>
      </c>
    </row>
    <row r="884" spans="2:16" x14ac:dyDescent="0.25">
      <c r="B884" s="9">
        <v>36528</v>
      </c>
      <c r="C884" s="10">
        <v>6.5939999999999999E-2</v>
      </c>
      <c r="D884" s="11">
        <v>1455.22</v>
      </c>
      <c r="E884" s="11">
        <v>0.98497906919477962</v>
      </c>
      <c r="L884" s="9">
        <v>36528</v>
      </c>
      <c r="M884" s="14">
        <f t="shared" si="42"/>
        <v>2.4708624708624782E-2</v>
      </c>
      <c r="N884" s="14">
        <f t="shared" si="43"/>
        <v>-9.5490896716011742E-3</v>
      </c>
      <c r="O884" s="14">
        <f t="shared" si="44"/>
        <v>-1.2706229992612617E-2</v>
      </c>
      <c r="P884" s="14">
        <f t="array" ref="P884">MMULT(M884:O884,$I$9:$I$11)</f>
        <v>-1.185393441185067E-2</v>
      </c>
    </row>
    <row r="885" spans="2:16" x14ac:dyDescent="0.25">
      <c r="B885" s="9">
        <v>36529</v>
      </c>
      <c r="C885" s="10">
        <v>6.4989999999999992E-2</v>
      </c>
      <c r="D885" s="11">
        <v>1399.42</v>
      </c>
      <c r="E885" s="11">
        <v>0.97068530382450013</v>
      </c>
      <c r="L885" s="9">
        <v>36529</v>
      </c>
      <c r="M885" s="14">
        <f t="shared" si="42"/>
        <v>-1.4407036700030407E-2</v>
      </c>
      <c r="N885" s="14">
        <f t="shared" si="43"/>
        <v>-3.8344717637195713E-2</v>
      </c>
      <c r="O885" s="14">
        <f t="shared" si="44"/>
        <v>-1.4511745292176248E-2</v>
      </c>
      <c r="P885" s="14">
        <f t="array" ref="P885">MMULT(M885:O885,$I$9:$I$11)</f>
        <v>-2.0945649059739627E-2</v>
      </c>
    </row>
    <row r="886" spans="2:16" x14ac:dyDescent="0.25">
      <c r="B886" s="9">
        <v>36530</v>
      </c>
      <c r="C886" s="10">
        <v>6.5990000000000007E-2</v>
      </c>
      <c r="D886" s="11">
        <v>1402.11</v>
      </c>
      <c r="E886" s="11">
        <v>0.96739866498984228</v>
      </c>
      <c r="L886" s="9">
        <v>36530</v>
      </c>
      <c r="M886" s="14">
        <f t="shared" si="42"/>
        <v>1.5386982612709987E-2</v>
      </c>
      <c r="N886" s="14">
        <f t="shared" si="43"/>
        <v>1.9222249217532017E-3</v>
      </c>
      <c r="O886" s="14">
        <f t="shared" si="44"/>
        <v>-3.3858953274644721E-3</v>
      </c>
      <c r="P886" s="14">
        <f t="array" ref="P886">MMULT(M886:O886,$I$9:$I$11)</f>
        <v>-1.9529253069517759E-3</v>
      </c>
    </row>
    <row r="887" spans="2:16" x14ac:dyDescent="0.25">
      <c r="B887" s="9">
        <v>36531</v>
      </c>
      <c r="C887" s="10">
        <v>6.54E-2</v>
      </c>
      <c r="D887" s="11">
        <v>1403.45</v>
      </c>
      <c r="E887" s="11">
        <v>0.96627693496956235</v>
      </c>
      <c r="L887" s="9">
        <v>36531</v>
      </c>
      <c r="M887" s="14">
        <f t="shared" si="42"/>
        <v>-8.940748598272541E-3</v>
      </c>
      <c r="N887" s="14">
        <f t="shared" si="43"/>
        <v>9.5570247698129052E-4</v>
      </c>
      <c r="O887" s="14">
        <f t="shared" si="44"/>
        <v>-1.159532321963419E-3</v>
      </c>
      <c r="P887" s="14">
        <f t="array" ref="P887">MMULT(M887:O887,$I$9:$I$11)</f>
        <v>-5.8850756914631845E-4</v>
      </c>
    </row>
    <row r="888" spans="2:16" x14ac:dyDescent="0.25">
      <c r="B888" s="9">
        <v>36532</v>
      </c>
      <c r="C888" s="10">
        <v>6.5129999999999993E-2</v>
      </c>
      <c r="D888" s="11">
        <v>1441.47</v>
      </c>
      <c r="E888" s="11">
        <v>0.97191175041306255</v>
      </c>
      <c r="L888" s="9">
        <v>36532</v>
      </c>
      <c r="M888" s="14">
        <f t="shared" si="42"/>
        <v>-4.1284403669725744E-3</v>
      </c>
      <c r="N888" s="14">
        <f t="shared" si="43"/>
        <v>2.7090384409847124E-2</v>
      </c>
      <c r="O888" s="14">
        <f t="shared" si="44"/>
        <v>5.831470502478453E-3</v>
      </c>
      <c r="P888" s="14">
        <f t="array" ref="P888">MMULT(M888:O888,$I$9:$I$11)</f>
        <v>1.1570486362642792E-2</v>
      </c>
    </row>
    <row r="889" spans="2:16" x14ac:dyDescent="0.25">
      <c r="B889" s="9">
        <v>36535</v>
      </c>
      <c r="C889" s="10">
        <v>6.5540000000000001E-2</v>
      </c>
      <c r="D889" s="11">
        <v>1457.6</v>
      </c>
      <c r="E889" s="11">
        <v>0.97423157484534062</v>
      </c>
      <c r="L889" s="9">
        <v>36535</v>
      </c>
      <c r="M889" s="14">
        <f t="shared" si="42"/>
        <v>6.2951021034853838E-3</v>
      </c>
      <c r="N889" s="14">
        <f t="shared" si="43"/>
        <v>1.1189965798802604E-2</v>
      </c>
      <c r="O889" s="14">
        <f t="shared" si="44"/>
        <v>2.3868673583709032E-3</v>
      </c>
      <c r="P889" s="14">
        <f t="array" ref="P889">MMULT(M889:O889,$I$9:$I$11)</f>
        <v>4.7633350268680274E-3</v>
      </c>
    </row>
    <row r="890" spans="2:16" x14ac:dyDescent="0.25">
      <c r="B890" s="9">
        <v>36536</v>
      </c>
      <c r="C890" s="10">
        <v>6.6589999999999996E-2</v>
      </c>
      <c r="D890" s="11">
        <v>1438.56</v>
      </c>
      <c r="E890" s="11">
        <v>0.97106234220236931</v>
      </c>
      <c r="L890" s="9">
        <v>36536</v>
      </c>
      <c r="M890" s="14">
        <f t="shared" si="42"/>
        <v>1.6020750686603469E-2</v>
      </c>
      <c r="N890" s="14">
        <f t="shared" si="43"/>
        <v>-1.3062568605927583E-2</v>
      </c>
      <c r="O890" s="14">
        <f t="shared" si="44"/>
        <v>-3.2530588463779431E-3</v>
      </c>
      <c r="P890" s="14">
        <f t="array" ref="P890">MMULT(M890:O890,$I$9:$I$11)</f>
        <v>-5.9012153954751609E-3</v>
      </c>
    </row>
    <row r="891" spans="2:16" x14ac:dyDescent="0.25">
      <c r="B891" s="9">
        <v>36537</v>
      </c>
      <c r="C891" s="10">
        <v>6.701E-2</v>
      </c>
      <c r="D891" s="11">
        <v>1432.25</v>
      </c>
      <c r="E891" s="11">
        <v>0.97347286444390368</v>
      </c>
      <c r="L891" s="9">
        <v>36537</v>
      </c>
      <c r="M891" s="14">
        <f t="shared" si="42"/>
        <v>6.3072533413426335E-3</v>
      </c>
      <c r="N891" s="14">
        <f t="shared" si="43"/>
        <v>-4.3863307752196601E-3</v>
      </c>
      <c r="O891" s="14">
        <f t="shared" si="44"/>
        <v>2.4823558043320926E-3</v>
      </c>
      <c r="P891" s="14">
        <f t="array" ref="P891">MMULT(M891:O891,$I$9:$I$11)</f>
        <v>6.2809827310035603E-4</v>
      </c>
    </row>
    <row r="892" spans="2:16" x14ac:dyDescent="0.25">
      <c r="B892" s="9">
        <v>36538</v>
      </c>
      <c r="C892" s="10">
        <v>6.631999999999999E-2</v>
      </c>
      <c r="D892" s="11">
        <v>1449.68</v>
      </c>
      <c r="E892" s="11">
        <v>0.97356763861169249</v>
      </c>
      <c r="L892" s="9">
        <v>36538</v>
      </c>
      <c r="M892" s="14">
        <f t="shared" si="42"/>
        <v>-1.0296970601402888E-2</v>
      </c>
      <c r="N892" s="14">
        <f t="shared" si="43"/>
        <v>1.2169663117472584E-2</v>
      </c>
      <c r="O892" s="14">
        <f t="shared" si="44"/>
        <v>9.7356763861133899E-5</v>
      </c>
      <c r="P892" s="14">
        <f t="array" ref="P892">MMULT(M892:O892,$I$9:$I$11)</f>
        <v>3.3563735666021356E-3</v>
      </c>
    </row>
    <row r="893" spans="2:16" x14ac:dyDescent="0.25">
      <c r="B893" s="9">
        <v>36539</v>
      </c>
      <c r="C893" s="10">
        <v>6.6879999999999995E-2</v>
      </c>
      <c r="D893" s="11">
        <v>1465.15</v>
      </c>
      <c r="E893" s="11">
        <v>0.98780066182644333</v>
      </c>
      <c r="L893" s="9">
        <v>36539</v>
      </c>
      <c r="M893" s="14">
        <f t="shared" si="42"/>
        <v>8.4439083232812351E-3</v>
      </c>
      <c r="N893" s="14">
        <f t="shared" si="43"/>
        <v>1.0671320567297693E-2</v>
      </c>
      <c r="O893" s="14">
        <f t="shared" si="44"/>
        <v>1.4619449795031381E-2</v>
      </c>
      <c r="P893" s="14">
        <f t="array" ref="P893">MMULT(M893:O893,$I$9:$I$11)</f>
        <v>1.355362035733427E-2</v>
      </c>
    </row>
    <row r="894" spans="2:16" x14ac:dyDescent="0.25">
      <c r="B894" s="9">
        <v>36542</v>
      </c>
      <c r="C894" s="10">
        <v>6.6879999999999995E-2</v>
      </c>
      <c r="D894" s="11">
        <v>1465.15</v>
      </c>
      <c r="E894" s="11">
        <v>0.99176832291976602</v>
      </c>
      <c r="L894" s="9">
        <v>36542</v>
      </c>
      <c r="M894" s="14">
        <f t="shared" si="42"/>
        <v>0</v>
      </c>
      <c r="N894" s="14">
        <f t="shared" si="43"/>
        <v>0</v>
      </c>
      <c r="O894" s="14">
        <f t="shared" si="44"/>
        <v>4.0166617078252198E-3</v>
      </c>
      <c r="P894" s="14">
        <f t="array" ref="P894">MMULT(M894:O894,$I$9:$I$11)</f>
        <v>2.9323313724860449E-3</v>
      </c>
    </row>
    <row r="895" spans="2:16" x14ac:dyDescent="0.25">
      <c r="B895" s="9">
        <v>36543</v>
      </c>
      <c r="C895" s="10">
        <v>6.7530000000000007E-2</v>
      </c>
      <c r="D895" s="11">
        <v>1455.14</v>
      </c>
      <c r="E895" s="11">
        <v>0.9892664589207103</v>
      </c>
      <c r="L895" s="9">
        <v>36543</v>
      </c>
      <c r="M895" s="14">
        <f t="shared" si="42"/>
        <v>9.7188995215313767E-3</v>
      </c>
      <c r="N895" s="14">
        <f t="shared" si="43"/>
        <v>-6.8320649762823038E-3</v>
      </c>
      <c r="O895" s="14">
        <f t="shared" si="44"/>
        <v>-2.5226294702478391E-3</v>
      </c>
      <c r="P895" s="14">
        <f t="array" ref="P895">MMULT(M895:O895,$I$9:$I$11)</f>
        <v>-3.6859964618661013E-3</v>
      </c>
    </row>
    <row r="896" spans="2:16" x14ac:dyDescent="0.25">
      <c r="B896" s="9">
        <v>36544</v>
      </c>
      <c r="C896" s="10">
        <v>6.7299999999999999E-2</v>
      </c>
      <c r="D896" s="11">
        <v>1455.9</v>
      </c>
      <c r="E896" s="11">
        <v>0.99019704921279328</v>
      </c>
      <c r="L896" s="9">
        <v>36544</v>
      </c>
      <c r="M896" s="14">
        <f t="shared" si="42"/>
        <v>-3.4058936768844861E-3</v>
      </c>
      <c r="N896" s="14">
        <f t="shared" si="43"/>
        <v>5.2228651538688275E-4</v>
      </c>
      <c r="O896" s="14">
        <f t="shared" si="44"/>
        <v>9.4068719675211021E-4</v>
      </c>
      <c r="P896" s="14">
        <f t="array" ref="P896">MMULT(M896:O896,$I$9:$I$11)</f>
        <v>8.2773654665204517E-4</v>
      </c>
    </row>
    <row r="897" spans="2:16" x14ac:dyDescent="0.25">
      <c r="B897" s="9">
        <v>36545</v>
      </c>
      <c r="C897" s="10">
        <v>6.7900000000000002E-2</v>
      </c>
      <c r="D897" s="11">
        <v>1445.57</v>
      </c>
      <c r="E897" s="11">
        <v>0.99054033975533662</v>
      </c>
      <c r="L897" s="9">
        <v>36545</v>
      </c>
      <c r="M897" s="14">
        <f t="shared" si="42"/>
        <v>8.9153046062406816E-3</v>
      </c>
      <c r="N897" s="14">
        <f t="shared" si="43"/>
        <v>-7.0952675321108716E-3</v>
      </c>
      <c r="O897" s="14">
        <f t="shared" si="44"/>
        <v>3.46689118914556E-4</v>
      </c>
      <c r="P897" s="14">
        <f t="array" ref="P897">MMULT(M897:O897,$I$9:$I$11)</f>
        <v>-1.6623273076530613E-3</v>
      </c>
    </row>
    <row r="898" spans="2:16" x14ac:dyDescent="0.25">
      <c r="B898" s="9">
        <v>36546</v>
      </c>
      <c r="C898" s="10">
        <v>6.7720000000000002E-2</v>
      </c>
      <c r="D898" s="11">
        <v>1441.36</v>
      </c>
      <c r="E898" s="11">
        <v>0.9930979691146532</v>
      </c>
      <c r="L898" s="9">
        <v>36546</v>
      </c>
      <c r="M898" s="14">
        <f t="shared" si="42"/>
        <v>-2.6509572901325384E-3</v>
      </c>
      <c r="N898" s="14">
        <f t="shared" si="43"/>
        <v>-2.9123459950054498E-3</v>
      </c>
      <c r="O898" s="14">
        <f t="shared" si="44"/>
        <v>2.5820547196979682E-3</v>
      </c>
      <c r="P898" s="14">
        <f t="array" ref="P898">MMULT(M898:O898,$I$9:$I$11)</f>
        <v>1.0987967799378582E-3</v>
      </c>
    </row>
    <row r="899" spans="2:16" x14ac:dyDescent="0.25">
      <c r="B899" s="9">
        <v>36549</v>
      </c>
      <c r="C899" s="10">
        <v>6.6890000000000005E-2</v>
      </c>
      <c r="D899" s="11">
        <v>1401.53</v>
      </c>
      <c r="E899" s="11">
        <v>0.99770527786091989</v>
      </c>
      <c r="L899" s="9">
        <v>36549</v>
      </c>
      <c r="M899" s="14">
        <f t="shared" si="42"/>
        <v>-1.2256349675132894E-2</v>
      </c>
      <c r="N899" s="14">
        <f t="shared" si="43"/>
        <v>-2.7633623799744655E-2</v>
      </c>
      <c r="O899" s="14">
        <f t="shared" si="44"/>
        <v>4.639329542053261E-3</v>
      </c>
      <c r="P899" s="14">
        <f t="array" ref="P899">MMULT(M899:O899,$I$9:$I$11)</f>
        <v>-4.0730154013412182E-3</v>
      </c>
    </row>
    <row r="900" spans="2:16" x14ac:dyDescent="0.25">
      <c r="B900" s="9">
        <v>36550</v>
      </c>
      <c r="C900" s="10">
        <v>6.694E-2</v>
      </c>
      <c r="D900" s="11">
        <v>1410.03</v>
      </c>
      <c r="E900" s="11">
        <v>0.99359133588355097</v>
      </c>
      <c r="L900" s="9">
        <v>36550</v>
      </c>
      <c r="M900" s="14">
        <f t="shared" si="42"/>
        <v>7.4749588877254247E-4</v>
      </c>
      <c r="N900" s="14">
        <f t="shared" si="43"/>
        <v>6.0648006107610897E-3</v>
      </c>
      <c r="O900" s="14">
        <f t="shared" si="44"/>
        <v>-4.1234040439168673E-3</v>
      </c>
      <c r="P900" s="14">
        <f t="array" ref="P900">MMULT(M900:O900,$I$9:$I$11)</f>
        <v>-1.3730157430577982E-3</v>
      </c>
    </row>
    <row r="901" spans="2:16" x14ac:dyDescent="0.25">
      <c r="B901" s="9">
        <v>36551</v>
      </c>
      <c r="C901" s="10">
        <v>6.6659999999999997E-2</v>
      </c>
      <c r="D901" s="11">
        <v>1404.09</v>
      </c>
      <c r="E901" s="11">
        <v>0.99880143827407097</v>
      </c>
      <c r="L901" s="9">
        <v>36551</v>
      </c>
      <c r="M901" s="14">
        <f t="shared" si="42"/>
        <v>-4.1828503137137929E-3</v>
      </c>
      <c r="N901" s="14">
        <f t="shared" si="43"/>
        <v>-4.2126763260356137E-3</v>
      </c>
      <c r="O901" s="14">
        <f t="shared" si="44"/>
        <v>5.2437075509388364E-3</v>
      </c>
      <c r="P901" s="14">
        <f t="array" ref="P901">MMULT(M901:O901,$I$9:$I$11)</f>
        <v>2.6908801917317517E-3</v>
      </c>
    </row>
    <row r="902" spans="2:16" x14ac:dyDescent="0.25">
      <c r="B902" s="9">
        <v>36552</v>
      </c>
      <c r="C902" s="10">
        <v>6.6989999999999994E-2</v>
      </c>
      <c r="D902" s="11">
        <v>1398.56</v>
      </c>
      <c r="E902" s="11">
        <v>1.0117873223048515</v>
      </c>
      <c r="L902" s="9">
        <v>36552</v>
      </c>
      <c r="M902" s="14">
        <f t="shared" si="42"/>
        <v>4.9504950495049549E-3</v>
      </c>
      <c r="N902" s="14">
        <f t="shared" si="43"/>
        <v>-3.938493971184176E-3</v>
      </c>
      <c r="O902" s="14">
        <f t="shared" si="44"/>
        <v>1.3001467091617425E-2</v>
      </c>
      <c r="P902" s="14">
        <f t="array" ref="P902">MMULT(M902:O902,$I$9:$I$11)</f>
        <v>8.4283875056331559E-3</v>
      </c>
    </row>
    <row r="903" spans="2:16" x14ac:dyDescent="0.25">
      <c r="B903" s="9">
        <v>36553</v>
      </c>
      <c r="C903" s="10">
        <v>6.658E-2</v>
      </c>
      <c r="D903" s="11">
        <v>1360.16</v>
      </c>
      <c r="E903" s="11">
        <v>1.020512297173181</v>
      </c>
      <c r="L903" s="9">
        <v>36553</v>
      </c>
      <c r="M903" s="14">
        <f t="shared" si="42"/>
        <v>-6.1203164651439934E-3</v>
      </c>
      <c r="N903" s="14">
        <f t="shared" si="43"/>
        <v>-2.7456812721656454E-2</v>
      </c>
      <c r="O903" s="14">
        <f t="shared" si="44"/>
        <v>8.6233289111135036E-3</v>
      </c>
      <c r="P903" s="14">
        <f t="array" ref="P903">MMULT(M903:O903,$I$9:$I$11)</f>
        <v>-1.1167973234478363E-3</v>
      </c>
    </row>
    <row r="904" spans="2:16" x14ac:dyDescent="0.25">
      <c r="B904" s="9">
        <v>36556</v>
      </c>
      <c r="C904" s="10">
        <v>6.6619999999999999E-2</v>
      </c>
      <c r="D904" s="11">
        <v>1394.46</v>
      </c>
      <c r="E904" s="11">
        <v>1.0221290949046864</v>
      </c>
      <c r="L904" s="9">
        <v>36556</v>
      </c>
      <c r="M904" s="14">
        <f t="shared" si="42"/>
        <v>6.0078101531990669E-4</v>
      </c>
      <c r="N904" s="14">
        <f t="shared" si="43"/>
        <v>2.5217621456299133E-2</v>
      </c>
      <c r="O904" s="14">
        <f t="shared" si="44"/>
        <v>1.5843000971020871E-3</v>
      </c>
      <c r="P904" s="14">
        <f t="array" ref="P904">MMULT(M904:O904,$I$9:$I$11)</f>
        <v>7.9643064652439866E-3</v>
      </c>
    </row>
    <row r="905" spans="2:16" x14ac:dyDescent="0.25">
      <c r="B905" s="9">
        <v>36557</v>
      </c>
      <c r="C905" s="10">
        <v>6.6259999999999999E-2</v>
      </c>
      <c r="D905" s="11">
        <v>1409.28</v>
      </c>
      <c r="E905" s="11">
        <v>1.0279076938890888</v>
      </c>
      <c r="L905" s="9">
        <v>36557</v>
      </c>
      <c r="M905" s="14">
        <f t="shared" ref="M905:M968" si="45">C905/C904-1</f>
        <v>-5.4037826478534612E-3</v>
      </c>
      <c r="N905" s="14">
        <f t="shared" ref="N905:N968" si="46">D905/D904-1</f>
        <v>1.0627769889419492E-2</v>
      </c>
      <c r="O905" s="14">
        <f t="shared" ref="O905:O968" si="47">E905/E904-1</f>
        <v>5.6534923163900075E-3</v>
      </c>
      <c r="P905" s="14">
        <f t="array" ref="P905">MMULT(M905:O905,$I$9:$I$11)</f>
        <v>6.996338804637979E-3</v>
      </c>
    </row>
    <row r="906" spans="2:16" x14ac:dyDescent="0.25">
      <c r="B906" s="9">
        <v>36558</v>
      </c>
      <c r="C906" s="10">
        <v>6.5750000000000003E-2</v>
      </c>
      <c r="D906" s="11">
        <v>1409.12</v>
      </c>
      <c r="E906" s="11">
        <v>1.0286478424111505</v>
      </c>
      <c r="L906" s="9">
        <v>36558</v>
      </c>
      <c r="M906" s="14">
        <f t="shared" si="45"/>
        <v>-7.696951403561636E-3</v>
      </c>
      <c r="N906" s="14">
        <f t="shared" si="46"/>
        <v>-1.1353315168038947E-4</v>
      </c>
      <c r="O906" s="14">
        <f t="shared" si="47"/>
        <v>7.2005348968784411E-4</v>
      </c>
      <c r="P906" s="14">
        <f t="array" ref="P906">MMULT(M906:O906,$I$9:$I$11)</f>
        <v>4.9502002953656047E-4</v>
      </c>
    </row>
    <row r="907" spans="2:16" x14ac:dyDescent="0.25">
      <c r="B907" s="9">
        <v>36559</v>
      </c>
      <c r="C907" s="10">
        <v>6.448000000000001E-2</v>
      </c>
      <c r="D907" s="11">
        <v>1424.97</v>
      </c>
      <c r="E907" s="11">
        <v>1.0161052685058172</v>
      </c>
      <c r="L907" s="9">
        <v>36559</v>
      </c>
      <c r="M907" s="14">
        <f t="shared" si="45"/>
        <v>-1.9315589353612106E-2</v>
      </c>
      <c r="N907" s="14">
        <f t="shared" si="46"/>
        <v>1.1248154876802641E-2</v>
      </c>
      <c r="O907" s="14">
        <f t="shared" si="47"/>
        <v>-1.2193263222069817E-2</v>
      </c>
      <c r="P907" s="14">
        <f t="array" ref="P907">MMULT(M907:O907,$I$9:$I$11)</f>
        <v>-5.8650626921480115E-3</v>
      </c>
    </row>
    <row r="908" spans="2:16" x14ac:dyDescent="0.25">
      <c r="B908" s="9">
        <v>36560</v>
      </c>
      <c r="C908" s="10">
        <v>6.5579999999999999E-2</v>
      </c>
      <c r="D908" s="11">
        <v>1424.37</v>
      </c>
      <c r="E908" s="11">
        <v>1.0206685378923195</v>
      </c>
      <c r="L908" s="9">
        <v>36560</v>
      </c>
      <c r="M908" s="14">
        <f t="shared" si="45"/>
        <v>1.7059553349875856E-2</v>
      </c>
      <c r="N908" s="14">
        <f t="shared" si="46"/>
        <v>-4.2106149603160503E-4</v>
      </c>
      <c r="O908" s="14">
        <f t="shared" si="47"/>
        <v>4.4909415667262476E-3</v>
      </c>
      <c r="P908" s="14">
        <f t="array" ref="P908">MMULT(M908:O908,$I$9:$I$11)</f>
        <v>3.1649065865209784E-3</v>
      </c>
    </row>
    <row r="909" spans="2:16" x14ac:dyDescent="0.25">
      <c r="B909" s="9">
        <v>36563</v>
      </c>
      <c r="C909" s="10">
        <v>6.6449999999999995E-2</v>
      </c>
      <c r="D909" s="11">
        <v>1424.24</v>
      </c>
      <c r="E909" s="11">
        <v>1.0222858311183807</v>
      </c>
      <c r="L909" s="9">
        <v>36563</v>
      </c>
      <c r="M909" s="14">
        <f t="shared" si="45"/>
        <v>1.3266239707227845E-2</v>
      </c>
      <c r="N909" s="14">
        <f t="shared" si="46"/>
        <v>-9.1268420424395202E-5</v>
      </c>
      <c r="O909" s="14">
        <f t="shared" si="47"/>
        <v>1.5845430382335213E-3</v>
      </c>
      <c r="P909" s="14">
        <f t="array" ref="P909">MMULT(M909:O909,$I$9:$I$11)</f>
        <v>1.1321441724311935E-3</v>
      </c>
    </row>
    <row r="910" spans="2:16" x14ac:dyDescent="0.25">
      <c r="B910" s="9">
        <v>36564</v>
      </c>
      <c r="C910" s="10">
        <v>6.6180000000000003E-2</v>
      </c>
      <c r="D910" s="11">
        <v>1441.72</v>
      </c>
      <c r="E910" s="11">
        <v>1.013787510137875</v>
      </c>
      <c r="L910" s="9">
        <v>36564</v>
      </c>
      <c r="M910" s="14">
        <f t="shared" si="45"/>
        <v>-4.0632054176070742E-3</v>
      </c>
      <c r="N910" s="14">
        <f t="shared" si="46"/>
        <v>1.227321237993606E-2</v>
      </c>
      <c r="O910" s="14">
        <f t="shared" si="47"/>
        <v>-8.3130575831306119E-3</v>
      </c>
      <c r="P910" s="14">
        <f t="array" ref="P910">MMULT(M910:O910,$I$9:$I$11)</f>
        <v>-2.7556273995165029E-3</v>
      </c>
    </row>
    <row r="911" spans="2:16" x14ac:dyDescent="0.25">
      <c r="B911" s="9">
        <v>36565</v>
      </c>
      <c r="C911" s="10">
        <v>6.6689999999999999E-2</v>
      </c>
      <c r="D911" s="11">
        <v>1411.7</v>
      </c>
      <c r="E911" s="11">
        <v>1.0102540789008436</v>
      </c>
      <c r="L911" s="9">
        <v>36565</v>
      </c>
      <c r="M911" s="14">
        <f t="shared" si="45"/>
        <v>7.7062556663645143E-3</v>
      </c>
      <c r="N911" s="14">
        <f t="shared" si="46"/>
        <v>-2.0822351080653667E-2</v>
      </c>
      <c r="O911" s="14">
        <f t="shared" si="47"/>
        <v>-3.4853765722078212E-3</v>
      </c>
      <c r="P911" s="14">
        <f t="array" ref="P911">MMULT(M911:O911,$I$9:$I$11)</f>
        <v>-8.1656331509198845E-3</v>
      </c>
    </row>
    <row r="912" spans="2:16" x14ac:dyDescent="0.25">
      <c r="B912" s="9">
        <v>36566</v>
      </c>
      <c r="C912" s="10">
        <v>6.6729999999999998E-2</v>
      </c>
      <c r="D912" s="11">
        <v>1416.83</v>
      </c>
      <c r="E912" s="11">
        <v>1.0148163182463974</v>
      </c>
      <c r="L912" s="9">
        <v>36566</v>
      </c>
      <c r="M912" s="14">
        <f t="shared" si="45"/>
        <v>5.9979007347421565E-4</v>
      </c>
      <c r="N912" s="14">
        <f t="shared" si="46"/>
        <v>3.6339165545087315E-3</v>
      </c>
      <c r="O912" s="14">
        <f t="shared" si="47"/>
        <v>4.5159326161963165E-3</v>
      </c>
      <c r="P912" s="14">
        <f t="array" ref="P912">MMULT(M912:O912,$I$9:$I$11)</f>
        <v>4.2778252420848754E-3</v>
      </c>
    </row>
    <row r="913" spans="2:16" x14ac:dyDescent="0.25">
      <c r="B913" s="9">
        <v>36567</v>
      </c>
      <c r="C913" s="10">
        <v>6.5949999999999995E-2</v>
      </c>
      <c r="D913" s="11">
        <v>1387.12</v>
      </c>
      <c r="E913" s="11">
        <v>1.0148163182463974</v>
      </c>
      <c r="L913" s="9">
        <v>36567</v>
      </c>
      <c r="M913" s="14">
        <f t="shared" si="45"/>
        <v>-1.1688895549228251E-2</v>
      </c>
      <c r="N913" s="14">
        <f t="shared" si="46"/>
        <v>-2.0969347063515054E-2</v>
      </c>
      <c r="O913" s="14">
        <f t="shared" si="47"/>
        <v>0</v>
      </c>
      <c r="P913" s="14">
        <f t="array" ref="P913">MMULT(M913:O913,$I$9:$I$11)</f>
        <v>-5.6608449471678103E-3</v>
      </c>
    </row>
    <row r="914" spans="2:16" x14ac:dyDescent="0.25">
      <c r="B914" s="9">
        <v>36570</v>
      </c>
      <c r="C914" s="10">
        <v>6.5599999999999992E-2</v>
      </c>
      <c r="D914" s="11">
        <v>1389.94</v>
      </c>
      <c r="E914" s="11">
        <v>1.0203561042803939</v>
      </c>
      <c r="L914" s="9">
        <v>36570</v>
      </c>
      <c r="M914" s="14">
        <f t="shared" si="45"/>
        <v>-5.3070507960576441E-3</v>
      </c>
      <c r="N914" s="14">
        <f t="shared" si="46"/>
        <v>2.0329892150643403E-3</v>
      </c>
      <c r="O914" s="14">
        <f t="shared" si="47"/>
        <v>5.4589051579001513E-3</v>
      </c>
      <c r="P914" s="14">
        <f t="array" ref="P914">MMULT(M914:O914,$I$9:$I$11)</f>
        <v>4.5340514227942561E-3</v>
      </c>
    </row>
    <row r="915" spans="2:16" x14ac:dyDescent="0.25">
      <c r="B915" s="9">
        <v>36571</v>
      </c>
      <c r="C915" s="10">
        <v>6.5519999999999995E-2</v>
      </c>
      <c r="D915" s="11">
        <v>1402.05</v>
      </c>
      <c r="E915" s="11">
        <v>1.0167768174885612</v>
      </c>
      <c r="L915" s="9">
        <v>36571</v>
      </c>
      <c r="M915" s="14">
        <f t="shared" si="45"/>
        <v>-1.2195121951219523E-3</v>
      </c>
      <c r="N915" s="14">
        <f t="shared" si="46"/>
        <v>8.7126062995523945E-3</v>
      </c>
      <c r="O915" s="14">
        <f t="shared" si="47"/>
        <v>-3.5078800203356408E-3</v>
      </c>
      <c r="P915" s="14">
        <f t="array" ref="P915">MMULT(M915:O915,$I$9:$I$11)</f>
        <v>-2.0886083646052276E-4</v>
      </c>
    </row>
    <row r="916" spans="2:16" x14ac:dyDescent="0.25">
      <c r="B916" s="9">
        <v>36572</v>
      </c>
      <c r="C916" s="10">
        <v>6.5430000000000002E-2</v>
      </c>
      <c r="D916" s="11">
        <v>1387.67</v>
      </c>
      <c r="E916" s="11">
        <v>1.0166217658720074</v>
      </c>
      <c r="L916" s="9">
        <v>36572</v>
      </c>
      <c r="M916" s="14">
        <f t="shared" si="45"/>
        <v>-1.3736263736262577E-3</v>
      </c>
      <c r="N916" s="14">
        <f t="shared" si="46"/>
        <v>-1.025641025641022E-2</v>
      </c>
      <c r="O916" s="14">
        <f t="shared" si="47"/>
        <v>-1.5249326488064874E-4</v>
      </c>
      <c r="P916" s="14">
        <f t="array" ref="P916">MMULT(M916:O916,$I$9:$I$11)</f>
        <v>-2.8801274289229207E-3</v>
      </c>
    </row>
    <row r="917" spans="2:16" x14ac:dyDescent="0.25">
      <c r="B917" s="9">
        <v>36573</v>
      </c>
      <c r="C917" s="10">
        <v>6.5599999999999992E-2</v>
      </c>
      <c r="D917" s="11">
        <v>1388.26</v>
      </c>
      <c r="E917" s="11">
        <v>1.0141987829614605</v>
      </c>
      <c r="L917" s="9">
        <v>36573</v>
      </c>
      <c r="M917" s="14">
        <f t="shared" si="45"/>
        <v>2.5981965459267453E-3</v>
      </c>
      <c r="N917" s="14">
        <f t="shared" si="46"/>
        <v>4.2517313194045947E-4</v>
      </c>
      <c r="O917" s="14">
        <f t="shared" si="47"/>
        <v>-2.383367139959458E-3</v>
      </c>
      <c r="P917" s="14">
        <f t="array" ref="P917">MMULT(M917:O917,$I$9:$I$11)</f>
        <v>-1.6251789637160303E-3</v>
      </c>
    </row>
    <row r="918" spans="2:16" x14ac:dyDescent="0.25">
      <c r="B918" s="9">
        <v>36574</v>
      </c>
      <c r="C918" s="10">
        <v>6.4829999999999999E-2</v>
      </c>
      <c r="D918" s="11">
        <v>1346.09</v>
      </c>
      <c r="E918" s="11">
        <v>1.0151253679829459</v>
      </c>
      <c r="L918" s="9">
        <v>36574</v>
      </c>
      <c r="M918" s="14">
        <f t="shared" si="45"/>
        <v>-1.1737804878048652E-2</v>
      </c>
      <c r="N918" s="14">
        <f t="shared" si="46"/>
        <v>-3.0376154322677373E-2</v>
      </c>
      <c r="O918" s="14">
        <f t="shared" si="47"/>
        <v>9.1361283118462921E-4</v>
      </c>
      <c r="P918" s="14">
        <f t="array" ref="P918">MMULT(M918:O918,$I$9:$I$11)</f>
        <v>-7.5333130437360389E-3</v>
      </c>
    </row>
    <row r="919" spans="2:16" x14ac:dyDescent="0.25">
      <c r="B919" s="9">
        <v>36577</v>
      </c>
      <c r="C919" s="10">
        <v>6.4829999999999999E-2</v>
      </c>
      <c r="D919" s="11">
        <v>1346.09</v>
      </c>
      <c r="E919" s="11">
        <v>1.0131199027404894</v>
      </c>
      <c r="L919" s="9">
        <v>36577</v>
      </c>
      <c r="M919" s="14">
        <f t="shared" si="45"/>
        <v>0</v>
      </c>
      <c r="N919" s="14">
        <f t="shared" si="46"/>
        <v>0</v>
      </c>
      <c r="O919" s="14">
        <f t="shared" si="47"/>
        <v>-1.9755838103440171E-3</v>
      </c>
      <c r="P919" s="14">
        <f t="array" ref="P919">MMULT(M919:O919,$I$9:$I$11)</f>
        <v>-1.4422589721114149E-3</v>
      </c>
    </row>
    <row r="920" spans="2:16" x14ac:dyDescent="0.25">
      <c r="B920" s="9">
        <v>36578</v>
      </c>
      <c r="C920" s="10">
        <v>6.3630000000000006E-2</v>
      </c>
      <c r="D920" s="11">
        <v>1352.17</v>
      </c>
      <c r="E920" s="11">
        <v>0.99304865938430997</v>
      </c>
      <c r="L920" s="9">
        <v>36578</v>
      </c>
      <c r="M920" s="14">
        <f t="shared" si="45"/>
        <v>-1.8509949097639922E-2</v>
      </c>
      <c r="N920" s="14">
        <f t="shared" si="46"/>
        <v>4.5167856532626338E-3</v>
      </c>
      <c r="O920" s="14">
        <f t="shared" si="47"/>
        <v>-1.981132075471681E-2</v>
      </c>
      <c r="P920" s="14">
        <f t="array" ref="P920">MMULT(M920:O920,$I$9:$I$11)</f>
        <v>-1.3243751539679653E-2</v>
      </c>
    </row>
    <row r="921" spans="2:16" x14ac:dyDescent="0.25">
      <c r="B921" s="9">
        <v>36579</v>
      </c>
      <c r="C921" s="10">
        <v>6.4219999999999999E-2</v>
      </c>
      <c r="D921" s="11">
        <v>1360.69</v>
      </c>
      <c r="E921" s="11">
        <v>0.9962640099626402</v>
      </c>
      <c r="L921" s="9">
        <v>36579</v>
      </c>
      <c r="M921" s="14">
        <f t="shared" si="45"/>
        <v>9.2723558070091361E-3</v>
      </c>
      <c r="N921" s="14">
        <f t="shared" si="46"/>
        <v>6.3009828645805843E-3</v>
      </c>
      <c r="O921" s="14">
        <f t="shared" si="47"/>
        <v>3.2378580323786377E-3</v>
      </c>
      <c r="P921" s="14">
        <f t="array" ref="P921">MMULT(M921:O921,$I$9:$I$11)</f>
        <v>4.0647733710581424E-3</v>
      </c>
    </row>
    <row r="922" spans="2:16" x14ac:dyDescent="0.25">
      <c r="B922" s="9">
        <v>36580</v>
      </c>
      <c r="C922" s="10">
        <v>6.3670000000000004E-2</v>
      </c>
      <c r="D922" s="11">
        <v>1353.43</v>
      </c>
      <c r="E922" s="11">
        <v>1.0039656643742785</v>
      </c>
      <c r="L922" s="9">
        <v>36580</v>
      </c>
      <c r="M922" s="14">
        <f t="shared" si="45"/>
        <v>-8.5643101837432623E-3</v>
      </c>
      <c r="N922" s="14">
        <f t="shared" si="46"/>
        <v>-5.3355282981428775E-3</v>
      </c>
      <c r="O922" s="14">
        <f t="shared" si="47"/>
        <v>7.7305356156818217E-3</v>
      </c>
      <c r="P922" s="14">
        <f t="array" ref="P922">MMULT(M922:O922,$I$9:$I$11)</f>
        <v>4.2032459169653947E-3</v>
      </c>
    </row>
    <row r="923" spans="2:16" x14ac:dyDescent="0.25">
      <c r="B923" s="9">
        <v>36581</v>
      </c>
      <c r="C923" s="10">
        <v>6.3369999999999996E-2</v>
      </c>
      <c r="D923" s="11">
        <v>1333.36</v>
      </c>
      <c r="E923" s="11">
        <v>1.0217113665389528</v>
      </c>
      <c r="L923" s="9">
        <v>36581</v>
      </c>
      <c r="M923" s="14">
        <f t="shared" si="45"/>
        <v>-4.7117951939690261E-3</v>
      </c>
      <c r="N923" s="14">
        <f t="shared" si="46"/>
        <v>-1.4828990047509039E-2</v>
      </c>
      <c r="O923" s="14">
        <f t="shared" si="47"/>
        <v>1.7675606641123887E-2</v>
      </c>
      <c r="P923" s="14">
        <f t="array" ref="P923">MMULT(M923:O923,$I$9:$I$11)</f>
        <v>8.9007277015346713E-3</v>
      </c>
    </row>
    <row r="924" spans="2:16" x14ac:dyDescent="0.25">
      <c r="B924" s="9">
        <v>36584</v>
      </c>
      <c r="C924" s="10">
        <v>6.4180000000000001E-2</v>
      </c>
      <c r="D924" s="11">
        <v>1348.05</v>
      </c>
      <c r="E924" s="11">
        <v>1.034233116144379</v>
      </c>
      <c r="L924" s="9">
        <v>36584</v>
      </c>
      <c r="M924" s="14">
        <f t="shared" si="45"/>
        <v>1.2782073536373728E-2</v>
      </c>
      <c r="N924" s="14">
        <f t="shared" si="46"/>
        <v>1.101727965440702E-2</v>
      </c>
      <c r="O924" s="14">
        <f t="shared" si="47"/>
        <v>1.225566242631082E-2</v>
      </c>
      <c r="P924" s="14">
        <f t="array" ref="P924">MMULT(M924:O924,$I$9:$I$11)</f>
        <v>1.1921350974659156E-2</v>
      </c>
    </row>
    <row r="925" spans="2:16" x14ac:dyDescent="0.25">
      <c r="B925" s="9">
        <v>36585</v>
      </c>
      <c r="C925" s="10">
        <v>6.4089999999999994E-2</v>
      </c>
      <c r="D925" s="11">
        <v>1366.42</v>
      </c>
      <c r="E925" s="11">
        <v>1.038691249026227</v>
      </c>
      <c r="L925" s="9">
        <v>36585</v>
      </c>
      <c r="M925" s="14">
        <f t="shared" si="45"/>
        <v>-1.4023060143347754E-3</v>
      </c>
      <c r="N925" s="14">
        <f t="shared" si="46"/>
        <v>1.3627090983272305E-2</v>
      </c>
      <c r="O925" s="14">
        <f t="shared" si="47"/>
        <v>4.3105686834588042E-3</v>
      </c>
      <c r="P925" s="14">
        <f t="array" ref="P925">MMULT(M925:O925,$I$9:$I$11)</f>
        <v>6.8256392779952307E-3</v>
      </c>
    </row>
    <row r="926" spans="2:16" x14ac:dyDescent="0.25">
      <c r="B926" s="9">
        <v>36586</v>
      </c>
      <c r="C926" s="10">
        <v>6.3840000000000008E-2</v>
      </c>
      <c r="D926" s="11">
        <v>1379.19</v>
      </c>
      <c r="E926" s="11">
        <v>1.0329511414110113</v>
      </c>
      <c r="L926" s="9">
        <v>36586</v>
      </c>
      <c r="M926" s="14">
        <f t="shared" si="45"/>
        <v>-3.9007645498515542E-3</v>
      </c>
      <c r="N926" s="14">
        <f t="shared" si="46"/>
        <v>9.345589203905158E-3</v>
      </c>
      <c r="O926" s="14">
        <f t="shared" si="47"/>
        <v>-5.5262886065489125E-3</v>
      </c>
      <c r="P926" s="14">
        <f t="array" ref="P926">MMULT(M926:O926,$I$9:$I$11)</f>
        <v>-1.5115048317748676E-3</v>
      </c>
    </row>
    <row r="927" spans="2:16" x14ac:dyDescent="0.25">
      <c r="B927" s="9">
        <v>36587</v>
      </c>
      <c r="C927" s="10">
        <v>6.3879999999999992E-2</v>
      </c>
      <c r="D927" s="11">
        <v>1381.76</v>
      </c>
      <c r="E927" s="11">
        <v>1.034875297526648</v>
      </c>
      <c r="L927" s="9">
        <v>36587</v>
      </c>
      <c r="M927" s="14">
        <f t="shared" si="45"/>
        <v>6.2656641603986429E-4</v>
      </c>
      <c r="N927" s="14">
        <f t="shared" si="46"/>
        <v>1.8634125827476922E-3</v>
      </c>
      <c r="O927" s="14">
        <f t="shared" si="47"/>
        <v>1.8627755355478115E-3</v>
      </c>
      <c r="P927" s="14">
        <f t="array" ref="P927">MMULT(M927:O927,$I$9:$I$11)</f>
        <v>1.8629475115951165E-3</v>
      </c>
    </row>
    <row r="928" spans="2:16" x14ac:dyDescent="0.25">
      <c r="B928" s="9">
        <v>36588</v>
      </c>
      <c r="C928" s="10">
        <v>6.3789999999999999E-2</v>
      </c>
      <c r="D928" s="11">
        <v>1409.17</v>
      </c>
      <c r="E928" s="11">
        <v>1.0397712503249286</v>
      </c>
      <c r="L928" s="9">
        <v>36588</v>
      </c>
      <c r="M928" s="14">
        <f t="shared" si="45"/>
        <v>-1.4088916718846267E-3</v>
      </c>
      <c r="N928" s="14">
        <f t="shared" si="46"/>
        <v>1.9837019453450733E-2</v>
      </c>
      <c r="O928" s="14">
        <f t="shared" si="47"/>
        <v>4.7309591889785896E-3</v>
      </c>
      <c r="P928" s="14">
        <f t="array" ref="P928">MMULT(M928:O928,$I$9:$I$11)</f>
        <v>8.8089624124807319E-3</v>
      </c>
    </row>
    <row r="929" spans="2:16" x14ac:dyDescent="0.25">
      <c r="B929" s="9">
        <v>36591</v>
      </c>
      <c r="C929" s="10">
        <v>6.4130000000000006E-2</v>
      </c>
      <c r="D929" s="11">
        <v>1391.28</v>
      </c>
      <c r="E929" s="11">
        <v>1.0403120936280883</v>
      </c>
      <c r="L929" s="9">
        <v>36591</v>
      </c>
      <c r="M929" s="14">
        <f t="shared" si="45"/>
        <v>5.329989026493287E-3</v>
      </c>
      <c r="N929" s="14">
        <f t="shared" si="46"/>
        <v>-1.269541645081862E-2</v>
      </c>
      <c r="O929" s="14">
        <f t="shared" si="47"/>
        <v>5.2015604681376892E-4</v>
      </c>
      <c r="P929" s="14">
        <f t="array" ref="P929">MMULT(M929:O929,$I$9:$I$11)</f>
        <v>-3.0474947040919536E-3</v>
      </c>
    </row>
    <row r="930" spans="2:16" x14ac:dyDescent="0.25">
      <c r="B930" s="9">
        <v>36592</v>
      </c>
      <c r="C930" s="10">
        <v>6.3710000000000003E-2</v>
      </c>
      <c r="D930" s="11">
        <v>1355.62</v>
      </c>
      <c r="E930" s="11">
        <v>1.0444409629745679</v>
      </c>
      <c r="L930" s="9">
        <v>36592</v>
      </c>
      <c r="M930" s="14">
        <f t="shared" si="45"/>
        <v>-6.5491969437081465E-3</v>
      </c>
      <c r="N930" s="14">
        <f t="shared" si="46"/>
        <v>-2.5631073543787131E-2</v>
      </c>
      <c r="O930" s="14">
        <f t="shared" si="47"/>
        <v>3.9688756593034835E-3</v>
      </c>
      <c r="P930" s="14">
        <f t="array" ref="P930">MMULT(M930:O930,$I$9:$I$11)</f>
        <v>-4.021870183912651E-3</v>
      </c>
    </row>
    <row r="931" spans="2:16" x14ac:dyDescent="0.25">
      <c r="B931" s="9">
        <v>36593</v>
      </c>
      <c r="C931" s="10">
        <v>6.3920000000000005E-2</v>
      </c>
      <c r="D931" s="11">
        <v>1366.7</v>
      </c>
      <c r="E931" s="11">
        <v>1.0447683226244582</v>
      </c>
      <c r="L931" s="9">
        <v>36593</v>
      </c>
      <c r="M931" s="14">
        <f t="shared" si="45"/>
        <v>3.2961858420970103E-3</v>
      </c>
      <c r="N931" s="14">
        <f t="shared" si="46"/>
        <v>8.1733819211875502E-3</v>
      </c>
      <c r="O931" s="14">
        <f t="shared" si="47"/>
        <v>3.1343049678755897E-4</v>
      </c>
      <c r="P931" s="14">
        <f t="array" ref="P931">MMULT(M931:O931,$I$9:$I$11)</f>
        <v>2.4352879953081011E-3</v>
      </c>
    </row>
    <row r="932" spans="2:16" x14ac:dyDescent="0.25">
      <c r="B932" s="9">
        <v>36594</v>
      </c>
      <c r="C932" s="10">
        <v>6.3490000000000005E-2</v>
      </c>
      <c r="D932" s="11">
        <v>1401.69</v>
      </c>
      <c r="E932" s="11">
        <v>1.0319917440660475</v>
      </c>
      <c r="L932" s="9">
        <v>36594</v>
      </c>
      <c r="M932" s="14">
        <f t="shared" si="45"/>
        <v>-6.7271589486858074E-3</v>
      </c>
      <c r="N932" s="14">
        <f t="shared" si="46"/>
        <v>2.5601814589887972E-2</v>
      </c>
      <c r="O932" s="14">
        <f t="shared" si="47"/>
        <v>-1.2229102167182759E-2</v>
      </c>
      <c r="P932" s="14">
        <f t="array" ref="P932">MMULT(M932:O932,$I$9:$I$11)</f>
        <v>-2.0163400185891113E-3</v>
      </c>
    </row>
    <row r="933" spans="2:16" x14ac:dyDescent="0.25">
      <c r="B933" s="9">
        <v>36595</v>
      </c>
      <c r="C933" s="10">
        <v>6.3869999999999996E-2</v>
      </c>
      <c r="D933" s="11">
        <v>1395.07</v>
      </c>
      <c r="E933" s="11">
        <v>1.0368603867489243</v>
      </c>
      <c r="L933" s="9">
        <v>36595</v>
      </c>
      <c r="M933" s="14">
        <f t="shared" si="45"/>
        <v>5.9851945188216238E-3</v>
      </c>
      <c r="N933" s="14">
        <f t="shared" si="46"/>
        <v>-4.7228702494845898E-3</v>
      </c>
      <c r="O933" s="14">
        <f t="shared" si="47"/>
        <v>4.7177147597075031E-3</v>
      </c>
      <c r="P933" s="14">
        <f t="array" ref="P933">MMULT(M933:O933,$I$9:$I$11)</f>
        <v>2.1691524327203462E-3</v>
      </c>
    </row>
    <row r="934" spans="2:16" x14ac:dyDescent="0.25">
      <c r="B934" s="9">
        <v>36598</v>
      </c>
      <c r="C934" s="10">
        <v>6.3700000000000007E-2</v>
      </c>
      <c r="D934" s="11">
        <v>1383.62</v>
      </c>
      <c r="E934" s="11">
        <v>1.034393586759762</v>
      </c>
      <c r="L934" s="9">
        <v>36598</v>
      </c>
      <c r="M934" s="14">
        <f t="shared" si="45"/>
        <v>-2.6616564897445905E-3</v>
      </c>
      <c r="N934" s="14">
        <f t="shared" si="46"/>
        <v>-8.2074734601131905E-3</v>
      </c>
      <c r="O934" s="14">
        <f t="shared" si="47"/>
        <v>-2.3791052495476528E-3</v>
      </c>
      <c r="P934" s="14">
        <f t="array" ref="P934">MMULT(M934:O934,$I$9:$I$11)</f>
        <v>-3.9525204176536445E-3</v>
      </c>
    </row>
    <row r="935" spans="2:16" x14ac:dyDescent="0.25">
      <c r="B935" s="9">
        <v>36599</v>
      </c>
      <c r="C935" s="10">
        <v>6.2939999999999996E-2</v>
      </c>
      <c r="D935" s="11">
        <v>1359.15</v>
      </c>
      <c r="E935" s="11">
        <v>1.0386373078520981</v>
      </c>
      <c r="L935" s="9">
        <v>36599</v>
      </c>
      <c r="M935" s="14">
        <f t="shared" si="45"/>
        <v>-1.1930926216640714E-2</v>
      </c>
      <c r="N935" s="14">
        <f t="shared" si="46"/>
        <v>-1.7685491681241783E-2</v>
      </c>
      <c r="O935" s="14">
        <f t="shared" si="47"/>
        <v>4.1026173660159149E-3</v>
      </c>
      <c r="P935" s="14">
        <f t="array" ref="P935">MMULT(M935:O935,$I$9:$I$11)</f>
        <v>-1.7792590049994679E-3</v>
      </c>
    </row>
    <row r="936" spans="2:16" x14ac:dyDescent="0.25">
      <c r="B936" s="9">
        <v>36600</v>
      </c>
      <c r="C936" s="10">
        <v>6.2850000000000003E-2</v>
      </c>
      <c r="D936" s="11">
        <v>1392.15</v>
      </c>
      <c r="E936" s="11">
        <v>1.0320449971618764</v>
      </c>
      <c r="L936" s="9">
        <v>36600</v>
      </c>
      <c r="M936" s="14">
        <f t="shared" si="45"/>
        <v>-1.4299332697805811E-3</v>
      </c>
      <c r="N936" s="14">
        <f t="shared" si="46"/>
        <v>2.4279880807857923E-2</v>
      </c>
      <c r="O936" s="14">
        <f t="shared" si="47"/>
        <v>-6.3470767325454203E-3</v>
      </c>
      <c r="P936" s="14">
        <f t="array" ref="P936">MMULT(M936:O936,$I$9:$I$11)</f>
        <v>1.9209183230265619E-3</v>
      </c>
    </row>
    <row r="937" spans="2:16" x14ac:dyDescent="0.25">
      <c r="B937" s="9">
        <v>36601</v>
      </c>
      <c r="C937" s="10">
        <v>6.2469999999999998E-2</v>
      </c>
      <c r="D937" s="11">
        <v>1458.47</v>
      </c>
      <c r="E937" s="11">
        <v>1.0275380189066996</v>
      </c>
      <c r="L937" s="9">
        <v>36601</v>
      </c>
      <c r="M937" s="14">
        <f t="shared" si="45"/>
        <v>-6.0461416070008989E-3</v>
      </c>
      <c r="N937" s="14">
        <f t="shared" si="46"/>
        <v>4.763854469705131E-2</v>
      </c>
      <c r="O937" s="14">
        <f t="shared" si="47"/>
        <v>-4.3670365803535338E-3</v>
      </c>
      <c r="P937" s="14">
        <f t="array" ref="P937">MMULT(M937:O937,$I$9:$I$11)</f>
        <v>9.6722909727177883E-3</v>
      </c>
    </row>
    <row r="938" spans="2:16" x14ac:dyDescent="0.25">
      <c r="B938" s="9">
        <v>36602</v>
      </c>
      <c r="C938" s="10">
        <v>6.2039999999999998E-2</v>
      </c>
      <c r="D938" s="11">
        <v>1464.47</v>
      </c>
      <c r="E938" s="11">
        <v>1.0326311441553078</v>
      </c>
      <c r="L938" s="9">
        <v>36602</v>
      </c>
      <c r="M938" s="14">
        <f t="shared" si="45"/>
        <v>-6.8833039859131917E-3</v>
      </c>
      <c r="N938" s="14">
        <f t="shared" si="46"/>
        <v>4.113900183068564E-3</v>
      </c>
      <c r="O938" s="14">
        <f t="shared" si="47"/>
        <v>4.956629491945419E-3</v>
      </c>
      <c r="P938" s="14">
        <f t="array" ref="P938">MMULT(M938:O938,$I$9:$I$11)</f>
        <v>4.7291278947075082E-3</v>
      </c>
    </row>
    <row r="939" spans="2:16" x14ac:dyDescent="0.25">
      <c r="B939" s="9">
        <v>36605</v>
      </c>
      <c r="C939" s="10">
        <v>6.1920000000000003E-2</v>
      </c>
      <c r="D939" s="11">
        <v>1456.63</v>
      </c>
      <c r="E939" s="11">
        <v>1.0314595152140278</v>
      </c>
      <c r="L939" s="9">
        <v>36605</v>
      </c>
      <c r="M939" s="14">
        <f t="shared" si="45"/>
        <v>-1.9342359767891004E-3</v>
      </c>
      <c r="N939" s="14">
        <f t="shared" si="46"/>
        <v>-5.3534725873524147E-3</v>
      </c>
      <c r="O939" s="14">
        <f t="shared" si="47"/>
        <v>-1.1346054667354943E-3</v>
      </c>
      <c r="P939" s="14">
        <f t="array" ref="P939">MMULT(M939:O939,$I$9:$I$11)</f>
        <v>-2.2735227897297825E-3</v>
      </c>
    </row>
    <row r="940" spans="2:16" x14ac:dyDescent="0.25">
      <c r="B940" s="9">
        <v>36606</v>
      </c>
      <c r="C940" s="10">
        <v>6.1409999999999999E-2</v>
      </c>
      <c r="D940" s="11">
        <v>1493.87</v>
      </c>
      <c r="E940" s="11">
        <v>1.0296010296010296</v>
      </c>
      <c r="L940" s="9">
        <v>36606</v>
      </c>
      <c r="M940" s="14">
        <f t="shared" si="45"/>
        <v>-8.2364341085271464E-3</v>
      </c>
      <c r="N940" s="14">
        <f t="shared" si="46"/>
        <v>2.5565860925560902E-2</v>
      </c>
      <c r="O940" s="14">
        <f t="shared" si="47"/>
        <v>-1.8018018018017834E-3</v>
      </c>
      <c r="P940" s="14">
        <f t="array" ref="P940">MMULT(M940:O940,$I$9:$I$11)</f>
        <v>5.5863202411367448E-3</v>
      </c>
    </row>
    <row r="941" spans="2:16" x14ac:dyDescent="0.25">
      <c r="B941" s="9">
        <v>36607</v>
      </c>
      <c r="C941" s="10">
        <v>6.1289999999999997E-2</v>
      </c>
      <c r="D941" s="11">
        <v>1500.64</v>
      </c>
      <c r="E941" s="11">
        <v>1.0400416016640666</v>
      </c>
      <c r="L941" s="9">
        <v>36607</v>
      </c>
      <c r="M941" s="14">
        <f t="shared" si="45"/>
        <v>-1.9540791402051783E-3</v>
      </c>
      <c r="N941" s="14">
        <f t="shared" si="46"/>
        <v>4.5318535080027811E-3</v>
      </c>
      <c r="O941" s="14">
        <f t="shared" si="47"/>
        <v>1.0140405616224646E-2</v>
      </c>
      <c r="P941" s="14">
        <f t="array" ref="P941">MMULT(M941:O941,$I$9:$I$11)</f>
        <v>8.626331583943686E-3</v>
      </c>
    </row>
    <row r="942" spans="2:16" x14ac:dyDescent="0.25">
      <c r="B942" s="9">
        <v>36608</v>
      </c>
      <c r="C942" s="10">
        <v>6.087E-2</v>
      </c>
      <c r="D942" s="11">
        <v>1527.35</v>
      </c>
      <c r="E942" s="11">
        <v>1.0305559849538826</v>
      </c>
      <c r="L942" s="9">
        <v>36608</v>
      </c>
      <c r="M942" s="14">
        <f t="shared" si="45"/>
        <v>-6.8526676456190927E-3</v>
      </c>
      <c r="N942" s="14">
        <f t="shared" si="46"/>
        <v>1.7799072395777715E-2</v>
      </c>
      <c r="O942" s="14">
        <f t="shared" si="47"/>
        <v>-9.1204204668419164E-3</v>
      </c>
      <c r="P942" s="14">
        <f t="array" ref="P942">MMULT(M942:O942,$I$9:$I$11)</f>
        <v>-1.8532855059817709E-3</v>
      </c>
    </row>
    <row r="943" spans="2:16" x14ac:dyDescent="0.25">
      <c r="B943" s="9">
        <v>36609</v>
      </c>
      <c r="C943" s="10">
        <v>6.191E-2</v>
      </c>
      <c r="D943" s="11">
        <v>1527.46</v>
      </c>
      <c r="E943" s="11">
        <v>1.0292831043178425</v>
      </c>
      <c r="L943" s="9">
        <v>36609</v>
      </c>
      <c r="M943" s="14">
        <f t="shared" si="45"/>
        <v>1.7085592245769554E-2</v>
      </c>
      <c r="N943" s="14">
        <f t="shared" si="46"/>
        <v>7.2020165646557999E-5</v>
      </c>
      <c r="O943" s="14">
        <f t="shared" si="47"/>
        <v>-1.2351397251814111E-3</v>
      </c>
      <c r="P943" s="14">
        <f t="array" ref="P943">MMULT(M943:O943,$I$9:$I$11)</f>
        <v>-8.8226133365492039E-4</v>
      </c>
    </row>
    <row r="944" spans="2:16" x14ac:dyDescent="0.25">
      <c r="B944" s="9">
        <v>36612</v>
      </c>
      <c r="C944" s="10">
        <v>6.1870000000000001E-2</v>
      </c>
      <c r="D944" s="11">
        <v>1523.86</v>
      </c>
      <c r="E944" s="11">
        <v>1.0303436195971356</v>
      </c>
      <c r="L944" s="9">
        <v>36612</v>
      </c>
      <c r="M944" s="14">
        <f t="shared" si="45"/>
        <v>-6.4609917622349133E-4</v>
      </c>
      <c r="N944" s="14">
        <f t="shared" si="46"/>
        <v>-2.3568538619670454E-3</v>
      </c>
      <c r="O944" s="14">
        <f t="shared" si="47"/>
        <v>1.030343619597085E-3</v>
      </c>
      <c r="P944" s="14">
        <f t="array" ref="P944">MMULT(M944:O944,$I$9:$I$11)</f>
        <v>1.1594224646450306E-4</v>
      </c>
    </row>
    <row r="945" spans="2:16" x14ac:dyDescent="0.25">
      <c r="B945" s="9">
        <v>36613</v>
      </c>
      <c r="C945" s="10">
        <v>6.1529999999999994E-2</v>
      </c>
      <c r="D945" s="11">
        <v>1507.73</v>
      </c>
      <c r="E945" s="11">
        <v>1.0339657757328233</v>
      </c>
      <c r="L945" s="9">
        <v>36613</v>
      </c>
      <c r="M945" s="14">
        <f t="shared" si="45"/>
        <v>-5.4953935671570031E-3</v>
      </c>
      <c r="N945" s="14">
        <f t="shared" si="46"/>
        <v>-1.0584961873137844E-2</v>
      </c>
      <c r="O945" s="14">
        <f t="shared" si="47"/>
        <v>3.5154836374917675E-3</v>
      </c>
      <c r="P945" s="14">
        <f t="array" ref="P945">MMULT(M945:O945,$I$9:$I$11)</f>
        <v>-2.9104574465307247E-4</v>
      </c>
    </row>
    <row r="946" spans="2:16" x14ac:dyDescent="0.25">
      <c r="B946" s="9">
        <v>36614</v>
      </c>
      <c r="C946" s="10">
        <v>6.1490000000000003E-2</v>
      </c>
      <c r="D946" s="11">
        <v>1508.52</v>
      </c>
      <c r="E946" s="11">
        <v>1.0489877268435959</v>
      </c>
      <c r="L946" s="9">
        <v>36614</v>
      </c>
      <c r="M946" s="14">
        <f t="shared" si="45"/>
        <v>-6.5008938729060883E-4</v>
      </c>
      <c r="N946" s="14">
        <f t="shared" si="46"/>
        <v>5.2396649267438811E-4</v>
      </c>
      <c r="O946" s="14">
        <f t="shared" si="47"/>
        <v>1.4528480016783751E-2</v>
      </c>
      <c r="P946" s="14">
        <f t="array" ref="P946">MMULT(M946:O946,$I$9:$I$11)</f>
        <v>1.0747848250788811E-2</v>
      </c>
    </row>
    <row r="947" spans="2:16" x14ac:dyDescent="0.25">
      <c r="B947" s="9">
        <v>36615</v>
      </c>
      <c r="C947" s="10">
        <v>6.0479999999999999E-2</v>
      </c>
      <c r="D947" s="11">
        <v>1487.92</v>
      </c>
      <c r="E947" s="11">
        <v>1.0464629552113855</v>
      </c>
      <c r="L947" s="9">
        <v>36615</v>
      </c>
      <c r="M947" s="14">
        <f t="shared" si="45"/>
        <v>-1.6425435030086311E-2</v>
      </c>
      <c r="N947" s="14">
        <f t="shared" si="46"/>
        <v>-1.3655768567867765E-2</v>
      </c>
      <c r="O947" s="14">
        <f t="shared" si="47"/>
        <v>-2.4068647969861523E-3</v>
      </c>
      <c r="P947" s="14">
        <f t="array" ref="P947">MMULT(M947:O947,$I$9:$I$11)</f>
        <v>-5.4435974086260797E-3</v>
      </c>
    </row>
    <row r="948" spans="2:16" x14ac:dyDescent="0.25">
      <c r="B948" s="9">
        <v>36616</v>
      </c>
      <c r="C948" s="10">
        <v>6.0019999999999997E-2</v>
      </c>
      <c r="D948" s="11">
        <v>1498.58</v>
      </c>
      <c r="E948" s="11">
        <v>1.0450412791305257</v>
      </c>
      <c r="L948" s="9">
        <v>36616</v>
      </c>
      <c r="M948" s="14">
        <f t="shared" si="45"/>
        <v>-7.6058201058201158E-3</v>
      </c>
      <c r="N948" s="14">
        <f t="shared" si="46"/>
        <v>7.1643636754663564E-3</v>
      </c>
      <c r="O948" s="14">
        <f t="shared" si="47"/>
        <v>-1.3585536628696326E-3</v>
      </c>
      <c r="P948" s="14">
        <f t="array" ref="P948">MMULT(M948:O948,$I$9:$I$11)</f>
        <v>9.4227684957841036E-4</v>
      </c>
    </row>
    <row r="949" spans="2:16" x14ac:dyDescent="0.25">
      <c r="B949" s="9">
        <v>36619</v>
      </c>
      <c r="C949" s="10">
        <v>5.9650000000000002E-2</v>
      </c>
      <c r="D949" s="11">
        <v>1505.97</v>
      </c>
      <c r="E949" s="11">
        <v>1.0456422857740366</v>
      </c>
      <c r="L949" s="9">
        <v>36619</v>
      </c>
      <c r="M949" s="14">
        <f t="shared" si="45"/>
        <v>-6.1646117960678648E-3</v>
      </c>
      <c r="N949" s="14">
        <f t="shared" si="46"/>
        <v>4.9313349971307208E-3</v>
      </c>
      <c r="O949" s="14">
        <f t="shared" si="47"/>
        <v>5.7510325717569089E-4</v>
      </c>
      <c r="P949" s="14">
        <f t="array" ref="P949">MMULT(M949:O949,$I$9:$I$11)</f>
        <v>1.75110327086819E-3</v>
      </c>
    </row>
    <row r="950" spans="2:16" x14ac:dyDescent="0.25">
      <c r="B950" s="9">
        <v>36620</v>
      </c>
      <c r="C950" s="10">
        <v>5.8869999999999999E-2</v>
      </c>
      <c r="D950" s="11">
        <v>1494.73</v>
      </c>
      <c r="E950" s="11">
        <v>1.0475043209553239</v>
      </c>
      <c r="L950" s="9">
        <v>36620</v>
      </c>
      <c r="M950" s="14">
        <f t="shared" si="45"/>
        <v>-1.3076278290025223E-2</v>
      </c>
      <c r="N950" s="14">
        <f t="shared" si="46"/>
        <v>-7.4636280935210797E-3</v>
      </c>
      <c r="O950" s="14">
        <f t="shared" si="47"/>
        <v>1.7807573456241066E-3</v>
      </c>
      <c r="P950" s="14">
        <f t="array" ref="P950">MMULT(M950:O950,$I$9:$I$11)</f>
        <v>-7.148393195628806E-4</v>
      </c>
    </row>
    <row r="951" spans="2:16" x14ac:dyDescent="0.25">
      <c r="B951" s="9">
        <v>36621</v>
      </c>
      <c r="C951" s="10">
        <v>5.8700000000000002E-2</v>
      </c>
      <c r="D951" s="11">
        <v>1487.37</v>
      </c>
      <c r="E951" s="11">
        <v>1.0355718945787811</v>
      </c>
      <c r="L951" s="9">
        <v>36621</v>
      </c>
      <c r="M951" s="14">
        <f t="shared" si="45"/>
        <v>-2.8877187022251505E-3</v>
      </c>
      <c r="N951" s="14">
        <f t="shared" si="46"/>
        <v>-4.9239662012537933E-3</v>
      </c>
      <c r="O951" s="14">
        <f t="shared" si="47"/>
        <v>-1.1391290840366608E-2</v>
      </c>
      <c r="P951" s="14">
        <f t="array" ref="P951">MMULT(M951:O951,$I$9:$I$11)</f>
        <v>-9.6453842132253661E-3</v>
      </c>
    </row>
    <row r="952" spans="2:16" x14ac:dyDescent="0.25">
      <c r="B952" s="9">
        <v>36622</v>
      </c>
      <c r="C952" s="10">
        <v>5.9229999999999998E-2</v>
      </c>
      <c r="D952" s="11">
        <v>1501.34</v>
      </c>
      <c r="E952" s="11">
        <v>1.0426985037276473</v>
      </c>
      <c r="L952" s="9">
        <v>36622</v>
      </c>
      <c r="M952" s="14">
        <f t="shared" si="45"/>
        <v>9.028960817717202E-3</v>
      </c>
      <c r="N952" s="14">
        <f t="shared" si="46"/>
        <v>9.3924174885873235E-3</v>
      </c>
      <c r="O952" s="14">
        <f t="shared" si="47"/>
        <v>6.8818101246026497E-3</v>
      </c>
      <c r="P952" s="14">
        <f t="array" ref="P952">MMULT(M952:O952,$I$9:$I$11)</f>
        <v>7.5595689011485794E-3</v>
      </c>
    </row>
    <row r="953" spans="2:16" x14ac:dyDescent="0.25">
      <c r="B953" s="9">
        <v>36623</v>
      </c>
      <c r="C953" s="10">
        <v>5.8449999999999995E-2</v>
      </c>
      <c r="D953" s="11">
        <v>1516.35</v>
      </c>
      <c r="E953" s="11">
        <v>1.0431879824744419</v>
      </c>
      <c r="L953" s="9">
        <v>36623</v>
      </c>
      <c r="M953" s="14">
        <f t="shared" si="45"/>
        <v>-1.3169002194833745E-2</v>
      </c>
      <c r="N953" s="14">
        <f t="shared" si="46"/>
        <v>9.9977353564149052E-3</v>
      </c>
      <c r="O953" s="14">
        <f t="shared" si="47"/>
        <v>4.6943459211346017E-4</v>
      </c>
      <c r="P953" s="14">
        <f t="array" ref="P953">MMULT(M953:O953,$I$9:$I$11)</f>
        <v>3.0416764970862251E-3</v>
      </c>
    </row>
    <row r="954" spans="2:16" x14ac:dyDescent="0.25">
      <c r="B954" s="9">
        <v>36626</v>
      </c>
      <c r="C954" s="10">
        <v>5.8048000000000002E-2</v>
      </c>
      <c r="D954" s="11">
        <v>1504.46</v>
      </c>
      <c r="E954" s="11">
        <v>1.0419922892570594</v>
      </c>
      <c r="L954" s="9">
        <v>36626</v>
      </c>
      <c r="M954" s="14">
        <f t="shared" si="45"/>
        <v>-6.8776732249784533E-3</v>
      </c>
      <c r="N954" s="14">
        <f t="shared" si="46"/>
        <v>-7.8411976126883109E-3</v>
      </c>
      <c r="O954" s="14">
        <f t="shared" si="47"/>
        <v>-1.1461915181828486E-3</v>
      </c>
      <c r="P954" s="14">
        <f t="array" ref="P954">MMULT(M954:O954,$I$9:$I$11)</f>
        <v>-2.9535625968599133E-3</v>
      </c>
    </row>
    <row r="955" spans="2:16" x14ac:dyDescent="0.25">
      <c r="B955" s="9">
        <v>36627</v>
      </c>
      <c r="C955" s="10">
        <v>5.8834999999999998E-2</v>
      </c>
      <c r="D955" s="11">
        <v>1500.59</v>
      </c>
      <c r="E955" s="11">
        <v>1.0385833722802098</v>
      </c>
      <c r="L955" s="9">
        <v>36627</v>
      </c>
      <c r="M955" s="14">
        <f t="shared" si="45"/>
        <v>1.3557745314222602E-2</v>
      </c>
      <c r="N955" s="14">
        <f t="shared" si="46"/>
        <v>-2.572351541416884E-3</v>
      </c>
      <c r="O955" s="14">
        <f t="shared" si="47"/>
        <v>-3.2715376226826187E-3</v>
      </c>
      <c r="P955" s="14">
        <f t="array" ref="P955">MMULT(M955:O955,$I$9:$I$11)</f>
        <v>-3.0827866814504157E-3</v>
      </c>
    </row>
    <row r="956" spans="2:16" x14ac:dyDescent="0.25">
      <c r="B956" s="9">
        <v>36628</v>
      </c>
      <c r="C956" s="10">
        <v>5.9473000000000005E-2</v>
      </c>
      <c r="D956" s="11">
        <v>1467.17</v>
      </c>
      <c r="E956" s="11">
        <v>1.0440048024220911</v>
      </c>
      <c r="L956" s="9">
        <v>36628</v>
      </c>
      <c r="M956" s="14">
        <f t="shared" si="45"/>
        <v>1.0843885442338941E-2</v>
      </c>
      <c r="N956" s="14">
        <f t="shared" si="46"/>
        <v>-2.2271239978941537E-2</v>
      </c>
      <c r="O956" s="14">
        <f t="shared" si="47"/>
        <v>5.2200240121105246E-3</v>
      </c>
      <c r="P956" s="14">
        <f t="array" ref="P956">MMULT(M956:O956,$I$9:$I$11)</f>
        <v>-2.2014651922803966E-3</v>
      </c>
    </row>
    <row r="957" spans="2:16" x14ac:dyDescent="0.25">
      <c r="B957" s="9">
        <v>36629</v>
      </c>
      <c r="C957" s="10">
        <v>5.9306999999999999E-2</v>
      </c>
      <c r="D957" s="11">
        <v>1440.51</v>
      </c>
      <c r="E957" s="11">
        <v>1.0465724751439036</v>
      </c>
      <c r="L957" s="9">
        <v>36629</v>
      </c>
      <c r="M957" s="14">
        <f t="shared" si="45"/>
        <v>-2.7911825534276957E-3</v>
      </c>
      <c r="N957" s="14">
        <f t="shared" si="46"/>
        <v>-1.8171036757839931E-2</v>
      </c>
      <c r="O957" s="14">
        <f t="shared" si="47"/>
        <v>2.4594453165880381E-3</v>
      </c>
      <c r="P957" s="14">
        <f t="array" ref="P957">MMULT(M957:O957,$I$9:$I$11)</f>
        <v>-3.1099202843018281E-3</v>
      </c>
    </row>
    <row r="958" spans="2:16" x14ac:dyDescent="0.25">
      <c r="B958" s="9">
        <v>36630</v>
      </c>
      <c r="C958" s="10">
        <v>5.8602000000000001E-2</v>
      </c>
      <c r="D958" s="11">
        <v>1356.56</v>
      </c>
      <c r="E958" s="11">
        <v>1.045915699194645</v>
      </c>
      <c r="L958" s="9">
        <v>36630</v>
      </c>
      <c r="M958" s="14">
        <f t="shared" si="45"/>
        <v>-1.1887298295310766E-2</v>
      </c>
      <c r="N958" s="14">
        <f t="shared" si="46"/>
        <v>-5.827797099638321E-2</v>
      </c>
      <c r="O958" s="14">
        <f t="shared" si="47"/>
        <v>-6.2754941951659315E-4</v>
      </c>
      <c r="P958" s="14">
        <f t="array" ref="P958">MMULT(M958:O958,$I$9:$I$11)</f>
        <v>-1.619074729577865E-2</v>
      </c>
    </row>
    <row r="959" spans="2:16" x14ac:dyDescent="0.25">
      <c r="B959" s="9">
        <v>36633</v>
      </c>
      <c r="C959" s="10">
        <v>6.0422999999999998E-2</v>
      </c>
      <c r="D959" s="11">
        <v>1401.44</v>
      </c>
      <c r="E959" s="11">
        <v>1.0472300764477955</v>
      </c>
      <c r="L959" s="9">
        <v>36633</v>
      </c>
      <c r="M959" s="14">
        <f t="shared" si="45"/>
        <v>3.107402477731136E-2</v>
      </c>
      <c r="N959" s="14">
        <f t="shared" si="46"/>
        <v>3.3083682255115932E-2</v>
      </c>
      <c r="O959" s="14">
        <f t="shared" si="47"/>
        <v>1.2566760917371855E-3</v>
      </c>
      <c r="P959" s="14">
        <f t="array" ref="P959">MMULT(M959:O959,$I$9:$I$11)</f>
        <v>9.848633985214874E-3</v>
      </c>
    </row>
    <row r="960" spans="2:16" x14ac:dyDescent="0.25">
      <c r="B960" s="9">
        <v>36634</v>
      </c>
      <c r="C960" s="10">
        <v>6.0484999999999997E-2</v>
      </c>
      <c r="D960" s="11">
        <v>1441.61</v>
      </c>
      <c r="E960" s="11">
        <v>1.0535187526337968</v>
      </c>
      <c r="L960" s="9">
        <v>36634</v>
      </c>
      <c r="M960" s="14">
        <f t="shared" si="45"/>
        <v>1.0260993330353241E-3</v>
      </c>
      <c r="N960" s="14">
        <f t="shared" si="46"/>
        <v>2.866337481447645E-2</v>
      </c>
      <c r="O960" s="14">
        <f t="shared" si="47"/>
        <v>6.0050568900125167E-3</v>
      </c>
      <c r="P960" s="14">
        <f t="array" ref="P960">MMULT(M960:O960,$I$9:$I$11)</f>
        <v>1.212185319013168E-2</v>
      </c>
    </row>
    <row r="961" spans="2:16" x14ac:dyDescent="0.25">
      <c r="B961" s="9">
        <v>36635</v>
      </c>
      <c r="C961" s="10">
        <v>5.9983000000000002E-2</v>
      </c>
      <c r="D961" s="11">
        <v>1427.47</v>
      </c>
      <c r="E961" s="11">
        <v>1.0632076976237308</v>
      </c>
      <c r="L961" s="9">
        <v>36635</v>
      </c>
      <c r="M961" s="14">
        <f t="shared" si="45"/>
        <v>-8.2995784078696566E-3</v>
      </c>
      <c r="N961" s="14">
        <f t="shared" si="46"/>
        <v>-9.8084780211012967E-3</v>
      </c>
      <c r="O961" s="14">
        <f t="shared" si="47"/>
        <v>9.1967465844453589E-3</v>
      </c>
      <c r="P961" s="14">
        <f t="array" ref="P961">MMULT(M961:O961,$I$9:$I$11)</f>
        <v>4.0661323906782901E-3</v>
      </c>
    </row>
    <row r="962" spans="2:16" x14ac:dyDescent="0.25">
      <c r="B962" s="9">
        <v>36636</v>
      </c>
      <c r="C962" s="10">
        <v>0.06</v>
      </c>
      <c r="D962" s="11">
        <v>1434.54</v>
      </c>
      <c r="E962" s="11">
        <v>1.0643959552953699</v>
      </c>
      <c r="L962" s="9">
        <v>36636</v>
      </c>
      <c r="M962" s="14">
        <f t="shared" si="45"/>
        <v>2.8341363386297225E-4</v>
      </c>
      <c r="N962" s="14">
        <f t="shared" si="46"/>
        <v>4.9528186231584392E-3</v>
      </c>
      <c r="O962" s="14">
        <f t="shared" si="47"/>
        <v>1.1176157530601305E-3</v>
      </c>
      <c r="P962" s="14">
        <f t="array" ref="P962">MMULT(M962:O962,$I$9:$I$11)</f>
        <v>2.1529598065873844E-3</v>
      </c>
    </row>
    <row r="963" spans="2:16" x14ac:dyDescent="0.25">
      <c r="B963" s="9">
        <v>36637</v>
      </c>
      <c r="C963" s="10">
        <v>0.06</v>
      </c>
      <c r="D963" s="11">
        <v>1434.4</v>
      </c>
      <c r="E963" s="11">
        <v>1.0643959552953699</v>
      </c>
      <c r="L963" s="9">
        <v>36637</v>
      </c>
      <c r="M963" s="14">
        <f t="shared" si="45"/>
        <v>0</v>
      </c>
      <c r="N963" s="14">
        <f t="shared" si="46"/>
        <v>-9.7592259539536208E-5</v>
      </c>
      <c r="O963" s="14">
        <f t="shared" si="47"/>
        <v>0</v>
      </c>
      <c r="P963" s="14">
        <f t="array" ref="P963">MMULT(M963:O963,$I$9:$I$11)</f>
        <v>-2.634582028823868E-5</v>
      </c>
    </row>
    <row r="964" spans="2:16" x14ac:dyDescent="0.25">
      <c r="B964" s="9">
        <v>36640</v>
      </c>
      <c r="C964" s="10">
        <v>6.0228000000000004E-2</v>
      </c>
      <c r="D964" s="11">
        <v>1429.86</v>
      </c>
      <c r="E964" s="11">
        <v>1.0642260416112383</v>
      </c>
      <c r="L964" s="9">
        <v>36640</v>
      </c>
      <c r="M964" s="14">
        <f t="shared" si="45"/>
        <v>3.8000000000000256E-3</v>
      </c>
      <c r="N964" s="14">
        <f t="shared" si="46"/>
        <v>-3.1650864472951845E-3</v>
      </c>
      <c r="O964" s="14">
        <f t="shared" si="47"/>
        <v>-1.5963390624162965E-4</v>
      </c>
      <c r="P964" s="14">
        <f t="array" ref="P964">MMULT(M964:O964,$I$9:$I$11)</f>
        <v>-9.7098014317704658E-4</v>
      </c>
    </row>
    <row r="965" spans="2:16" x14ac:dyDescent="0.25">
      <c r="B965" s="9">
        <v>36641</v>
      </c>
      <c r="C965" s="10">
        <v>6.1338999999999998E-2</v>
      </c>
      <c r="D965" s="11">
        <v>1477.44</v>
      </c>
      <c r="E965" s="11">
        <v>1.0782833728703904</v>
      </c>
      <c r="L965" s="9">
        <v>36641</v>
      </c>
      <c r="M965" s="14">
        <f t="shared" si="45"/>
        <v>1.8446569701799698E-2</v>
      </c>
      <c r="N965" s="14">
        <f t="shared" si="46"/>
        <v>3.3275985061474556E-2</v>
      </c>
      <c r="O965" s="14">
        <f t="shared" si="47"/>
        <v>1.3208971317662188E-2</v>
      </c>
      <c r="P965" s="14">
        <f t="array" ref="P965">MMULT(M965:O965,$I$9:$I$11)</f>
        <v>1.8626224082487444E-2</v>
      </c>
    </row>
    <row r="966" spans="2:16" x14ac:dyDescent="0.25">
      <c r="B966" s="9">
        <v>36642</v>
      </c>
      <c r="C966" s="10">
        <v>6.1379999999999997E-2</v>
      </c>
      <c r="D966" s="11">
        <v>1460.99</v>
      </c>
      <c r="E966" s="11">
        <v>1.0827784093985167</v>
      </c>
      <c r="L966" s="9">
        <v>36642</v>
      </c>
      <c r="M966" s="14">
        <f t="shared" si="45"/>
        <v>6.6841650499682714E-4</v>
      </c>
      <c r="N966" s="14">
        <f t="shared" si="46"/>
        <v>-1.1134123889971925E-2</v>
      </c>
      <c r="O966" s="14">
        <f t="shared" si="47"/>
        <v>4.1686968761842635E-3</v>
      </c>
      <c r="P966" s="14">
        <f t="array" ref="P966">MMULT(M966:O966,$I$9:$I$11)</f>
        <v>3.7576562846820469E-5</v>
      </c>
    </row>
    <row r="967" spans="2:16" x14ac:dyDescent="0.25">
      <c r="B967" s="9">
        <v>36643</v>
      </c>
      <c r="C967" s="10">
        <v>6.2268999999999998E-2</v>
      </c>
      <c r="D967" s="11">
        <v>1464.92</v>
      </c>
      <c r="E967" s="11">
        <v>1.0969723562966214</v>
      </c>
      <c r="L967" s="9">
        <v>36643</v>
      </c>
      <c r="M967" s="14">
        <f t="shared" si="45"/>
        <v>1.4483545128706421E-2</v>
      </c>
      <c r="N967" s="14">
        <f t="shared" si="46"/>
        <v>2.6899568101081961E-3</v>
      </c>
      <c r="O967" s="14">
        <f t="shared" si="47"/>
        <v>1.3108819657744686E-2</v>
      </c>
      <c r="P967" s="14">
        <f t="array" ref="P967">MMULT(M967:O967,$I$9:$I$11)</f>
        <v>1.0296163310952799E-2</v>
      </c>
    </row>
    <row r="968" spans="2:16" x14ac:dyDescent="0.25">
      <c r="B968" s="9">
        <v>36644</v>
      </c>
      <c r="C968" s="10">
        <v>6.2182000000000001E-2</v>
      </c>
      <c r="D968" s="11">
        <v>1452.43</v>
      </c>
      <c r="E968" s="11">
        <v>1.0973936899862826</v>
      </c>
      <c r="L968" s="9">
        <v>36644</v>
      </c>
      <c r="M968" s="14">
        <f t="shared" si="45"/>
        <v>-1.3971639178402828E-3</v>
      </c>
      <c r="N968" s="14">
        <f t="shared" si="46"/>
        <v>-8.5260628566747876E-3</v>
      </c>
      <c r="O968" s="14">
        <f t="shared" si="47"/>
        <v>3.8408779149512462E-4</v>
      </c>
      <c r="P968" s="14">
        <f t="array" ref="P968">MMULT(M968:O968,$I$9:$I$11)</f>
        <v>-2.0212794868669347E-3</v>
      </c>
    </row>
    <row r="969" spans="2:16" x14ac:dyDescent="0.25">
      <c r="B969" s="9">
        <v>36647</v>
      </c>
      <c r="C969" s="10">
        <v>6.2875E-2</v>
      </c>
      <c r="D969" s="11">
        <v>1468.25</v>
      </c>
      <c r="E969" s="11">
        <v>1.1008366358432409</v>
      </c>
      <c r="L969" s="9">
        <v>36647</v>
      </c>
      <c r="M969" s="14">
        <f t="shared" ref="M969:M1032" si="48">C969/C968-1</f>
        <v>1.1144704255250604E-2</v>
      </c>
      <c r="N969" s="14">
        <f t="shared" ref="N969:N1032" si="49">D969/D968-1</f>
        <v>1.0892091185117359E-2</v>
      </c>
      <c r="O969" s="14">
        <f t="shared" ref="O969:O1032" si="50">E969/E968-1</f>
        <v>3.1373844121531658E-3</v>
      </c>
      <c r="P969" s="14">
        <f t="array" ref="P969">MMULT(M969:O969,$I$9:$I$11)</f>
        <v>5.2308302652613724E-3</v>
      </c>
    </row>
    <row r="970" spans="2:16" x14ac:dyDescent="0.25">
      <c r="B970" s="9">
        <v>36648</v>
      </c>
      <c r="C970" s="10">
        <v>6.3036000000000009E-2</v>
      </c>
      <c r="D970" s="11">
        <v>1446.29</v>
      </c>
      <c r="E970" s="11">
        <v>1.1014428901861437</v>
      </c>
      <c r="L970" s="9">
        <v>36648</v>
      </c>
      <c r="M970" s="14">
        <f t="shared" si="48"/>
        <v>2.560636182902698E-3</v>
      </c>
      <c r="N970" s="14">
        <f t="shared" si="49"/>
        <v>-1.4956580963732313E-2</v>
      </c>
      <c r="O970" s="14">
        <f t="shared" si="50"/>
        <v>5.5072144509304977E-4</v>
      </c>
      <c r="P970" s="14">
        <f t="array" ref="P970">MMULT(M970:O970,$I$9:$I$11)</f>
        <v>-3.6356003425767245E-3</v>
      </c>
    </row>
    <row r="971" spans="2:16" x14ac:dyDescent="0.25">
      <c r="B971" s="9">
        <v>36649</v>
      </c>
      <c r="C971" s="10">
        <v>6.3982999999999998E-2</v>
      </c>
      <c r="D971" s="11">
        <v>1415.1</v>
      </c>
      <c r="E971" s="11">
        <v>1.1215791834903546</v>
      </c>
      <c r="L971" s="9">
        <v>36649</v>
      </c>
      <c r="M971" s="14">
        <f t="shared" si="48"/>
        <v>1.5023161368106885E-2</v>
      </c>
      <c r="N971" s="14">
        <f t="shared" si="49"/>
        <v>-2.1565522820457872E-2</v>
      </c>
      <c r="O971" s="14">
        <f t="shared" si="50"/>
        <v>1.8281740690893056E-2</v>
      </c>
      <c r="P971" s="14">
        <f t="array" ref="P971">MMULT(M971:O971,$I$9:$I$11)</f>
        <v>7.5246494174519745E-3</v>
      </c>
    </row>
    <row r="972" spans="2:16" x14ac:dyDescent="0.25">
      <c r="B972" s="9">
        <v>36650</v>
      </c>
      <c r="C972" s="10">
        <v>6.4264000000000002E-2</v>
      </c>
      <c r="D972" s="11">
        <v>1409.38</v>
      </c>
      <c r="E972" s="11">
        <v>1.1208877430925293</v>
      </c>
      <c r="L972" s="9">
        <v>36650</v>
      </c>
      <c r="M972" s="14">
        <f t="shared" si="48"/>
        <v>4.3917915696356502E-3</v>
      </c>
      <c r="N972" s="14">
        <f t="shared" si="49"/>
        <v>-4.0421171648645782E-3</v>
      </c>
      <c r="O972" s="14">
        <f t="shared" si="50"/>
        <v>-6.164882587010867E-4</v>
      </c>
      <c r="P972" s="14">
        <f t="array" ref="P972">MMULT(M972:O972,$I$9:$I$11)</f>
        <v>-1.5412645059342687E-3</v>
      </c>
    </row>
    <row r="973" spans="2:16" x14ac:dyDescent="0.25">
      <c r="B973" s="9">
        <v>36651</v>
      </c>
      <c r="C973" s="10">
        <v>6.5113000000000004E-2</v>
      </c>
      <c r="D973" s="11">
        <v>1432.63</v>
      </c>
      <c r="E973" s="11">
        <v>1.1201344161299356</v>
      </c>
      <c r="L973" s="9">
        <v>36651</v>
      </c>
      <c r="M973" s="14">
        <f t="shared" si="48"/>
        <v>1.3211129092493445E-2</v>
      </c>
      <c r="N973" s="14">
        <f t="shared" si="49"/>
        <v>1.6496615533071246E-2</v>
      </c>
      <c r="O973" s="14">
        <f t="shared" si="50"/>
        <v>-6.720806496779419E-4</v>
      </c>
      <c r="P973" s="14">
        <f t="array" ref="P973">MMULT(M973:O973,$I$9:$I$11)</f>
        <v>3.9627478331161871E-3</v>
      </c>
    </row>
    <row r="974" spans="2:16" x14ac:dyDescent="0.25">
      <c r="B974" s="9">
        <v>36654</v>
      </c>
      <c r="C974" s="10">
        <v>6.5682999999999991E-2</v>
      </c>
      <c r="D974" s="11">
        <v>1424.17</v>
      </c>
      <c r="E974" s="11">
        <v>1.1188811188811187</v>
      </c>
      <c r="L974" s="9">
        <v>36654</v>
      </c>
      <c r="M974" s="14">
        <f t="shared" si="48"/>
        <v>8.7540122556168942E-3</v>
      </c>
      <c r="N974" s="14">
        <f t="shared" si="49"/>
        <v>-5.9052232607162969E-3</v>
      </c>
      <c r="O974" s="14">
        <f t="shared" si="50"/>
        <v>-1.1188811188812542E-3</v>
      </c>
      <c r="P974" s="14">
        <f t="array" ref="P974">MMULT(M974:O974,$I$9:$I$11)</f>
        <v>-2.4109929164949188E-3</v>
      </c>
    </row>
    <row r="975" spans="2:16" x14ac:dyDescent="0.25">
      <c r="B975" s="9">
        <v>36655</v>
      </c>
      <c r="C975" s="10">
        <v>6.5243999999999996E-2</v>
      </c>
      <c r="D975" s="11">
        <v>1412.14</v>
      </c>
      <c r="E975" s="11">
        <v>1.1082174322602094</v>
      </c>
      <c r="L975" s="9">
        <v>36655</v>
      </c>
      <c r="M975" s="14">
        <f t="shared" si="48"/>
        <v>-6.6836167653729905E-3</v>
      </c>
      <c r="N975" s="14">
        <f t="shared" si="49"/>
        <v>-8.4470252849028205E-3</v>
      </c>
      <c r="O975" s="14">
        <f t="shared" si="50"/>
        <v>-9.530669917437673E-3</v>
      </c>
      <c r="P975" s="14">
        <f t="array" ref="P975">MMULT(M975:O975,$I$9:$I$11)</f>
        <v>-9.2381312788224687E-3</v>
      </c>
    </row>
    <row r="976" spans="2:16" x14ac:dyDescent="0.25">
      <c r="B976" s="9">
        <v>36656</v>
      </c>
      <c r="C976" s="10">
        <v>6.4381999999999995E-2</v>
      </c>
      <c r="D976" s="11">
        <v>1383.05</v>
      </c>
      <c r="E976" s="11">
        <v>1.0973936899862826</v>
      </c>
      <c r="L976" s="9">
        <v>36656</v>
      </c>
      <c r="M976" s="14">
        <f t="shared" si="48"/>
        <v>-1.3211942860646197E-2</v>
      </c>
      <c r="N976" s="14">
        <f t="shared" si="49"/>
        <v>-2.0599940515812931E-2</v>
      </c>
      <c r="O976" s="14">
        <f t="shared" si="50"/>
        <v>-9.7668038408778024E-3</v>
      </c>
      <c r="P976" s="14">
        <f t="array" ref="P976">MMULT(M976:O976,$I$9:$I$11)</f>
        <v>-1.2691296760115368E-2</v>
      </c>
    </row>
    <row r="977" spans="2:16" x14ac:dyDescent="0.25">
      <c r="B977" s="9">
        <v>36657</v>
      </c>
      <c r="C977" s="10">
        <v>6.4198000000000005E-2</v>
      </c>
      <c r="D977" s="11">
        <v>1407.81</v>
      </c>
      <c r="E977" s="11">
        <v>1.1066231394898467</v>
      </c>
      <c r="L977" s="9">
        <v>36657</v>
      </c>
      <c r="M977" s="14">
        <f t="shared" si="48"/>
        <v>-2.8579416607125152E-3</v>
      </c>
      <c r="N977" s="14">
        <f t="shared" si="49"/>
        <v>1.7902461950037862E-2</v>
      </c>
      <c r="O977" s="14">
        <f t="shared" si="50"/>
        <v>8.4103358601228528E-3</v>
      </c>
      <c r="P977" s="14">
        <f t="array" ref="P977">MMULT(M977:O977,$I$9:$I$11)</f>
        <v>1.0972812118979141E-2</v>
      </c>
    </row>
    <row r="978" spans="2:16" x14ac:dyDescent="0.25">
      <c r="B978" s="9">
        <v>36658</v>
      </c>
      <c r="C978" s="10">
        <v>6.5244999999999997E-2</v>
      </c>
      <c r="D978" s="11">
        <v>1420.96</v>
      </c>
      <c r="E978" s="11">
        <v>1.1029006286533585</v>
      </c>
      <c r="L978" s="9">
        <v>36658</v>
      </c>
      <c r="M978" s="14">
        <f t="shared" si="48"/>
        <v>1.6308919280974443E-2</v>
      </c>
      <c r="N978" s="14">
        <f t="shared" si="49"/>
        <v>9.340749106768742E-3</v>
      </c>
      <c r="O978" s="14">
        <f t="shared" si="50"/>
        <v>-3.3638469173925545E-3</v>
      </c>
      <c r="P978" s="14">
        <f t="array" ref="P978">MMULT(M978:O978,$I$9:$I$11)</f>
        <v>6.5861599107439831E-5</v>
      </c>
    </row>
    <row r="979" spans="2:16" x14ac:dyDescent="0.25">
      <c r="B979" s="9">
        <v>36661</v>
      </c>
      <c r="C979" s="10">
        <v>6.4522999999999997E-2</v>
      </c>
      <c r="D979" s="11">
        <v>1452.36</v>
      </c>
      <c r="E979" s="11">
        <v>1.0912860806460414</v>
      </c>
      <c r="L979" s="9">
        <v>36661</v>
      </c>
      <c r="M979" s="14">
        <f t="shared" si="48"/>
        <v>-1.1065982067591351E-2</v>
      </c>
      <c r="N979" s="14">
        <f t="shared" si="49"/>
        <v>2.2097736741357954E-2</v>
      </c>
      <c r="O979" s="14">
        <f t="shared" si="50"/>
        <v>-1.0530910678234418E-2</v>
      </c>
      <c r="P979" s="14">
        <f t="array" ref="P979">MMULT(M979:O979,$I$9:$I$11)</f>
        <v>-1.722543239865662E-3</v>
      </c>
    </row>
    <row r="980" spans="2:16" x14ac:dyDescent="0.25">
      <c r="B980" s="9">
        <v>36662</v>
      </c>
      <c r="C980" s="10">
        <v>6.4262E-2</v>
      </c>
      <c r="D980" s="11">
        <v>1466.04</v>
      </c>
      <c r="E980" s="11">
        <v>1.1048502927853276</v>
      </c>
      <c r="L980" s="9">
        <v>36662</v>
      </c>
      <c r="M980" s="14">
        <f t="shared" si="48"/>
        <v>-4.0450692001301469E-3</v>
      </c>
      <c r="N980" s="14">
        <f t="shared" si="49"/>
        <v>9.4191522762951951E-3</v>
      </c>
      <c r="O980" s="14">
        <f t="shared" si="50"/>
        <v>1.2429565793834918E-2</v>
      </c>
      <c r="P980" s="14">
        <f t="array" ref="P980">MMULT(M980:O980,$I$9:$I$11)</f>
        <v>1.1616880301147298E-2</v>
      </c>
    </row>
    <row r="981" spans="2:16" x14ac:dyDescent="0.25">
      <c r="B981" s="9">
        <v>36663</v>
      </c>
      <c r="C981" s="10">
        <v>6.4893999999999993E-2</v>
      </c>
      <c r="D981" s="11">
        <v>1447.8</v>
      </c>
      <c r="E981" s="11">
        <v>1.1223974409338346</v>
      </c>
      <c r="L981" s="9">
        <v>36663</v>
      </c>
      <c r="M981" s="14">
        <f t="shared" si="48"/>
        <v>9.8347390370669974E-3</v>
      </c>
      <c r="N981" s="14">
        <f t="shared" si="49"/>
        <v>-1.244167962674958E-2</v>
      </c>
      <c r="O981" s="14">
        <f t="shared" si="50"/>
        <v>1.5881923789213603E-2</v>
      </c>
      <c r="P981" s="14">
        <f t="array" ref="P981">MMULT(M981:O981,$I$9:$I$11)</f>
        <v>8.2357378208478636E-3</v>
      </c>
    </row>
    <row r="982" spans="2:16" x14ac:dyDescent="0.25">
      <c r="B982" s="9">
        <v>36664</v>
      </c>
      <c r="C982" s="10">
        <v>6.5419999999999992E-2</v>
      </c>
      <c r="D982" s="11">
        <v>1437.21</v>
      </c>
      <c r="E982" s="11">
        <v>1.1190063223857214</v>
      </c>
      <c r="L982" s="9">
        <v>36664</v>
      </c>
      <c r="M982" s="14">
        <f t="shared" si="48"/>
        <v>8.10552593460101E-3</v>
      </c>
      <c r="N982" s="14">
        <f t="shared" si="49"/>
        <v>-7.3145462080397294E-3</v>
      </c>
      <c r="O982" s="14">
        <f t="shared" si="50"/>
        <v>-3.0213170704415093E-3</v>
      </c>
      <c r="P982" s="14">
        <f t="array" ref="P982">MMULT(M982:O982,$I$9:$I$11)</f>
        <v>-4.180309021740377E-3</v>
      </c>
    </row>
    <row r="983" spans="2:16" x14ac:dyDescent="0.25">
      <c r="B983" s="9">
        <v>36665</v>
      </c>
      <c r="C983" s="10">
        <v>6.4981999999999998E-2</v>
      </c>
      <c r="D983" s="11">
        <v>1406.95</v>
      </c>
      <c r="E983" s="11">
        <v>1.1201344161299356</v>
      </c>
      <c r="L983" s="9">
        <v>36665</v>
      </c>
      <c r="M983" s="14">
        <f t="shared" si="48"/>
        <v>-6.6952002445734848E-3</v>
      </c>
      <c r="N983" s="14">
        <f t="shared" si="49"/>
        <v>-2.1054682335914676E-2</v>
      </c>
      <c r="O983" s="14">
        <f t="shared" si="50"/>
        <v>1.0081209745169684E-3</v>
      </c>
      <c r="P983" s="14">
        <f t="array" ref="P983">MMULT(M983:O983,$I$9:$I$11)</f>
        <v>-4.9479113359749373E-3</v>
      </c>
    </row>
    <row r="984" spans="2:16" x14ac:dyDescent="0.25">
      <c r="B984" s="9">
        <v>36668</v>
      </c>
      <c r="C984" s="10">
        <v>6.4501000000000003E-2</v>
      </c>
      <c r="D984" s="11">
        <v>1400.72</v>
      </c>
      <c r="E984" s="11">
        <v>1.1062558769843465</v>
      </c>
      <c r="L984" s="9">
        <v>36668</v>
      </c>
      <c r="M984" s="14">
        <f t="shared" si="48"/>
        <v>-7.402049798405641E-3</v>
      </c>
      <c r="N984" s="14">
        <f t="shared" si="49"/>
        <v>-4.4280180532357827E-3</v>
      </c>
      <c r="O984" s="14">
        <f t="shared" si="50"/>
        <v>-1.2390065822224683E-2</v>
      </c>
      <c r="P984" s="14">
        <f t="array" ref="P984">MMULT(M984:O984,$I$9:$I$11)</f>
        <v>-1.024064658920474E-2</v>
      </c>
    </row>
    <row r="985" spans="2:16" x14ac:dyDescent="0.25">
      <c r="B985" s="9">
        <v>36669</v>
      </c>
      <c r="C985" s="10">
        <v>6.4283000000000007E-2</v>
      </c>
      <c r="D985" s="11">
        <v>1373.86</v>
      </c>
      <c r="E985" s="11">
        <v>1.1004126547455297</v>
      </c>
      <c r="L985" s="9">
        <v>36669</v>
      </c>
      <c r="M985" s="14">
        <f t="shared" si="48"/>
        <v>-3.3797925613555657E-3</v>
      </c>
      <c r="N985" s="14">
        <f t="shared" si="49"/>
        <v>-1.917585241875619E-2</v>
      </c>
      <c r="O985" s="14">
        <f t="shared" si="50"/>
        <v>-5.2819807427784138E-3</v>
      </c>
      <c r="P985" s="14">
        <f t="array" ref="P985">MMULT(M985:O985,$I$9:$I$11)</f>
        <v>-9.0327438464328502E-3</v>
      </c>
    </row>
    <row r="986" spans="2:16" x14ac:dyDescent="0.25">
      <c r="B986" s="9">
        <v>36670</v>
      </c>
      <c r="C986" s="10">
        <v>6.4785000000000009E-2</v>
      </c>
      <c r="D986" s="11">
        <v>1399.05</v>
      </c>
      <c r="E986" s="11">
        <v>1.1020498126515319</v>
      </c>
      <c r="L986" s="9">
        <v>36670</v>
      </c>
      <c r="M986" s="14">
        <f t="shared" si="48"/>
        <v>7.8092186114524509E-3</v>
      </c>
      <c r="N986" s="14">
        <f t="shared" si="49"/>
        <v>1.8335201548920654E-2</v>
      </c>
      <c r="O986" s="14">
        <f t="shared" si="50"/>
        <v>1.4877672470794412E-3</v>
      </c>
      <c r="P986" s="14">
        <f t="array" ref="P986">MMULT(M986:O986,$I$9:$I$11)</f>
        <v>6.0358684851125844E-3</v>
      </c>
    </row>
    <row r="987" spans="2:16" x14ac:dyDescent="0.25">
      <c r="B987" s="9">
        <v>36671</v>
      </c>
      <c r="C987" s="10">
        <v>6.3978000000000007E-2</v>
      </c>
      <c r="D987" s="11">
        <v>1381.52</v>
      </c>
      <c r="E987" s="11">
        <v>1.1027182003638969</v>
      </c>
      <c r="L987" s="9">
        <v>36671</v>
      </c>
      <c r="M987" s="14">
        <f t="shared" si="48"/>
        <v>-1.2456587172956723E-2</v>
      </c>
      <c r="N987" s="14">
        <f t="shared" si="49"/>
        <v>-1.2529931024623853E-2</v>
      </c>
      <c r="O987" s="14">
        <f t="shared" si="50"/>
        <v>6.064950102000477E-4</v>
      </c>
      <c r="P987" s="14">
        <f t="array" ref="P987">MMULT(M987:O987,$I$9:$I$11)</f>
        <v>-2.9397895125289671E-3</v>
      </c>
    </row>
    <row r="988" spans="2:16" x14ac:dyDescent="0.25">
      <c r="B988" s="9">
        <v>36672</v>
      </c>
      <c r="C988" s="10">
        <v>6.3272999999999996E-2</v>
      </c>
      <c r="D988" s="11">
        <v>1378.02</v>
      </c>
      <c r="E988" s="11">
        <v>1.0800302408467437</v>
      </c>
      <c r="L988" s="9">
        <v>36672</v>
      </c>
      <c r="M988" s="14">
        <f t="shared" si="48"/>
        <v>-1.1019412923192529E-2</v>
      </c>
      <c r="N988" s="14">
        <f t="shared" si="49"/>
        <v>-2.5334414268342043E-3</v>
      </c>
      <c r="O988" s="14">
        <f t="shared" si="50"/>
        <v>-2.0574576088130403E-2</v>
      </c>
      <c r="P988" s="14">
        <f t="array" ref="P988">MMULT(M988:O988,$I$9:$I$11)</f>
        <v>-1.5704225777306128E-2</v>
      </c>
    </row>
    <row r="989" spans="2:16" x14ac:dyDescent="0.25">
      <c r="B989" s="9">
        <v>36675</v>
      </c>
      <c r="C989" s="10">
        <v>6.3272999999999996E-2</v>
      </c>
      <c r="D989" s="11">
        <v>1378.02</v>
      </c>
      <c r="E989" s="11">
        <v>1.0779346771585643</v>
      </c>
      <c r="L989" s="9">
        <v>36675</v>
      </c>
      <c r="M989" s="14">
        <f t="shared" si="48"/>
        <v>0</v>
      </c>
      <c r="N989" s="14">
        <f t="shared" si="49"/>
        <v>0</v>
      </c>
      <c r="O989" s="14">
        <f t="shared" si="50"/>
        <v>-1.9402824188853307E-3</v>
      </c>
      <c r="P989" s="14">
        <f t="array" ref="P989">MMULT(M989:O989,$I$9:$I$11)</f>
        <v>-1.4164874769752799E-3</v>
      </c>
    </row>
    <row r="990" spans="2:16" x14ac:dyDescent="0.25">
      <c r="B990" s="9">
        <v>36676</v>
      </c>
      <c r="C990" s="10">
        <v>6.3802999999999999E-2</v>
      </c>
      <c r="D990" s="11">
        <v>1422.42</v>
      </c>
      <c r="E990" s="11">
        <v>1.0723860589812333</v>
      </c>
      <c r="L990" s="9">
        <v>36676</v>
      </c>
      <c r="M990" s="14">
        <f t="shared" si="48"/>
        <v>8.3764006764339705E-3</v>
      </c>
      <c r="N990" s="14">
        <f t="shared" si="49"/>
        <v>3.2220141942787439E-2</v>
      </c>
      <c r="O990" s="14">
        <f t="shared" si="50"/>
        <v>-5.1474530831099319E-3</v>
      </c>
      <c r="P990" s="14">
        <f t="array" ref="P990">MMULT(M990:O990,$I$9:$I$11)</f>
        <v>4.9402316144366498E-3</v>
      </c>
    </row>
    <row r="991" spans="2:16" x14ac:dyDescent="0.25">
      <c r="B991" s="9">
        <v>36677</v>
      </c>
      <c r="C991" s="10">
        <v>6.2851999999999991E-2</v>
      </c>
      <c r="D991" s="11">
        <v>1420.64</v>
      </c>
      <c r="E991" s="11">
        <v>1.0782833728703904</v>
      </c>
      <c r="L991" s="9">
        <v>36677</v>
      </c>
      <c r="M991" s="14">
        <f t="shared" si="48"/>
        <v>-1.4905255238781945E-2</v>
      </c>
      <c r="N991" s="14">
        <f t="shared" si="49"/>
        <v>-1.2513884787896945E-3</v>
      </c>
      <c r="O991" s="14">
        <f t="shared" si="50"/>
        <v>5.4992452016391358E-3</v>
      </c>
      <c r="P991" s="14">
        <f t="array" ref="P991">MMULT(M991:O991,$I$9:$I$11)</f>
        <v>3.6768570059415159E-3</v>
      </c>
    </row>
    <row r="992" spans="2:16" x14ac:dyDescent="0.25">
      <c r="B992" s="9">
        <v>36678</v>
      </c>
      <c r="C992" s="10">
        <v>6.1874999999999999E-2</v>
      </c>
      <c r="D992" s="11">
        <v>1448.81</v>
      </c>
      <c r="E992" s="11">
        <v>1.0740561731378551</v>
      </c>
      <c r="L992" s="9">
        <v>36678</v>
      </c>
      <c r="M992" s="14">
        <f t="shared" si="48"/>
        <v>-1.5544453637115652E-2</v>
      </c>
      <c r="N992" s="14">
        <f t="shared" si="49"/>
        <v>1.9829091113864106E-2</v>
      </c>
      <c r="O992" s="14">
        <f t="shared" si="50"/>
        <v>-3.9203050319532862E-3</v>
      </c>
      <c r="P992" s="14">
        <f t="array" ref="P992">MMULT(M992:O992,$I$9:$I$11)</f>
        <v>2.4910366642435645E-3</v>
      </c>
    </row>
    <row r="993" spans="2:16" x14ac:dyDescent="0.25">
      <c r="B993" s="9">
        <v>36679</v>
      </c>
      <c r="C993" s="10">
        <v>6.1691999999999997E-2</v>
      </c>
      <c r="D993" s="11">
        <v>1477.26</v>
      </c>
      <c r="E993" s="11">
        <v>1.0591537361648042</v>
      </c>
      <c r="L993" s="9">
        <v>36679</v>
      </c>
      <c r="M993" s="14">
        <f t="shared" si="48"/>
        <v>-2.9575757575758255E-3</v>
      </c>
      <c r="N993" s="14">
        <f t="shared" si="49"/>
        <v>1.9636805378207001E-2</v>
      </c>
      <c r="O993" s="14">
        <f t="shared" si="50"/>
        <v>-1.3874913943758949E-2</v>
      </c>
      <c r="P993" s="14">
        <f t="array" ref="P993">MMULT(M993:O993,$I$9:$I$11)</f>
        <v>-4.8281540985405267E-3</v>
      </c>
    </row>
    <row r="994" spans="2:16" x14ac:dyDescent="0.25">
      <c r="B994" s="9">
        <v>36682</v>
      </c>
      <c r="C994" s="10">
        <v>6.1159999999999999E-2</v>
      </c>
      <c r="D994" s="11">
        <v>1467.63</v>
      </c>
      <c r="E994" s="11">
        <v>1.0587612493382743</v>
      </c>
      <c r="L994" s="9">
        <v>36682</v>
      </c>
      <c r="M994" s="14">
        <f t="shared" si="48"/>
        <v>-8.6234844064060345E-3</v>
      </c>
      <c r="N994" s="14">
        <f t="shared" si="49"/>
        <v>-6.5188253929571172E-3</v>
      </c>
      <c r="O994" s="14">
        <f t="shared" si="50"/>
        <v>-3.7056643726818272E-4</v>
      </c>
      <c r="P994" s="14">
        <f t="array" ref="P994">MMULT(M994:O994,$I$9:$I$11)</f>
        <v>-2.0303387009333517E-3</v>
      </c>
    </row>
    <row r="995" spans="2:16" x14ac:dyDescent="0.25">
      <c r="B995" s="9">
        <v>36683</v>
      </c>
      <c r="C995" s="10">
        <v>6.1265E-2</v>
      </c>
      <c r="D995" s="11">
        <v>1457.84</v>
      </c>
      <c r="E995" s="11">
        <v>1.0428616122640526</v>
      </c>
      <c r="L995" s="9">
        <v>36683</v>
      </c>
      <c r="M995" s="14">
        <f t="shared" si="48"/>
        <v>1.7168083714846905E-3</v>
      </c>
      <c r="N995" s="14">
        <f t="shared" si="49"/>
        <v>-6.6706186164089409E-3</v>
      </c>
      <c r="O995" s="14">
        <f t="shared" si="50"/>
        <v>-1.501720721660238E-2</v>
      </c>
      <c r="P995" s="14">
        <f t="array" ref="P995">MMULT(M995:O995,$I$9:$I$11)</f>
        <v>-1.2763978074064965E-2</v>
      </c>
    </row>
    <row r="996" spans="2:16" x14ac:dyDescent="0.25">
      <c r="B996" s="9">
        <v>36684</v>
      </c>
      <c r="C996" s="10">
        <v>6.1519999999999998E-2</v>
      </c>
      <c r="D996" s="11">
        <v>1471.36</v>
      </c>
      <c r="E996" s="11">
        <v>1.0448229025180233</v>
      </c>
      <c r="L996" s="9">
        <v>36684</v>
      </c>
      <c r="M996" s="14">
        <f t="shared" si="48"/>
        <v>4.1622459805761292E-3</v>
      </c>
      <c r="N996" s="14">
        <f t="shared" si="49"/>
        <v>9.2739944026778431E-3</v>
      </c>
      <c r="O996" s="14">
        <f t="shared" si="50"/>
        <v>1.8806812245324434E-3</v>
      </c>
      <c r="P996" s="14">
        <f t="array" ref="P996">MMULT(M996:O996,$I$9:$I$11)</f>
        <v>3.8765659519187966E-3</v>
      </c>
    </row>
    <row r="997" spans="2:16" x14ac:dyDescent="0.25">
      <c r="B997" s="9">
        <v>36685</v>
      </c>
      <c r="C997" s="10">
        <v>6.1305999999999999E-2</v>
      </c>
      <c r="D997" s="11">
        <v>1461.67</v>
      </c>
      <c r="E997" s="11">
        <v>1.0488226965231526</v>
      </c>
      <c r="L997" s="9">
        <v>36685</v>
      </c>
      <c r="M997" s="14">
        <f t="shared" si="48"/>
        <v>-3.4785435630688699E-3</v>
      </c>
      <c r="N997" s="14">
        <f t="shared" si="49"/>
        <v>-6.585743801652777E-3</v>
      </c>
      <c r="O997" s="14">
        <f t="shared" si="50"/>
        <v>3.8282028423093362E-3</v>
      </c>
      <c r="P997" s="14">
        <f t="array" ref="P997">MMULT(M997:O997,$I$9:$I$11)</f>
        <v>1.0168736644867564E-3</v>
      </c>
    </row>
    <row r="998" spans="2:16" x14ac:dyDescent="0.25">
      <c r="B998" s="9">
        <v>36686</v>
      </c>
      <c r="C998" s="10">
        <v>6.1261999999999997E-2</v>
      </c>
      <c r="D998" s="11">
        <v>1456.95</v>
      </c>
      <c r="E998" s="11">
        <v>1.05157999894842</v>
      </c>
      <c r="L998" s="9">
        <v>36686</v>
      </c>
      <c r="M998" s="14">
        <f t="shared" si="48"/>
        <v>-7.1771115388385986E-4</v>
      </c>
      <c r="N998" s="14">
        <f t="shared" si="49"/>
        <v>-3.2291830577353409E-3</v>
      </c>
      <c r="O998" s="14">
        <f t="shared" si="50"/>
        <v>2.6289499973712882E-3</v>
      </c>
      <c r="P998" s="14">
        <f t="array" ref="P998">MMULT(M998:O998,$I$9:$I$11)</f>
        <v>1.04749956859107E-3</v>
      </c>
    </row>
    <row r="999" spans="2:16" x14ac:dyDescent="0.25">
      <c r="B999" s="9">
        <v>36689</v>
      </c>
      <c r="C999" s="10">
        <v>6.0793999999999994E-2</v>
      </c>
      <c r="D999" s="11">
        <v>1446</v>
      </c>
      <c r="E999" s="11">
        <v>1.0483828694239137</v>
      </c>
      <c r="L999" s="9">
        <v>36689</v>
      </c>
      <c r="M999" s="14">
        <f t="shared" si="48"/>
        <v>-7.63931964349851E-3</v>
      </c>
      <c r="N999" s="14">
        <f t="shared" si="49"/>
        <v>-7.5157006074333399E-3</v>
      </c>
      <c r="O999" s="14">
        <f t="shared" si="50"/>
        <v>-3.0403103213293425E-3</v>
      </c>
      <c r="P999" s="14">
        <f t="array" ref="P999">MMULT(M999:O999,$I$9:$I$11)</f>
        <v>-4.2484781489187697E-3</v>
      </c>
    </row>
    <row r="1000" spans="2:16" x14ac:dyDescent="0.25">
      <c r="B1000" s="9">
        <v>36690</v>
      </c>
      <c r="C1000" s="10">
        <v>6.1133E-2</v>
      </c>
      <c r="D1000" s="11">
        <v>1469.48</v>
      </c>
      <c r="E1000" s="11">
        <v>1.0409618487482433</v>
      </c>
      <c r="L1000" s="9">
        <v>36690</v>
      </c>
      <c r="M1000" s="14">
        <f t="shared" si="48"/>
        <v>5.5762081784387352E-3</v>
      </c>
      <c r="N1000" s="14">
        <f t="shared" si="49"/>
        <v>1.6237897648686106E-2</v>
      </c>
      <c r="O1000" s="14">
        <f t="shared" si="50"/>
        <v>-7.0785405714882677E-3</v>
      </c>
      <c r="P1000" s="14">
        <f t="array" ref="P1000">MMULT(M1000:O1000,$I$9:$I$11)</f>
        <v>-7.8407937129774778E-4</v>
      </c>
    </row>
    <row r="1001" spans="2:16" x14ac:dyDescent="0.25">
      <c r="B1001" s="9">
        <v>36691</v>
      </c>
      <c r="C1001" s="10">
        <v>6.0496000000000001E-2</v>
      </c>
      <c r="D1001" s="11">
        <v>1470.58</v>
      </c>
      <c r="E1001" s="11">
        <v>1.0428072370822254</v>
      </c>
      <c r="L1001" s="9">
        <v>36691</v>
      </c>
      <c r="M1001" s="14">
        <f t="shared" si="48"/>
        <v>-1.0419904143424974E-2</v>
      </c>
      <c r="N1001" s="14">
        <f t="shared" si="49"/>
        <v>7.4856411791923705E-4</v>
      </c>
      <c r="O1001" s="14">
        <f t="shared" si="50"/>
        <v>1.7727723030400711E-3</v>
      </c>
      <c r="P1001" s="14">
        <f t="array" ref="P1001">MMULT(M1001:O1001,$I$9:$I$11)</f>
        <v>1.4962790144303828E-3</v>
      </c>
    </row>
    <row r="1002" spans="2:16" x14ac:dyDescent="0.25">
      <c r="B1002" s="9">
        <v>36692</v>
      </c>
      <c r="C1002" s="10">
        <v>6.0496999999999995E-2</v>
      </c>
      <c r="D1002" s="11">
        <v>1478.64</v>
      </c>
      <c r="E1002" s="11">
        <v>1.0497585555322275</v>
      </c>
      <c r="L1002" s="9">
        <v>36692</v>
      </c>
      <c r="M1002" s="14">
        <f t="shared" si="48"/>
        <v>1.6530018513538636E-5</v>
      </c>
      <c r="N1002" s="14">
        <f t="shared" si="49"/>
        <v>5.4808306926519279E-3</v>
      </c>
      <c r="O1002" s="14">
        <f t="shared" si="50"/>
        <v>6.6659668276294326E-3</v>
      </c>
      <c r="P1002" s="14">
        <f t="array" ref="P1002">MMULT(M1002:O1002,$I$9:$I$11)</f>
        <v>6.3460297365472654E-3</v>
      </c>
    </row>
    <row r="1003" spans="2:16" x14ac:dyDescent="0.25">
      <c r="B1003" s="9">
        <v>36693</v>
      </c>
      <c r="C1003" s="10">
        <v>5.9795999999999995E-2</v>
      </c>
      <c r="D1003" s="11">
        <v>1464.46</v>
      </c>
      <c r="E1003" s="11">
        <v>1.0407993338884263</v>
      </c>
      <c r="L1003" s="9">
        <v>36693</v>
      </c>
      <c r="M1003" s="14">
        <f t="shared" si="48"/>
        <v>-1.1587351438914317E-2</v>
      </c>
      <c r="N1003" s="14">
        <f t="shared" si="49"/>
        <v>-9.589893415571149E-3</v>
      </c>
      <c r="O1003" s="14">
        <f t="shared" si="50"/>
        <v>-8.5345545378850973E-3</v>
      </c>
      <c r="P1003" s="14">
        <f t="array" ref="P1003">MMULT(M1003:O1003,$I$9:$I$11)</f>
        <v>-8.8194518088970924E-3</v>
      </c>
    </row>
    <row r="1004" spans="2:16" x14ac:dyDescent="0.25">
      <c r="B1004" s="9">
        <v>36696</v>
      </c>
      <c r="C1004" s="10">
        <v>6.0026999999999997E-2</v>
      </c>
      <c r="D1004" s="11">
        <v>1485.94</v>
      </c>
      <c r="E1004" s="11">
        <v>1.0413954699297057</v>
      </c>
      <c r="L1004" s="9">
        <v>36696</v>
      </c>
      <c r="M1004" s="14">
        <f t="shared" si="48"/>
        <v>3.8631346578366088E-3</v>
      </c>
      <c r="N1004" s="14">
        <f t="shared" si="49"/>
        <v>1.4667522499760999E-2</v>
      </c>
      <c r="O1004" s="14">
        <f t="shared" si="50"/>
        <v>5.7276750846124713E-4</v>
      </c>
      <c r="P1004" s="14">
        <f t="array" ref="P1004">MMULT(M1004:O1004,$I$9:$I$11)</f>
        <v>4.3777606888589548E-3</v>
      </c>
    </row>
    <row r="1005" spans="2:16" x14ac:dyDescent="0.25">
      <c r="B1005" s="9">
        <v>36697</v>
      </c>
      <c r="C1005" s="10">
        <v>6.0227000000000003E-2</v>
      </c>
      <c r="D1005" s="11">
        <v>1476.23</v>
      </c>
      <c r="E1005" s="11">
        <v>1.0466820180029306</v>
      </c>
      <c r="L1005" s="9">
        <v>36697</v>
      </c>
      <c r="M1005" s="14">
        <f t="shared" si="48"/>
        <v>3.3318340080297215E-3</v>
      </c>
      <c r="N1005" s="14">
        <f t="shared" si="49"/>
        <v>-6.5345841689435913E-3</v>
      </c>
      <c r="O1005" s="14">
        <f t="shared" si="50"/>
        <v>5.0764077873142188E-3</v>
      </c>
      <c r="P1005" s="14">
        <f t="array" ref="P1005">MMULT(M1005:O1005,$I$9:$I$11)</f>
        <v>1.9419265396100644E-3</v>
      </c>
    </row>
    <row r="1006" spans="2:16" x14ac:dyDescent="0.25">
      <c r="B1006" s="9">
        <v>36698</v>
      </c>
      <c r="C1006" s="10">
        <v>6.1106000000000001E-2</v>
      </c>
      <c r="D1006" s="11">
        <v>1479.07</v>
      </c>
      <c r="E1006" s="11">
        <v>1.0569148655075833</v>
      </c>
      <c r="L1006" s="9">
        <v>36698</v>
      </c>
      <c r="M1006" s="14">
        <f t="shared" si="48"/>
        <v>1.4594783070715822E-2</v>
      </c>
      <c r="N1006" s="14">
        <f t="shared" si="49"/>
        <v>1.9238194590274205E-3</v>
      </c>
      <c r="O1006" s="14">
        <f t="shared" si="50"/>
        <v>9.7764625059451049E-3</v>
      </c>
      <c r="P1006" s="14">
        <f t="array" ref="P1006">MMULT(M1006:O1006,$I$9:$I$11)</f>
        <v>7.6565779630734633E-3</v>
      </c>
    </row>
    <row r="1007" spans="2:16" x14ac:dyDescent="0.25">
      <c r="B1007" s="9">
        <v>36699</v>
      </c>
      <c r="C1007" s="10">
        <v>6.1074000000000003E-2</v>
      </c>
      <c r="D1007" s="11">
        <v>1452.18</v>
      </c>
      <c r="E1007" s="11">
        <v>1.0644526052477514</v>
      </c>
      <c r="L1007" s="9">
        <v>36699</v>
      </c>
      <c r="M1007" s="14">
        <f t="shared" si="48"/>
        <v>-5.2368016234083381E-4</v>
      </c>
      <c r="N1007" s="14">
        <f t="shared" si="49"/>
        <v>-1.8180343053405101E-2</v>
      </c>
      <c r="O1007" s="14">
        <f t="shared" si="50"/>
        <v>7.1318324551601364E-3</v>
      </c>
      <c r="P1007" s="14">
        <f t="array" ref="P1007">MMULT(M1007:O1007,$I$9:$I$11)</f>
        <v>2.9860582223381962E-4</v>
      </c>
    </row>
    <row r="1008" spans="2:16" x14ac:dyDescent="0.25">
      <c r="B1008" s="9">
        <v>36700</v>
      </c>
      <c r="C1008" s="10">
        <v>6.1851999999999997E-2</v>
      </c>
      <c r="D1008" s="11">
        <v>1441.48</v>
      </c>
      <c r="E1008" s="11">
        <v>1.0678626728602703</v>
      </c>
      <c r="L1008" s="9">
        <v>36700</v>
      </c>
      <c r="M1008" s="14">
        <f t="shared" si="48"/>
        <v>1.2738644922552833E-2</v>
      </c>
      <c r="N1008" s="14">
        <f t="shared" si="49"/>
        <v>-7.3682325882467037E-3</v>
      </c>
      <c r="O1008" s="14">
        <f t="shared" si="50"/>
        <v>3.203588018580783E-3</v>
      </c>
      <c r="P1008" s="14">
        <f t="array" ref="P1008">MMULT(M1008:O1008,$I$9:$I$11)</f>
        <v>3.4963948679029742E-4</v>
      </c>
    </row>
    <row r="1009" spans="2:16" x14ac:dyDescent="0.25">
      <c r="B1009" s="9">
        <v>36703</v>
      </c>
      <c r="C1009" s="10">
        <v>6.0995999999999995E-2</v>
      </c>
      <c r="D1009" s="11">
        <v>1455.31</v>
      </c>
      <c r="E1009" s="11">
        <v>1.067178912544688</v>
      </c>
      <c r="L1009" s="9">
        <v>36703</v>
      </c>
      <c r="M1009" s="14">
        <f t="shared" si="48"/>
        <v>-1.3839487809610085E-2</v>
      </c>
      <c r="N1009" s="14">
        <f t="shared" si="49"/>
        <v>9.5943058523184632E-3</v>
      </c>
      <c r="O1009" s="14">
        <f t="shared" si="50"/>
        <v>-6.4030734752695828E-4</v>
      </c>
      <c r="P1009" s="14">
        <f t="array" ref="P1009">MMULT(M1009:O1009,$I$9:$I$11)</f>
        <v>2.1226093156898377E-3</v>
      </c>
    </row>
    <row r="1010" spans="2:16" x14ac:dyDescent="0.25">
      <c r="B1010" s="9">
        <v>36704</v>
      </c>
      <c r="C1010" s="10">
        <v>6.0932000000000007E-2</v>
      </c>
      <c r="D1010" s="11">
        <v>1450.55</v>
      </c>
      <c r="E1010" s="11">
        <v>1.060108131029365</v>
      </c>
      <c r="L1010" s="9">
        <v>36704</v>
      </c>
      <c r="M1010" s="14">
        <f t="shared" si="48"/>
        <v>-1.0492491310903906E-3</v>
      </c>
      <c r="N1010" s="14">
        <f t="shared" si="49"/>
        <v>-3.270780795844197E-3</v>
      </c>
      <c r="O1010" s="14">
        <f t="shared" si="50"/>
        <v>-6.6256758189334741E-3</v>
      </c>
      <c r="P1010" s="14">
        <f t="array" ref="P1010">MMULT(M1010:O1010,$I$9:$I$11)</f>
        <v>-5.7199947558937434E-3</v>
      </c>
    </row>
    <row r="1011" spans="2:16" x14ac:dyDescent="0.25">
      <c r="B1011" s="9">
        <v>36705</v>
      </c>
      <c r="C1011" s="10">
        <v>6.1059000000000002E-2</v>
      </c>
      <c r="D1011" s="11">
        <v>1454.82</v>
      </c>
      <c r="E1011" s="11">
        <v>1.057194206575748</v>
      </c>
      <c r="L1011" s="9">
        <v>36705</v>
      </c>
      <c r="M1011" s="14">
        <f t="shared" si="48"/>
        <v>2.0842906846976206E-3</v>
      </c>
      <c r="N1011" s="14">
        <f t="shared" si="49"/>
        <v>2.94371100617008E-3</v>
      </c>
      <c r="O1011" s="14">
        <f t="shared" si="50"/>
        <v>-2.7487049370968908E-3</v>
      </c>
      <c r="P1011" s="14">
        <f t="array" ref="P1011">MMULT(M1011:O1011,$I$9:$I$11)</f>
        <v>-1.2119911838257059E-3</v>
      </c>
    </row>
    <row r="1012" spans="2:16" x14ac:dyDescent="0.25">
      <c r="B1012" s="9">
        <v>36706</v>
      </c>
      <c r="C1012" s="10">
        <v>6.0357000000000001E-2</v>
      </c>
      <c r="D1012" s="11">
        <v>1442.39</v>
      </c>
      <c r="E1012" s="11">
        <v>1.0498687664041995</v>
      </c>
      <c r="L1012" s="9">
        <v>36706</v>
      </c>
      <c r="M1012" s="14">
        <f t="shared" si="48"/>
        <v>-1.1497076598044553E-2</v>
      </c>
      <c r="N1012" s="14">
        <f t="shared" si="49"/>
        <v>-8.5440123176748761E-3</v>
      </c>
      <c r="O1012" s="14">
        <f t="shared" si="50"/>
        <v>-6.9291338582677664E-3</v>
      </c>
      <c r="P1012" s="14">
        <f t="array" ref="P1012">MMULT(M1012:O1012,$I$9:$I$11)</f>
        <v>-7.3650833677844675E-3</v>
      </c>
    </row>
    <row r="1013" spans="2:16" x14ac:dyDescent="0.25">
      <c r="B1013" s="9">
        <v>36707</v>
      </c>
      <c r="C1013" s="10">
        <v>6.0270000000000004E-2</v>
      </c>
      <c r="D1013" s="11">
        <v>1454.6</v>
      </c>
      <c r="E1013" s="11">
        <v>1.0432423973710292</v>
      </c>
      <c r="L1013" s="9">
        <v>36707</v>
      </c>
      <c r="M1013" s="14">
        <f t="shared" si="48"/>
        <v>-1.4414235299964329E-3</v>
      </c>
      <c r="N1013" s="14">
        <f t="shared" si="49"/>
        <v>8.4651169239939872E-3</v>
      </c>
      <c r="O1013" s="14">
        <f t="shared" si="50"/>
        <v>-6.3116165040947303E-3</v>
      </c>
      <c r="P1013" s="14">
        <f t="array" ref="P1013">MMULT(M1013:O1013,$I$9:$I$11)</f>
        <v>-2.3225177253547976E-3</v>
      </c>
    </row>
    <row r="1014" spans="2:16" x14ac:dyDescent="0.25">
      <c r="B1014" s="9">
        <v>36710</v>
      </c>
      <c r="C1014" s="10">
        <v>5.9908000000000003E-2</v>
      </c>
      <c r="D1014" s="11">
        <v>1469.32</v>
      </c>
      <c r="E1014" s="11">
        <v>1.0509169250170773</v>
      </c>
      <c r="L1014" s="9">
        <v>36710</v>
      </c>
      <c r="M1014" s="14">
        <f t="shared" si="48"/>
        <v>-6.0063049610088459E-3</v>
      </c>
      <c r="N1014" s="14">
        <f t="shared" si="49"/>
        <v>1.0119620514230654E-2</v>
      </c>
      <c r="O1014" s="14">
        <f t="shared" si="50"/>
        <v>7.356418475119364E-3</v>
      </c>
      <c r="P1014" s="14">
        <f t="array" ref="P1014">MMULT(M1014:O1014,$I$9:$I$11)</f>
        <v>8.1023672284938949E-3</v>
      </c>
    </row>
    <row r="1015" spans="2:16" x14ac:dyDescent="0.25">
      <c r="B1015" s="9">
        <v>36711</v>
      </c>
      <c r="C1015" s="10">
        <v>5.9908000000000003E-2</v>
      </c>
      <c r="D1015" s="11">
        <v>1469.54</v>
      </c>
      <c r="E1015" s="11">
        <v>1.0527978101805548</v>
      </c>
      <c r="L1015" s="9">
        <v>36711</v>
      </c>
      <c r="M1015" s="14">
        <f t="shared" si="48"/>
        <v>0</v>
      </c>
      <c r="N1015" s="14">
        <f t="shared" si="49"/>
        <v>1.4972912639854563E-4</v>
      </c>
      <c r="O1015" s="14">
        <f t="shared" si="50"/>
        <v>1.7897562773070419E-3</v>
      </c>
      <c r="P1015" s="14">
        <f t="array" ref="P1015">MMULT(M1015:O1015,$I$9:$I$11)</f>
        <v>1.347017674988247E-3</v>
      </c>
    </row>
    <row r="1016" spans="2:16" x14ac:dyDescent="0.25">
      <c r="B1016" s="9">
        <v>36712</v>
      </c>
      <c r="C1016" s="10">
        <v>5.9844000000000001E-2</v>
      </c>
      <c r="D1016" s="11">
        <v>1445.38</v>
      </c>
      <c r="E1016" s="11">
        <v>1.0454783063251438</v>
      </c>
      <c r="L1016" s="9">
        <v>36712</v>
      </c>
      <c r="M1016" s="14">
        <f t="shared" si="48"/>
        <v>-1.0683047339253848E-3</v>
      </c>
      <c r="N1016" s="14">
        <f t="shared" si="49"/>
        <v>-1.6440518801801862E-2</v>
      </c>
      <c r="O1016" s="14">
        <f t="shared" si="50"/>
        <v>-6.9524307370621985E-3</v>
      </c>
      <c r="P1016" s="14">
        <f t="array" ref="P1016">MMULT(M1016:O1016,$I$9:$I$11)</f>
        <v>-9.5138168983421936E-3</v>
      </c>
    </row>
    <row r="1017" spans="2:16" x14ac:dyDescent="0.25">
      <c r="B1017" s="9">
        <v>36713</v>
      </c>
      <c r="C1017" s="10">
        <v>6.0435999999999997E-2</v>
      </c>
      <c r="D1017" s="11">
        <v>1456.67</v>
      </c>
      <c r="E1017" s="11">
        <v>1.0463534581981793</v>
      </c>
      <c r="L1017" s="9">
        <v>36713</v>
      </c>
      <c r="M1017" s="14">
        <f t="shared" si="48"/>
        <v>9.8923868725351305E-3</v>
      </c>
      <c r="N1017" s="14">
        <f t="shared" si="49"/>
        <v>7.8110946602276687E-3</v>
      </c>
      <c r="O1017" s="14">
        <f t="shared" si="50"/>
        <v>8.3708276655847236E-4</v>
      </c>
      <c r="P1017" s="14">
        <f t="array" ref="P1017">MMULT(M1017:O1017,$I$9:$I$11)</f>
        <v>2.7197737187462669E-3</v>
      </c>
    </row>
    <row r="1018" spans="2:16" x14ac:dyDescent="0.25">
      <c r="B1018" s="9">
        <v>36714</v>
      </c>
      <c r="C1018" s="10">
        <v>6.0148E-2</v>
      </c>
      <c r="D1018" s="11">
        <v>1478.9</v>
      </c>
      <c r="E1018" s="11">
        <v>1.0535187526337968</v>
      </c>
      <c r="L1018" s="9">
        <v>36714</v>
      </c>
      <c r="M1018" s="14">
        <f t="shared" si="48"/>
        <v>-4.7653716328015516E-3</v>
      </c>
      <c r="N1018" s="14">
        <f t="shared" si="49"/>
        <v>1.5260834643398891E-2</v>
      </c>
      <c r="O1018" s="14">
        <f t="shared" si="50"/>
        <v>6.8478718921196613E-3</v>
      </c>
      <c r="P1018" s="14">
        <f t="array" ref="P1018">MMULT(M1018:O1018,$I$9:$I$11)</f>
        <v>9.119019273916432E-3</v>
      </c>
    </row>
    <row r="1019" spans="2:16" x14ac:dyDescent="0.25">
      <c r="B1019" s="9">
        <v>36717</v>
      </c>
      <c r="C1019" s="10">
        <v>6.0294999999999994E-2</v>
      </c>
      <c r="D1019" s="11">
        <v>1475.62</v>
      </c>
      <c r="E1019" s="11">
        <v>1.0496483677967881</v>
      </c>
      <c r="L1019" s="9">
        <v>36717</v>
      </c>
      <c r="M1019" s="14">
        <f t="shared" si="48"/>
        <v>2.4439715368755888E-3</v>
      </c>
      <c r="N1019" s="14">
        <f t="shared" si="49"/>
        <v>-2.2178646291163284E-3</v>
      </c>
      <c r="O1019" s="14">
        <f t="shared" si="50"/>
        <v>-3.6737692872886862E-3</v>
      </c>
      <c r="P1019" s="14">
        <f t="array" ref="P1019">MMULT(M1019:O1019,$I$9:$I$11)</f>
        <v>-3.2807360420088237E-3</v>
      </c>
    </row>
    <row r="1020" spans="2:16" x14ac:dyDescent="0.25">
      <c r="B1020" s="9">
        <v>36718</v>
      </c>
      <c r="C1020" s="10">
        <v>6.0560000000000003E-2</v>
      </c>
      <c r="D1020" s="11">
        <v>1480.88</v>
      </c>
      <c r="E1020" s="11">
        <v>1.05157999894842</v>
      </c>
      <c r="L1020" s="9">
        <v>36718</v>
      </c>
      <c r="M1020" s="14">
        <f t="shared" si="48"/>
        <v>4.3950576333031677E-3</v>
      </c>
      <c r="N1020" s="14">
        <f t="shared" si="49"/>
        <v>3.5646033531668841E-3</v>
      </c>
      <c r="O1020" s="14">
        <f t="shared" si="50"/>
        <v>1.8402649981597019E-3</v>
      </c>
      <c r="P1020" s="14">
        <f t="array" ref="P1020">MMULT(M1020:O1020,$I$9:$I$11)</f>
        <v>2.3057640923653472E-3</v>
      </c>
    </row>
    <row r="1021" spans="2:16" x14ac:dyDescent="0.25">
      <c r="B1021" s="9">
        <v>36719</v>
      </c>
      <c r="C1021" s="10">
        <v>6.0846999999999998E-2</v>
      </c>
      <c r="D1021" s="11">
        <v>1492.92</v>
      </c>
      <c r="E1021" s="11">
        <v>1.058929422354</v>
      </c>
      <c r="L1021" s="9">
        <v>36719</v>
      </c>
      <c r="M1021" s="14">
        <f t="shared" si="48"/>
        <v>4.739101717305072E-3</v>
      </c>
      <c r="N1021" s="14">
        <f t="shared" si="49"/>
        <v>8.1303009021662653E-3</v>
      </c>
      <c r="O1021" s="14">
        <f t="shared" si="50"/>
        <v>6.988934187536211E-3</v>
      </c>
      <c r="P1021" s="14">
        <f t="array" ref="P1021">MMULT(M1021:O1021,$I$9:$I$11)</f>
        <v>7.2970553693645591E-3</v>
      </c>
    </row>
    <row r="1022" spans="2:16" x14ac:dyDescent="0.25">
      <c r="B1022" s="9">
        <v>36720</v>
      </c>
      <c r="C1022" s="10">
        <v>6.0038000000000001E-2</v>
      </c>
      <c r="D1022" s="11">
        <v>1495.84</v>
      </c>
      <c r="E1022" s="11">
        <v>1.0693471635566487</v>
      </c>
      <c r="L1022" s="9">
        <v>36720</v>
      </c>
      <c r="M1022" s="14">
        <f t="shared" si="48"/>
        <v>-1.32956431705753E-2</v>
      </c>
      <c r="N1022" s="14">
        <f t="shared" si="49"/>
        <v>1.9558985076224555E-3</v>
      </c>
      <c r="O1022" s="14">
        <f t="shared" si="50"/>
        <v>9.8379939047212872E-3</v>
      </c>
      <c r="P1022" s="14">
        <f t="array" ref="P1022">MMULT(M1022:O1022,$I$9:$I$11)</f>
        <v>7.7101584615569384E-3</v>
      </c>
    </row>
    <row r="1023" spans="2:16" x14ac:dyDescent="0.25">
      <c r="B1023" s="9">
        <v>36721</v>
      </c>
      <c r="C1023" s="10">
        <v>6.1005000000000004E-2</v>
      </c>
      <c r="D1023" s="11">
        <v>1509.98</v>
      </c>
      <c r="E1023" s="11">
        <v>1.0670081092616304</v>
      </c>
      <c r="L1023" s="9">
        <v>36721</v>
      </c>
      <c r="M1023" s="14">
        <f t="shared" si="48"/>
        <v>1.6106465904926814E-2</v>
      </c>
      <c r="N1023" s="14">
        <f t="shared" si="49"/>
        <v>9.4528826612472194E-3</v>
      </c>
      <c r="O1023" s="14">
        <f t="shared" si="50"/>
        <v>-2.187366623986442E-3</v>
      </c>
      <c r="P1023" s="14">
        <f t="array" ref="P1023">MMULT(M1023:O1023,$I$9:$I$11)</f>
        <v>9.5501287645771986E-4</v>
      </c>
    </row>
    <row r="1024" spans="2:16" x14ac:dyDescent="0.25">
      <c r="B1024" s="9">
        <v>36724</v>
      </c>
      <c r="C1024" s="10">
        <v>6.1519999999999998E-2</v>
      </c>
      <c r="D1024" s="11">
        <v>1510.49</v>
      </c>
      <c r="E1024" s="11">
        <v>1.069747539580659</v>
      </c>
      <c r="L1024" s="9">
        <v>36724</v>
      </c>
      <c r="M1024" s="14">
        <f t="shared" si="48"/>
        <v>8.4419309892631578E-3</v>
      </c>
      <c r="N1024" s="14">
        <f t="shared" si="49"/>
        <v>3.3775281791803557E-4</v>
      </c>
      <c r="O1024" s="14">
        <f t="shared" si="50"/>
        <v>2.5673940949937357E-3</v>
      </c>
      <c r="P1024" s="14">
        <f t="array" ref="P1024">MMULT(M1024:O1024,$I$9:$I$11)</f>
        <v>1.9654843875002007E-3</v>
      </c>
    </row>
    <row r="1025" spans="2:16" x14ac:dyDescent="0.25">
      <c r="B1025" s="9">
        <v>36725</v>
      </c>
      <c r="C1025" s="10">
        <v>6.1455000000000003E-2</v>
      </c>
      <c r="D1025" s="11">
        <v>1493.74</v>
      </c>
      <c r="E1025" s="11">
        <v>1.0726736390453204</v>
      </c>
      <c r="L1025" s="9">
        <v>36725</v>
      </c>
      <c r="M1025" s="14">
        <f t="shared" si="48"/>
        <v>-1.056566970090933E-3</v>
      </c>
      <c r="N1025" s="14">
        <f t="shared" si="49"/>
        <v>-1.1089116776675123E-2</v>
      </c>
      <c r="O1025" s="14">
        <f t="shared" si="50"/>
        <v>2.7353177795654826E-3</v>
      </c>
      <c r="P1025" s="14">
        <f t="array" ref="P1025">MMULT(M1025:O1025,$I$9:$I$11)</f>
        <v>-9.9670021165319421E-4</v>
      </c>
    </row>
    <row r="1026" spans="2:16" x14ac:dyDescent="0.25">
      <c r="B1026" s="9">
        <v>36726</v>
      </c>
      <c r="C1026" s="10">
        <v>6.1647999999999994E-2</v>
      </c>
      <c r="D1026" s="11">
        <v>1481.96</v>
      </c>
      <c r="E1026" s="11">
        <v>1.0819583446037326</v>
      </c>
      <c r="L1026" s="9">
        <v>36726</v>
      </c>
      <c r="M1026" s="14">
        <f t="shared" si="48"/>
        <v>3.1405093157592656E-3</v>
      </c>
      <c r="N1026" s="14">
        <f t="shared" si="49"/>
        <v>-7.8862452635666269E-3</v>
      </c>
      <c r="O1026" s="14">
        <f t="shared" si="50"/>
        <v>8.6556667568298273E-3</v>
      </c>
      <c r="P1026" s="14">
        <f t="array" ref="P1026">MMULT(M1026:O1026,$I$9:$I$11)</f>
        <v>4.1900437313001603E-3</v>
      </c>
    </row>
    <row r="1027" spans="2:16" x14ac:dyDescent="0.25">
      <c r="B1027" s="9">
        <v>36727</v>
      </c>
      <c r="C1027" s="10">
        <v>6.0128000000000001E-2</v>
      </c>
      <c r="D1027" s="11">
        <v>1495.57</v>
      </c>
      <c r="E1027" s="11">
        <v>1.0817242684839634</v>
      </c>
      <c r="L1027" s="9">
        <v>36727</v>
      </c>
      <c r="M1027" s="14">
        <f t="shared" si="48"/>
        <v>-2.4656112120425511E-2</v>
      </c>
      <c r="N1027" s="14">
        <f t="shared" si="49"/>
        <v>9.183783637884968E-3</v>
      </c>
      <c r="O1027" s="14">
        <f t="shared" si="50"/>
        <v>-2.1634485369670386E-4</v>
      </c>
      <c r="P1027" s="14">
        <f t="array" ref="P1027">MMULT(M1027:O1027,$I$9:$I$11)</f>
        <v>2.3212959089422038E-3</v>
      </c>
    </row>
    <row r="1028" spans="2:16" x14ac:dyDescent="0.25">
      <c r="B1028" s="9">
        <v>36728</v>
      </c>
      <c r="C1028" s="10">
        <v>5.9977000000000003E-2</v>
      </c>
      <c r="D1028" s="11">
        <v>1480.19</v>
      </c>
      <c r="E1028" s="11">
        <v>1.0724435626575151</v>
      </c>
      <c r="L1028" s="9">
        <v>36728</v>
      </c>
      <c r="M1028" s="14">
        <f t="shared" si="48"/>
        <v>-2.5113092070250254E-3</v>
      </c>
      <c r="N1028" s="14">
        <f t="shared" si="49"/>
        <v>-1.0283704540743566E-2</v>
      </c>
      <c r="O1028" s="14">
        <f t="shared" si="50"/>
        <v>-8.5795485012601924E-3</v>
      </c>
      <c r="P1028" s="14">
        <f t="array" ref="P1028">MMULT(M1028:O1028,$I$9:$I$11)</f>
        <v>-9.0395992160523519E-3</v>
      </c>
    </row>
    <row r="1029" spans="2:16" x14ac:dyDescent="0.25">
      <c r="B1029" s="9">
        <v>36731</v>
      </c>
      <c r="C1029" s="10">
        <v>6.0305999999999998E-2</v>
      </c>
      <c r="D1029" s="11">
        <v>1464.29</v>
      </c>
      <c r="E1029" s="11">
        <v>1.0717539252987514</v>
      </c>
      <c r="L1029" s="9">
        <v>36731</v>
      </c>
      <c r="M1029" s="14">
        <f t="shared" si="48"/>
        <v>5.4854360838321181E-3</v>
      </c>
      <c r="N1029" s="14">
        <f t="shared" si="49"/>
        <v>-1.0741864220134012E-2</v>
      </c>
      <c r="O1029" s="14">
        <f t="shared" si="50"/>
        <v>-6.4305235517925219E-4</v>
      </c>
      <c r="P1029" s="14">
        <f t="array" ref="P1029">MMULT(M1029:O1029,$I$9:$I$11)</f>
        <v>-3.3693083489862692E-3</v>
      </c>
    </row>
    <row r="1030" spans="2:16" x14ac:dyDescent="0.25">
      <c r="B1030" s="9">
        <v>36732</v>
      </c>
      <c r="C1030" s="10">
        <v>6.0290999999999997E-2</v>
      </c>
      <c r="D1030" s="11">
        <v>1474.47</v>
      </c>
      <c r="E1030" s="11">
        <v>1.0624169986719787</v>
      </c>
      <c r="L1030" s="9">
        <v>36732</v>
      </c>
      <c r="M1030" s="14">
        <f t="shared" si="48"/>
        <v>-2.4873146950554759E-4</v>
      </c>
      <c r="N1030" s="14">
        <f t="shared" si="49"/>
        <v>6.952174774122577E-3</v>
      </c>
      <c r="O1030" s="14">
        <f t="shared" si="50"/>
        <v>-8.7118193891102536E-3</v>
      </c>
      <c r="P1030" s="14">
        <f t="array" ref="P1030">MMULT(M1030:O1030,$I$9:$I$11)</f>
        <v>-4.4831973942135363E-3</v>
      </c>
    </row>
    <row r="1031" spans="2:16" x14ac:dyDescent="0.25">
      <c r="B1031" s="9">
        <v>36733</v>
      </c>
      <c r="C1031" s="10">
        <v>6.0284000000000004E-2</v>
      </c>
      <c r="D1031" s="11">
        <v>1452.42</v>
      </c>
      <c r="E1031" s="11">
        <v>1.0612894667020429</v>
      </c>
      <c r="L1031" s="9">
        <v>36733</v>
      </c>
      <c r="M1031" s="14">
        <f t="shared" si="48"/>
        <v>-1.1610356437929958E-4</v>
      </c>
      <c r="N1031" s="14">
        <f t="shared" si="49"/>
        <v>-1.4954526033083004E-2</v>
      </c>
      <c r="O1031" s="14">
        <f t="shared" si="50"/>
        <v>-1.0612894667020312E-3</v>
      </c>
      <c r="P1031" s="14">
        <f t="array" ref="P1031">MMULT(M1031:O1031,$I$9:$I$11)</f>
        <v>-4.8118811173807939E-3</v>
      </c>
    </row>
    <row r="1032" spans="2:16" x14ac:dyDescent="0.25">
      <c r="B1032" s="9">
        <v>36734</v>
      </c>
      <c r="C1032" s="10">
        <v>6.0038000000000001E-2</v>
      </c>
      <c r="D1032" s="11">
        <v>1449.62</v>
      </c>
      <c r="E1032" s="11">
        <v>1.0647359454855196</v>
      </c>
      <c r="L1032" s="9">
        <v>36734</v>
      </c>
      <c r="M1032" s="14">
        <f t="shared" si="48"/>
        <v>-4.0806847588084061E-3</v>
      </c>
      <c r="N1032" s="14">
        <f t="shared" si="49"/>
        <v>-1.9278170226244562E-3</v>
      </c>
      <c r="O1032" s="14">
        <f t="shared" si="50"/>
        <v>3.2474446337309448E-3</v>
      </c>
      <c r="P1032" s="14">
        <f t="array" ref="P1032">MMULT(M1032:O1032,$I$9:$I$11)</f>
        <v>1.8503408656015095E-3</v>
      </c>
    </row>
    <row r="1033" spans="2:16" x14ac:dyDescent="0.25">
      <c r="B1033" s="9">
        <v>36735</v>
      </c>
      <c r="C1033" s="10">
        <v>6.0355999999999993E-2</v>
      </c>
      <c r="D1033" s="11">
        <v>1419.89</v>
      </c>
      <c r="E1033" s="11">
        <v>1.0786322942508899</v>
      </c>
      <c r="L1033" s="9">
        <v>36735</v>
      </c>
      <c r="M1033" s="14">
        <f t="shared" ref="M1033:M1096" si="51">C1033/C1032-1</f>
        <v>5.2966454578764477E-3</v>
      </c>
      <c r="N1033" s="14">
        <f t="shared" ref="N1033:N1096" si="52">D1033/D1032-1</f>
        <v>-2.0508823001890053E-2</v>
      </c>
      <c r="O1033" s="14">
        <f t="shared" ref="O1033:O1096" si="53">E1033/E1032-1</f>
        <v>1.305145076043579E-2</v>
      </c>
      <c r="P1033" s="14">
        <f t="array" ref="P1033">MMULT(M1033:O1033,$I$9:$I$11)</f>
        <v>3.9915832510854649E-3</v>
      </c>
    </row>
    <row r="1034" spans="2:16" x14ac:dyDescent="0.25">
      <c r="B1034" s="9">
        <v>36738</v>
      </c>
      <c r="C1034" s="10">
        <v>6.0397999999999993E-2</v>
      </c>
      <c r="D1034" s="11">
        <v>1430.83</v>
      </c>
      <c r="E1034" s="11">
        <v>1.0792143319663285</v>
      </c>
      <c r="L1034" s="9">
        <v>36738</v>
      </c>
      <c r="M1034" s="14">
        <f t="shared" si="51"/>
        <v>6.958711644244886E-4</v>
      </c>
      <c r="N1034" s="14">
        <f t="shared" si="52"/>
        <v>7.704822204536832E-3</v>
      </c>
      <c r="O1034" s="14">
        <f t="shared" si="53"/>
        <v>5.3960716598311365E-4</v>
      </c>
      <c r="P1034" s="14">
        <f t="array" ref="P1034">MMULT(M1034:O1034,$I$9:$I$11)</f>
        <v>2.4739149545618408E-3</v>
      </c>
    </row>
    <row r="1035" spans="2:16" x14ac:dyDescent="0.25">
      <c r="B1035" s="9">
        <v>36739</v>
      </c>
      <c r="C1035" s="10">
        <v>5.9907000000000002E-2</v>
      </c>
      <c r="D1035" s="11">
        <v>1438.1</v>
      </c>
      <c r="E1035" s="11">
        <v>1.0804386580951866</v>
      </c>
      <c r="L1035" s="9">
        <v>36739</v>
      </c>
      <c r="M1035" s="14">
        <f t="shared" si="51"/>
        <v>-8.1294082585514627E-3</v>
      </c>
      <c r="N1035" s="14">
        <f t="shared" si="52"/>
        <v>5.0809669911868749E-3</v>
      </c>
      <c r="O1035" s="14">
        <f t="shared" si="53"/>
        <v>1.1344605909997529E-3</v>
      </c>
      <c r="P1035" s="14">
        <f t="array" ref="P1035">MMULT(M1035:O1035,$I$9:$I$11)</f>
        <v>2.1998519332669347E-3</v>
      </c>
    </row>
    <row r="1036" spans="2:16" x14ac:dyDescent="0.25">
      <c r="B1036" s="9">
        <v>36740</v>
      </c>
      <c r="C1036" s="10">
        <v>5.9778000000000005E-2</v>
      </c>
      <c r="D1036" s="11">
        <v>1438.7</v>
      </c>
      <c r="E1036" s="11">
        <v>1.0942714887563605</v>
      </c>
      <c r="L1036" s="9">
        <v>36740</v>
      </c>
      <c r="M1036" s="14">
        <f t="shared" si="51"/>
        <v>-2.1533376733937626E-3</v>
      </c>
      <c r="N1036" s="14">
        <f t="shared" si="52"/>
        <v>4.1721716153264587E-4</v>
      </c>
      <c r="O1036" s="14">
        <f t="shared" si="53"/>
        <v>1.2802976418449408E-2</v>
      </c>
      <c r="P1036" s="14">
        <f t="array" ref="P1036">MMULT(M1036:O1036,$I$9:$I$11)</f>
        <v>9.4593404676502259E-3</v>
      </c>
    </row>
    <row r="1037" spans="2:16" x14ac:dyDescent="0.25">
      <c r="B1037" s="9">
        <v>36741</v>
      </c>
      <c r="C1037" s="10">
        <v>5.9565E-2</v>
      </c>
      <c r="D1037" s="11">
        <v>1452.56</v>
      </c>
      <c r="E1037" s="11">
        <v>1.105766572676508</v>
      </c>
      <c r="L1037" s="9">
        <v>36741</v>
      </c>
      <c r="M1037" s="14">
        <f t="shared" si="51"/>
        <v>-3.56318377998599E-3</v>
      </c>
      <c r="N1037" s="14">
        <f t="shared" si="52"/>
        <v>9.6336970876484962E-3</v>
      </c>
      <c r="O1037" s="14">
        <f t="shared" si="53"/>
        <v>1.0504782440426741E-2</v>
      </c>
      <c r="P1037" s="14">
        <f t="array" ref="P1037">MMULT(M1037:O1037,$I$9:$I$11)</f>
        <v>1.0269625899648879E-2</v>
      </c>
    </row>
    <row r="1038" spans="2:16" x14ac:dyDescent="0.25">
      <c r="B1038" s="9">
        <v>36742</v>
      </c>
      <c r="C1038" s="10">
        <v>5.9054999999999996E-2</v>
      </c>
      <c r="D1038" s="11">
        <v>1462.93</v>
      </c>
      <c r="E1038" s="11">
        <v>1.100594320933304</v>
      </c>
      <c r="L1038" s="9">
        <v>36742</v>
      </c>
      <c r="M1038" s="14">
        <f t="shared" si="51"/>
        <v>-8.5620750440695836E-3</v>
      </c>
      <c r="N1038" s="14">
        <f t="shared" si="52"/>
        <v>7.1391198986616722E-3</v>
      </c>
      <c r="O1038" s="14">
        <f t="shared" si="53"/>
        <v>-4.6775258639665251E-3</v>
      </c>
      <c r="P1038" s="14">
        <f t="array" ref="P1038">MMULT(M1038:O1038,$I$9:$I$11)</f>
        <v>-1.4875267068524395E-3</v>
      </c>
    </row>
    <row r="1039" spans="2:16" x14ac:dyDescent="0.25">
      <c r="B1039" s="9">
        <v>36745</v>
      </c>
      <c r="C1039" s="10">
        <v>5.9625999999999998E-2</v>
      </c>
      <c r="D1039" s="11">
        <v>1479.32</v>
      </c>
      <c r="E1039" s="11">
        <v>1.1008972312434635</v>
      </c>
      <c r="L1039" s="9">
        <v>36745</v>
      </c>
      <c r="M1039" s="14">
        <f t="shared" si="51"/>
        <v>9.6689526712387952E-3</v>
      </c>
      <c r="N1039" s="14">
        <f t="shared" si="52"/>
        <v>1.1203543573513386E-2</v>
      </c>
      <c r="O1039" s="14">
        <f t="shared" si="53"/>
        <v>2.7522430781101725E-4</v>
      </c>
      <c r="P1039" s="14">
        <f t="array" ref="P1039">MMULT(M1039:O1039,$I$9:$I$11)</f>
        <v>3.2254125377500099E-3</v>
      </c>
    </row>
    <row r="1040" spans="2:16" x14ac:dyDescent="0.25">
      <c r="B1040" s="9">
        <v>36746</v>
      </c>
      <c r="C1040" s="10">
        <v>5.9222000000000004E-2</v>
      </c>
      <c r="D1040" s="11">
        <v>1482.8</v>
      </c>
      <c r="E1040" s="11">
        <v>1.1114198388441232</v>
      </c>
      <c r="L1040" s="9">
        <v>36746</v>
      </c>
      <c r="M1040" s="14">
        <f t="shared" si="51"/>
        <v>-6.7755677053633612E-3</v>
      </c>
      <c r="N1040" s="14">
        <f t="shared" si="52"/>
        <v>2.3524321985777252E-3</v>
      </c>
      <c r="O1040" s="14">
        <f t="shared" si="53"/>
        <v>9.5582106140592593E-3</v>
      </c>
      <c r="P1040" s="14">
        <f t="array" ref="P1040">MMULT(M1040:O1040,$I$9:$I$11)</f>
        <v>7.6129524135947271E-3</v>
      </c>
    </row>
    <row r="1041" spans="2:16" x14ac:dyDescent="0.25">
      <c r="B1041" s="9">
        <v>36747</v>
      </c>
      <c r="C1041" s="10">
        <v>5.9179000000000002E-2</v>
      </c>
      <c r="D1041" s="11">
        <v>1472.87</v>
      </c>
      <c r="E1041" s="11">
        <v>1.1140199409569431</v>
      </c>
      <c r="L1041" s="9">
        <v>36747</v>
      </c>
      <c r="M1041" s="14">
        <f t="shared" si="51"/>
        <v>-7.2608152375808199E-4</v>
      </c>
      <c r="N1041" s="14">
        <f t="shared" si="52"/>
        <v>-6.6967898570272633E-3</v>
      </c>
      <c r="O1041" s="14">
        <f t="shared" si="53"/>
        <v>2.3394418760096514E-3</v>
      </c>
      <c r="P1041" s="14">
        <f t="array" ref="P1041">MMULT(M1041:O1041,$I$9:$I$11)</f>
        <v>-9.9962011601182569E-5</v>
      </c>
    </row>
    <row r="1042" spans="2:16" x14ac:dyDescent="0.25">
      <c r="B1042" s="9">
        <v>36748</v>
      </c>
      <c r="C1042" s="10">
        <v>5.7666000000000002E-2</v>
      </c>
      <c r="D1042" s="11">
        <v>1460.25</v>
      </c>
      <c r="E1042" s="11">
        <v>1.100291577267976</v>
      </c>
      <c r="L1042" s="9">
        <v>36748</v>
      </c>
      <c r="M1042" s="14">
        <f t="shared" si="51"/>
        <v>-2.5566501630645999E-2</v>
      </c>
      <c r="N1042" s="14">
        <f t="shared" si="52"/>
        <v>-8.568305417314459E-3</v>
      </c>
      <c r="O1042" s="14">
        <f t="shared" si="53"/>
        <v>-1.2323265665401317E-2</v>
      </c>
      <c r="P1042" s="14">
        <f t="array" ref="P1042">MMULT(M1042:O1042,$I$9:$I$11)</f>
        <v>-1.1309583757098954E-2</v>
      </c>
    </row>
    <row r="1043" spans="2:16" x14ac:dyDescent="0.25">
      <c r="B1043" s="9">
        <v>36749</v>
      </c>
      <c r="C1043" s="10">
        <v>5.7906000000000006E-2</v>
      </c>
      <c r="D1043" s="11">
        <v>1471.84</v>
      </c>
      <c r="E1043" s="11">
        <v>1.1052166224580018</v>
      </c>
      <c r="L1043" s="9">
        <v>36749</v>
      </c>
      <c r="M1043" s="14">
        <f t="shared" si="51"/>
        <v>4.1618978254085448E-3</v>
      </c>
      <c r="N1043" s="14">
        <f t="shared" si="52"/>
        <v>7.9369970895393216E-3</v>
      </c>
      <c r="O1043" s="14">
        <f t="shared" si="53"/>
        <v>4.4761273209550367E-3</v>
      </c>
      <c r="P1043" s="14">
        <f t="array" ref="P1043">MMULT(M1043:O1043,$I$9:$I$11)</f>
        <v>5.4104171242071227E-3</v>
      </c>
    </row>
    <row r="1044" spans="2:16" x14ac:dyDescent="0.25">
      <c r="B1044" s="9">
        <v>36752</v>
      </c>
      <c r="C1044" s="10">
        <v>5.7729000000000003E-2</v>
      </c>
      <c r="D1044" s="11">
        <v>1491.56</v>
      </c>
      <c r="E1044" s="11">
        <v>1.106133510314695</v>
      </c>
      <c r="L1044" s="9">
        <v>36752</v>
      </c>
      <c r="M1044" s="14">
        <f t="shared" si="51"/>
        <v>-3.0566780644493141E-3</v>
      </c>
      <c r="N1044" s="14">
        <f t="shared" si="52"/>
        <v>1.3398195456027828E-2</v>
      </c>
      <c r="O1044" s="14">
        <f t="shared" si="53"/>
        <v>8.2960013273591926E-4</v>
      </c>
      <c r="P1044" s="14">
        <f t="array" ref="P1044">MMULT(M1044:O1044,$I$9:$I$11)</f>
        <v>4.2225941593666853E-3</v>
      </c>
    </row>
    <row r="1045" spans="2:16" x14ac:dyDescent="0.25">
      <c r="B1045" s="9">
        <v>36753</v>
      </c>
      <c r="C1045" s="10">
        <v>5.8019999999999995E-2</v>
      </c>
      <c r="D1045" s="11">
        <v>1484.43</v>
      </c>
      <c r="E1045" s="11">
        <v>1.0950503723171265</v>
      </c>
      <c r="L1045" s="9">
        <v>36753</v>
      </c>
      <c r="M1045" s="14">
        <f t="shared" si="51"/>
        <v>5.0407940549808128E-3</v>
      </c>
      <c r="N1045" s="14">
        <f t="shared" si="52"/>
        <v>-4.7802300946658827E-3</v>
      </c>
      <c r="O1045" s="14">
        <f t="shared" si="53"/>
        <v>-1.0019710906701729E-2</v>
      </c>
      <c r="P1045" s="14">
        <f t="array" ref="P1045">MMULT(M1045:O1045,$I$9:$I$11)</f>
        <v>-8.6052706577632396E-3</v>
      </c>
    </row>
    <row r="1046" spans="2:16" x14ac:dyDescent="0.25">
      <c r="B1046" s="9">
        <v>36754</v>
      </c>
      <c r="C1046" s="10">
        <v>5.8375000000000003E-2</v>
      </c>
      <c r="D1046" s="11">
        <v>1479.85</v>
      </c>
      <c r="E1046" s="11">
        <v>1.0968520346605244</v>
      </c>
      <c r="L1046" s="9">
        <v>36754</v>
      </c>
      <c r="M1046" s="14">
        <f t="shared" si="51"/>
        <v>6.1185798000691349E-3</v>
      </c>
      <c r="N1046" s="14">
        <f t="shared" si="52"/>
        <v>-3.0853593635268295E-3</v>
      </c>
      <c r="O1046" s="14">
        <f t="shared" si="53"/>
        <v>1.6452780519908838E-3</v>
      </c>
      <c r="P1046" s="14">
        <f t="array" ref="P1046">MMULT(M1046:O1046,$I$9:$I$11)</f>
        <v>3.6820419607143048E-4</v>
      </c>
    </row>
    <row r="1047" spans="2:16" x14ac:dyDescent="0.25">
      <c r="B1047" s="9">
        <v>36755</v>
      </c>
      <c r="C1047" s="10">
        <v>5.8102999999999995E-2</v>
      </c>
      <c r="D1047" s="11">
        <v>1496.07</v>
      </c>
      <c r="E1047" s="11">
        <v>1.0933741526350318</v>
      </c>
      <c r="L1047" s="9">
        <v>36755</v>
      </c>
      <c r="M1047" s="14">
        <f t="shared" si="51"/>
        <v>-4.6595289079230939E-3</v>
      </c>
      <c r="N1047" s="14">
        <f t="shared" si="52"/>
        <v>1.0960570328073738E-2</v>
      </c>
      <c r="O1047" s="14">
        <f t="shared" si="53"/>
        <v>-3.1707850426415662E-3</v>
      </c>
      <c r="P1047" s="14">
        <f t="array" ref="P1047">MMULT(M1047:O1047,$I$9:$I$11)</f>
        <v>6.4408870639051001E-4</v>
      </c>
    </row>
    <row r="1048" spans="2:16" x14ac:dyDescent="0.25">
      <c r="B1048" s="9">
        <v>36756</v>
      </c>
      <c r="C1048" s="10">
        <v>5.7769000000000001E-2</v>
      </c>
      <c r="D1048" s="11">
        <v>1491.72</v>
      </c>
      <c r="E1048" s="11">
        <v>1.1003521126760563</v>
      </c>
      <c r="L1048" s="9">
        <v>36756</v>
      </c>
      <c r="M1048" s="14">
        <f t="shared" si="51"/>
        <v>-5.7484123022906175E-3</v>
      </c>
      <c r="N1048" s="14">
        <f t="shared" si="52"/>
        <v>-2.9076179590526996E-3</v>
      </c>
      <c r="O1048" s="14">
        <f t="shared" si="53"/>
        <v>6.3820422535210142E-3</v>
      </c>
      <c r="P1048" s="14">
        <f t="array" ref="P1048">MMULT(M1048:O1048,$I$9:$I$11)</f>
        <v>3.8742232968329736E-3</v>
      </c>
    </row>
    <row r="1049" spans="2:16" x14ac:dyDescent="0.25">
      <c r="B1049" s="9">
        <v>36759</v>
      </c>
      <c r="C1049" s="10">
        <v>5.7859000000000001E-2</v>
      </c>
      <c r="D1049" s="11">
        <v>1499.48</v>
      </c>
      <c r="E1049" s="11">
        <v>1.1065006915629321</v>
      </c>
      <c r="L1049" s="9">
        <v>36759</v>
      </c>
      <c r="M1049" s="14">
        <f t="shared" si="51"/>
        <v>1.5579289930585105E-3</v>
      </c>
      <c r="N1049" s="14">
        <f t="shared" si="52"/>
        <v>5.2020486418362655E-3</v>
      </c>
      <c r="O1049" s="14">
        <f t="shared" si="53"/>
        <v>5.5878284923926991E-3</v>
      </c>
      <c r="P1049" s="14">
        <f t="array" ref="P1049">MMULT(M1049:O1049,$I$9:$I$11)</f>
        <v>5.4836840995736574E-3</v>
      </c>
    </row>
    <row r="1050" spans="2:16" x14ac:dyDescent="0.25">
      <c r="B1050" s="9">
        <v>36760</v>
      </c>
      <c r="C1050" s="10">
        <v>5.7789E-2</v>
      </c>
      <c r="D1050" s="11">
        <v>1498.13</v>
      </c>
      <c r="E1050" s="11">
        <v>1.1133997661860491</v>
      </c>
      <c r="L1050" s="9">
        <v>36760</v>
      </c>
      <c r="M1050" s="14">
        <f t="shared" si="51"/>
        <v>-1.2098377089130308E-3</v>
      </c>
      <c r="N1050" s="14">
        <f t="shared" si="52"/>
        <v>-9.003121081974097E-4</v>
      </c>
      <c r="O1050" s="14">
        <f t="shared" si="53"/>
        <v>6.2350386906420141E-3</v>
      </c>
      <c r="P1050" s="14">
        <f t="array" ref="P1050">MMULT(M1050:O1050,$I$9:$I$11)</f>
        <v>4.3087929952689364E-3</v>
      </c>
    </row>
    <row r="1051" spans="2:16" x14ac:dyDescent="0.25">
      <c r="B1051" s="9">
        <v>36761</v>
      </c>
      <c r="C1051" s="10">
        <v>5.7268999999999994E-2</v>
      </c>
      <c r="D1051" s="11">
        <v>1505.97</v>
      </c>
      <c r="E1051" s="11">
        <v>1.1186933661483387</v>
      </c>
      <c r="L1051" s="9">
        <v>36761</v>
      </c>
      <c r="M1051" s="14">
        <f t="shared" si="51"/>
        <v>-8.9982522625414729E-3</v>
      </c>
      <c r="N1051" s="14">
        <f t="shared" si="52"/>
        <v>5.2331907110865217E-3</v>
      </c>
      <c r="O1051" s="14">
        <f t="shared" si="53"/>
        <v>4.7544468061304634E-3</v>
      </c>
      <c r="P1051" s="14">
        <f t="array" ref="P1051">MMULT(M1051:O1051,$I$9:$I$11)</f>
        <v>4.8836875978036211E-3</v>
      </c>
    </row>
    <row r="1052" spans="2:16" x14ac:dyDescent="0.25">
      <c r="B1052" s="9">
        <v>36762</v>
      </c>
      <c r="C1052" s="10">
        <v>5.7206E-2</v>
      </c>
      <c r="D1052" s="11">
        <v>1508.31</v>
      </c>
      <c r="E1052" s="11">
        <v>1.1077263915812794</v>
      </c>
      <c r="L1052" s="9">
        <v>36762</v>
      </c>
      <c r="M1052" s="14">
        <f t="shared" si="51"/>
        <v>-1.1000715919606829E-3</v>
      </c>
      <c r="N1052" s="14">
        <f t="shared" si="52"/>
        <v>1.5538158130639079E-3</v>
      </c>
      <c r="O1052" s="14">
        <f t="shared" si="53"/>
        <v>-9.8033785654942918E-3</v>
      </c>
      <c r="P1052" s="14">
        <f t="array" ref="P1052">MMULT(M1052:O1052,$I$9:$I$11)</f>
        <v>-6.7374120279035492E-3</v>
      </c>
    </row>
    <row r="1053" spans="2:16" x14ac:dyDescent="0.25">
      <c r="B1053" s="9">
        <v>36763</v>
      </c>
      <c r="C1053" s="10">
        <v>5.7329999999999999E-2</v>
      </c>
      <c r="D1053" s="11">
        <v>1506.45</v>
      </c>
      <c r="E1053" s="11">
        <v>1.105094485578517</v>
      </c>
      <c r="L1053" s="9">
        <v>36763</v>
      </c>
      <c r="M1053" s="14">
        <f t="shared" si="51"/>
        <v>2.1676047966996403E-3</v>
      </c>
      <c r="N1053" s="14">
        <f t="shared" si="52"/>
        <v>-1.2331682479065353E-3</v>
      </c>
      <c r="O1053" s="14">
        <f t="shared" si="53"/>
        <v>-2.3759531439937476E-3</v>
      </c>
      <c r="P1053" s="14">
        <f t="array" ref="P1053">MMULT(M1053:O1053,$I$9:$I$11)</f>
        <v>-2.0674491126035314E-3</v>
      </c>
    </row>
    <row r="1054" spans="2:16" x14ac:dyDescent="0.25">
      <c r="B1054" s="9">
        <v>36766</v>
      </c>
      <c r="C1054" s="10">
        <v>5.7724999999999999E-2</v>
      </c>
      <c r="D1054" s="11">
        <v>1508.6</v>
      </c>
      <c r="E1054" s="11">
        <v>1.1120996441281139</v>
      </c>
      <c r="L1054" s="9">
        <v>36766</v>
      </c>
      <c r="M1054" s="14">
        <f t="shared" si="51"/>
        <v>6.8899354613640718E-3</v>
      </c>
      <c r="N1054" s="14">
        <f t="shared" si="52"/>
        <v>1.4271963888612405E-3</v>
      </c>
      <c r="O1054" s="14">
        <f t="shared" si="53"/>
        <v>6.3389679715302183E-3</v>
      </c>
      <c r="P1054" s="14">
        <f t="array" ref="P1054">MMULT(M1054:O1054,$I$9:$I$11)</f>
        <v>5.0129954812483364E-3</v>
      </c>
    </row>
    <row r="1055" spans="2:16" x14ac:dyDescent="0.25">
      <c r="B1055" s="9">
        <v>36767</v>
      </c>
      <c r="C1055" s="10">
        <v>5.8143E-2</v>
      </c>
      <c r="D1055" s="11">
        <v>1509.84</v>
      </c>
      <c r="E1055" s="11">
        <v>1.1156356334021309</v>
      </c>
      <c r="L1055" s="9">
        <v>36767</v>
      </c>
      <c r="M1055" s="14">
        <f t="shared" si="51"/>
        <v>7.2412299696837934E-3</v>
      </c>
      <c r="N1055" s="14">
        <f t="shared" si="52"/>
        <v>8.2195412965657688E-4</v>
      </c>
      <c r="O1055" s="14">
        <f t="shared" si="53"/>
        <v>3.1795615551961642E-3</v>
      </c>
      <c r="P1055" s="14">
        <f t="array" ref="P1055">MMULT(M1055:O1055,$I$9:$I$11)</f>
        <v>2.5431063502798358E-3</v>
      </c>
    </row>
    <row r="1056" spans="2:16" x14ac:dyDescent="0.25">
      <c r="B1056" s="9">
        <v>36768</v>
      </c>
      <c r="C1056" s="10">
        <v>5.7955E-2</v>
      </c>
      <c r="D1056" s="11">
        <v>1501.3</v>
      </c>
      <c r="E1056" s="11">
        <v>1.1193194537721065</v>
      </c>
      <c r="L1056" s="9">
        <v>36768</v>
      </c>
      <c r="M1056" s="14">
        <f t="shared" si="51"/>
        <v>-3.2334072889256271E-3</v>
      </c>
      <c r="N1056" s="14">
        <f t="shared" si="52"/>
        <v>-5.6562284745402813E-3</v>
      </c>
      <c r="O1056" s="14">
        <f t="shared" si="53"/>
        <v>3.3019923886277169E-3</v>
      </c>
      <c r="P1056" s="14">
        <f t="array" ref="P1056">MMULT(M1056:O1056,$I$9:$I$11)</f>
        <v>8.8364816668906718E-4</v>
      </c>
    </row>
    <row r="1057" spans="2:16" x14ac:dyDescent="0.25">
      <c r="B1057" s="9">
        <v>36769</v>
      </c>
      <c r="C1057" s="10">
        <v>5.7286999999999998E-2</v>
      </c>
      <c r="D1057" s="11">
        <v>1517.68</v>
      </c>
      <c r="E1057" s="11">
        <v>1.1247961307013103</v>
      </c>
      <c r="L1057" s="9">
        <v>36769</v>
      </c>
      <c r="M1057" s="14">
        <f t="shared" si="51"/>
        <v>-1.1526184108359927E-2</v>
      </c>
      <c r="N1057" s="14">
        <f t="shared" si="52"/>
        <v>1.0910544195031013E-2</v>
      </c>
      <c r="O1057" s="14">
        <f t="shared" si="53"/>
        <v>4.892863168550754E-3</v>
      </c>
      <c r="P1057" s="14">
        <f t="array" ref="P1057">MMULT(M1057:O1057,$I$9:$I$11)</f>
        <v>6.5173848634436284E-3</v>
      </c>
    </row>
    <row r="1058" spans="2:16" x14ac:dyDescent="0.25">
      <c r="B1058" s="9">
        <v>36770</v>
      </c>
      <c r="C1058" s="10">
        <v>5.6849999999999998E-2</v>
      </c>
      <c r="D1058" s="11">
        <v>1520.77</v>
      </c>
      <c r="E1058" s="11">
        <v>1.1111728429357186</v>
      </c>
      <c r="L1058" s="9">
        <v>36770</v>
      </c>
      <c r="M1058" s="14">
        <f t="shared" si="51"/>
        <v>-7.6282577199014989E-3</v>
      </c>
      <c r="N1058" s="14">
        <f t="shared" si="52"/>
        <v>2.036002319329544E-3</v>
      </c>
      <c r="O1058" s="14">
        <f t="shared" si="53"/>
        <v>-1.2111783987999392E-2</v>
      </c>
      <c r="P1058" s="14">
        <f t="array" ref="P1058">MMULT(M1058:O1058,$I$9:$I$11)</f>
        <v>-8.2924745746509789E-3</v>
      </c>
    </row>
    <row r="1059" spans="2:16" x14ac:dyDescent="0.25">
      <c r="B1059" s="9">
        <v>36773</v>
      </c>
      <c r="C1059" s="10">
        <v>5.6849999999999998E-2</v>
      </c>
      <c r="D1059" s="11">
        <v>1520.77</v>
      </c>
      <c r="E1059" s="11">
        <v>1.1114816049794376</v>
      </c>
      <c r="L1059" s="9">
        <v>36773</v>
      </c>
      <c r="M1059" s="14">
        <f t="shared" si="51"/>
        <v>0</v>
      </c>
      <c r="N1059" s="14">
        <f t="shared" si="52"/>
        <v>0</v>
      </c>
      <c r="O1059" s="14">
        <f t="shared" si="53"/>
        <v>2.7787040124493956E-4</v>
      </c>
      <c r="P1059" s="14">
        <f t="array" ref="P1059">MMULT(M1059:O1059,$I$9:$I$11)</f>
        <v>2.0285703759129645E-4</v>
      </c>
    </row>
    <row r="1060" spans="2:16" x14ac:dyDescent="0.25">
      <c r="B1060" s="9">
        <v>36774</v>
      </c>
      <c r="C1060" s="10">
        <v>5.6890999999999997E-2</v>
      </c>
      <c r="D1060" s="11">
        <v>1507.08</v>
      </c>
      <c r="E1060" s="11">
        <v>1.1284771201263895</v>
      </c>
      <c r="L1060" s="9">
        <v>36774</v>
      </c>
      <c r="M1060" s="14">
        <f t="shared" si="51"/>
        <v>7.2119613016718986E-4</v>
      </c>
      <c r="N1060" s="14">
        <f t="shared" si="52"/>
        <v>-9.0020187142040298E-3</v>
      </c>
      <c r="O1060" s="14">
        <f t="shared" si="53"/>
        <v>1.5290864977712593E-2</v>
      </c>
      <c r="P1060" s="14">
        <f t="array" ref="P1060">MMULT(M1060:O1060,$I$9:$I$11)</f>
        <v>8.7328044199381453E-3</v>
      </c>
    </row>
    <row r="1061" spans="2:16" x14ac:dyDescent="0.25">
      <c r="B1061" s="9">
        <v>36775</v>
      </c>
      <c r="C1061" s="10">
        <v>5.7295999999999993E-2</v>
      </c>
      <c r="D1061" s="11">
        <v>1492.25</v>
      </c>
      <c r="E1061" s="11">
        <v>1.1388224575788635</v>
      </c>
      <c r="L1061" s="9">
        <v>36775</v>
      </c>
      <c r="M1061" s="14">
        <f t="shared" si="51"/>
        <v>7.118876447944178E-3</v>
      </c>
      <c r="N1061" s="14">
        <f t="shared" si="52"/>
        <v>-9.8402208243755229E-3</v>
      </c>
      <c r="O1061" s="14">
        <f t="shared" si="53"/>
        <v>9.1675207835097972E-3</v>
      </c>
      <c r="P1061" s="14">
        <f t="array" ref="P1061">MMULT(M1061:O1061,$I$9:$I$11)</f>
        <v>4.0362271045910128E-3</v>
      </c>
    </row>
    <row r="1062" spans="2:16" x14ac:dyDescent="0.25">
      <c r="B1062" s="9">
        <v>36776</v>
      </c>
      <c r="C1062" s="10">
        <v>5.7535999999999997E-2</v>
      </c>
      <c r="D1062" s="11">
        <v>1502.51</v>
      </c>
      <c r="E1062" s="11">
        <v>1.1481056257175659</v>
      </c>
      <c r="L1062" s="9">
        <v>36776</v>
      </c>
      <c r="M1062" s="14">
        <f t="shared" si="51"/>
        <v>4.1887740854511524E-3</v>
      </c>
      <c r="N1062" s="14">
        <f t="shared" si="52"/>
        <v>6.8755235382811364E-3</v>
      </c>
      <c r="O1062" s="14">
        <f t="shared" si="53"/>
        <v>8.1515499425945936E-3</v>
      </c>
      <c r="P1062" s="14">
        <f t="array" ref="P1062">MMULT(M1062:O1062,$I$9:$I$11)</f>
        <v>7.8070762877196333E-3</v>
      </c>
    </row>
    <row r="1063" spans="2:16" x14ac:dyDescent="0.25">
      <c r="B1063" s="9">
        <v>36777</v>
      </c>
      <c r="C1063" s="10">
        <v>5.7367999999999995E-2</v>
      </c>
      <c r="D1063" s="11">
        <v>1494.5</v>
      </c>
      <c r="E1063" s="11">
        <v>1.1542012927054479</v>
      </c>
      <c r="L1063" s="9">
        <v>36777</v>
      </c>
      <c r="M1063" s="14">
        <f t="shared" si="51"/>
        <v>-2.9199110122358762E-3</v>
      </c>
      <c r="N1063" s="14">
        <f t="shared" si="52"/>
        <v>-5.3310793272590695E-3</v>
      </c>
      <c r="O1063" s="14">
        <f t="shared" si="53"/>
        <v>5.3093259464451759E-3</v>
      </c>
      <c r="P1063" s="14">
        <f t="array" ref="P1063">MMULT(M1063:O1063,$I$9:$I$11)</f>
        <v>2.4368624287676001E-3</v>
      </c>
    </row>
    <row r="1064" spans="2:16" x14ac:dyDescent="0.25">
      <c r="B1064" s="9">
        <v>36780</v>
      </c>
      <c r="C1064" s="10">
        <v>5.7765000000000004E-2</v>
      </c>
      <c r="D1064" s="11">
        <v>1489.26</v>
      </c>
      <c r="E1064" s="11">
        <v>1.1603620329542816</v>
      </c>
      <c r="L1064" s="9">
        <v>36780</v>
      </c>
      <c r="M1064" s="14">
        <f t="shared" si="51"/>
        <v>6.9202342769489888E-3</v>
      </c>
      <c r="N1064" s="14">
        <f t="shared" si="52"/>
        <v>-3.5061893609903416E-3</v>
      </c>
      <c r="O1064" s="14">
        <f t="shared" si="53"/>
        <v>5.3376653515895267E-3</v>
      </c>
      <c r="P1064" s="14">
        <f t="array" ref="P1064">MMULT(M1064:O1064,$I$9:$I$11)</f>
        <v>2.95019519758074E-3</v>
      </c>
    </row>
    <row r="1065" spans="2:16" x14ac:dyDescent="0.25">
      <c r="B1065" s="9">
        <v>36781</v>
      </c>
      <c r="C1065" s="10">
        <v>5.7785999999999997E-2</v>
      </c>
      <c r="D1065" s="11">
        <v>1481.99</v>
      </c>
      <c r="E1065" s="11">
        <v>1.1618450098756825</v>
      </c>
      <c r="L1065" s="9">
        <v>36781</v>
      </c>
      <c r="M1065" s="14">
        <f t="shared" si="51"/>
        <v>3.6354193715903982E-4</v>
      </c>
      <c r="N1065" s="14">
        <f t="shared" si="52"/>
        <v>-4.8816190591299824E-3</v>
      </c>
      <c r="O1065" s="14">
        <f t="shared" si="53"/>
        <v>1.2780295108631989E-3</v>
      </c>
      <c r="P1065" s="14">
        <f t="array" ref="P1065">MMULT(M1065:O1065,$I$9:$I$11)</f>
        <v>-3.8481747136087858E-4</v>
      </c>
    </row>
    <row r="1066" spans="2:16" x14ac:dyDescent="0.25">
      <c r="B1066" s="9">
        <v>36782</v>
      </c>
      <c r="C1066" s="10">
        <v>5.7305000000000002E-2</v>
      </c>
      <c r="D1066" s="11">
        <v>1484.91</v>
      </c>
      <c r="E1066" s="11">
        <v>1.1566711005725521</v>
      </c>
      <c r="L1066" s="9">
        <v>36782</v>
      </c>
      <c r="M1066" s="14">
        <f t="shared" si="51"/>
        <v>-8.3238154570309808E-3</v>
      </c>
      <c r="N1066" s="14">
        <f t="shared" si="52"/>
        <v>1.9703236863946039E-3</v>
      </c>
      <c r="O1066" s="14">
        <f t="shared" si="53"/>
        <v>-4.4531837372043803E-3</v>
      </c>
      <c r="P1066" s="14">
        <f t="array" ref="P1066">MMULT(M1066:O1066,$I$9:$I$11)</f>
        <v>-2.7191059220089339E-3</v>
      </c>
    </row>
    <row r="1067" spans="2:16" x14ac:dyDescent="0.25">
      <c r="B1067" s="9">
        <v>36783</v>
      </c>
      <c r="C1067" s="10">
        <v>5.7931999999999997E-2</v>
      </c>
      <c r="D1067" s="11">
        <v>1480.87</v>
      </c>
      <c r="E1067" s="11">
        <v>1.1609008590666356</v>
      </c>
      <c r="L1067" s="9">
        <v>36783</v>
      </c>
      <c r="M1067" s="14">
        <f t="shared" si="51"/>
        <v>1.0941453625338049E-2</v>
      </c>
      <c r="N1067" s="14">
        <f t="shared" si="52"/>
        <v>-2.7207036116668748E-3</v>
      </c>
      <c r="O1067" s="14">
        <f t="shared" si="53"/>
        <v>3.6568377060599566E-3</v>
      </c>
      <c r="P1067" s="14">
        <f t="array" ref="P1067">MMULT(M1067:O1067,$I$9:$I$11)</f>
        <v>1.9351688131537552E-3</v>
      </c>
    </row>
    <row r="1068" spans="2:16" x14ac:dyDescent="0.25">
      <c r="B1068" s="9">
        <v>36784</v>
      </c>
      <c r="C1068" s="10">
        <v>5.8373000000000001E-2</v>
      </c>
      <c r="D1068" s="11">
        <v>1465.81</v>
      </c>
      <c r="E1068" s="11">
        <v>1.1586814205434217</v>
      </c>
      <c r="L1068" s="9">
        <v>36784</v>
      </c>
      <c r="M1068" s="14">
        <f t="shared" si="51"/>
        <v>7.6123731271147133E-3</v>
      </c>
      <c r="N1068" s="14">
        <f t="shared" si="52"/>
        <v>-1.0169697542660727E-2</v>
      </c>
      <c r="O1068" s="14">
        <f t="shared" si="53"/>
        <v>-1.9118243438964733E-3</v>
      </c>
      <c r="P1068" s="14">
        <f t="array" ref="P1068">MMULT(M1068:O1068,$I$9:$I$11)</f>
        <v>-4.1411040458339873E-3</v>
      </c>
    </row>
    <row r="1069" spans="2:16" x14ac:dyDescent="0.25">
      <c r="B1069" s="9">
        <v>36787</v>
      </c>
      <c r="C1069" s="10">
        <v>5.8710999999999999E-2</v>
      </c>
      <c r="D1069" s="11">
        <v>1444.51</v>
      </c>
      <c r="E1069" s="11">
        <v>1.1704119850187265</v>
      </c>
      <c r="L1069" s="9">
        <v>36787</v>
      </c>
      <c r="M1069" s="14">
        <f t="shared" si="51"/>
        <v>5.790348277457058E-3</v>
      </c>
      <c r="N1069" s="14">
        <f t="shared" si="52"/>
        <v>-1.453121482320352E-2</v>
      </c>
      <c r="O1069" s="14">
        <f t="shared" si="53"/>
        <v>1.0124063670411854E-2</v>
      </c>
      <c r="P1069" s="14">
        <f t="array" ref="P1069">MMULT(M1069:O1069,$I$9:$I$11)</f>
        <v>3.4681717030154236E-3</v>
      </c>
    </row>
    <row r="1070" spans="2:16" x14ac:dyDescent="0.25">
      <c r="B1070" s="9">
        <v>36788</v>
      </c>
      <c r="C1070" s="10">
        <v>5.8583999999999997E-2</v>
      </c>
      <c r="D1070" s="11">
        <v>1459.9</v>
      </c>
      <c r="E1070" s="11">
        <v>1.1715089034676662</v>
      </c>
      <c r="L1070" s="9">
        <v>36788</v>
      </c>
      <c r="M1070" s="14">
        <f t="shared" si="51"/>
        <v>-2.1631380831531599E-3</v>
      </c>
      <c r="N1070" s="14">
        <f t="shared" si="52"/>
        <v>1.0654131850939219E-2</v>
      </c>
      <c r="O1070" s="14">
        <f t="shared" si="53"/>
        <v>9.3720712277423068E-4</v>
      </c>
      <c r="P1070" s="14">
        <f t="array" ref="P1070">MMULT(M1070:O1070,$I$9:$I$11)</f>
        <v>3.5603695933477024E-3</v>
      </c>
    </row>
    <row r="1071" spans="2:16" x14ac:dyDescent="0.25">
      <c r="B1071" s="9">
        <v>36789</v>
      </c>
      <c r="C1071" s="10">
        <v>5.9050000000000005E-2</v>
      </c>
      <c r="D1071" s="11">
        <v>1451.34</v>
      </c>
      <c r="E1071" s="11">
        <v>1.1799410029498525</v>
      </c>
      <c r="L1071" s="9">
        <v>36789</v>
      </c>
      <c r="M1071" s="14">
        <f t="shared" si="51"/>
        <v>7.9543902772090114E-3</v>
      </c>
      <c r="N1071" s="14">
        <f t="shared" si="52"/>
        <v>-5.8634153024180735E-3</v>
      </c>
      <c r="O1071" s="14">
        <f t="shared" si="53"/>
        <v>7.1976401179942862E-3</v>
      </c>
      <c r="P1071" s="14">
        <f t="array" ref="P1071">MMULT(M1071:O1071,$I$9:$I$11)</f>
        <v>3.6717025026088415E-3</v>
      </c>
    </row>
    <row r="1072" spans="2:16" x14ac:dyDescent="0.25">
      <c r="B1072" s="9">
        <v>36790</v>
      </c>
      <c r="C1072" s="10">
        <v>5.8400000000000001E-2</v>
      </c>
      <c r="D1072" s="11">
        <v>1449.05</v>
      </c>
      <c r="E1072" s="11">
        <v>1.1724703951225233</v>
      </c>
      <c r="L1072" s="9">
        <v>36790</v>
      </c>
      <c r="M1072" s="14">
        <f t="shared" si="51"/>
        <v>-1.1007620660457351E-2</v>
      </c>
      <c r="N1072" s="14">
        <f t="shared" si="52"/>
        <v>-1.577852191767537E-3</v>
      </c>
      <c r="O1072" s="14">
        <f t="shared" si="53"/>
        <v>-6.3313401336615449E-3</v>
      </c>
      <c r="P1072" s="14">
        <f t="array" ref="P1072">MMULT(M1072:O1072,$I$9:$I$11)</f>
        <v>-5.0480975932148354E-3</v>
      </c>
    </row>
    <row r="1073" spans="2:16" x14ac:dyDescent="0.25">
      <c r="B1073" s="9">
        <v>36791</v>
      </c>
      <c r="C1073" s="10">
        <v>5.8479000000000003E-2</v>
      </c>
      <c r="D1073" s="11">
        <v>1448.72</v>
      </c>
      <c r="E1073" s="11">
        <v>1.1341726210729273</v>
      </c>
      <c r="L1073" s="9">
        <v>36791</v>
      </c>
      <c r="M1073" s="14">
        <f t="shared" si="51"/>
        <v>1.352739726027341E-3</v>
      </c>
      <c r="N1073" s="14">
        <f t="shared" si="52"/>
        <v>-2.2773541285669996E-4</v>
      </c>
      <c r="O1073" s="14">
        <f t="shared" si="53"/>
        <v>-3.2664171486900373E-2</v>
      </c>
      <c r="P1073" s="14">
        <f t="array" ref="P1073">MMULT(M1073:O1073,$I$9:$I$11)</f>
        <v>-2.390769305685133E-2</v>
      </c>
    </row>
    <row r="1074" spans="2:16" x14ac:dyDescent="0.25">
      <c r="B1074" s="9">
        <v>36794</v>
      </c>
      <c r="C1074" s="10">
        <v>5.8479000000000003E-2</v>
      </c>
      <c r="D1074" s="11">
        <v>1439.03</v>
      </c>
      <c r="E1074" s="11">
        <v>1.1451474377326081</v>
      </c>
      <c r="L1074" s="9">
        <v>36794</v>
      </c>
      <c r="M1074" s="14">
        <f t="shared" si="51"/>
        <v>0</v>
      </c>
      <c r="N1074" s="14">
        <f t="shared" si="52"/>
        <v>-6.6886630956982662E-3</v>
      </c>
      <c r="O1074" s="14">
        <f t="shared" si="53"/>
        <v>9.6764958488406716E-3</v>
      </c>
      <c r="P1074" s="14">
        <f t="array" ref="P1074">MMULT(M1074:O1074,$I$9:$I$11)</f>
        <v>5.2585887466220027E-3</v>
      </c>
    </row>
    <row r="1075" spans="2:16" x14ac:dyDescent="0.25">
      <c r="B1075" s="9">
        <v>36795</v>
      </c>
      <c r="C1075" s="10">
        <v>5.8036000000000004E-2</v>
      </c>
      <c r="D1075" s="11">
        <v>1427.21</v>
      </c>
      <c r="E1075" s="11">
        <v>1.1362345188046814</v>
      </c>
      <c r="L1075" s="9">
        <v>36795</v>
      </c>
      <c r="M1075" s="14">
        <f t="shared" si="51"/>
        <v>-7.5753689358573073E-3</v>
      </c>
      <c r="N1075" s="14">
        <f t="shared" si="52"/>
        <v>-8.2138662849280397E-3</v>
      </c>
      <c r="O1075" s="14">
        <f t="shared" si="53"/>
        <v>-7.7832064538119194E-3</v>
      </c>
      <c r="P1075" s="14">
        <f t="array" ref="P1075">MMULT(M1075:O1075,$I$9:$I$11)</f>
        <v>-7.8994665606019684E-3</v>
      </c>
    </row>
    <row r="1076" spans="2:16" x14ac:dyDescent="0.25">
      <c r="B1076" s="9">
        <v>36796</v>
      </c>
      <c r="C1076" s="10">
        <v>5.8226000000000007E-2</v>
      </c>
      <c r="D1076" s="11">
        <v>1426.57</v>
      </c>
      <c r="E1076" s="11">
        <v>1.1347517730496455</v>
      </c>
      <c r="L1076" s="9">
        <v>36796</v>
      </c>
      <c r="M1076" s="14">
        <f t="shared" si="51"/>
        <v>3.2738300365291462E-3</v>
      </c>
      <c r="N1076" s="14">
        <f t="shared" si="52"/>
        <v>-4.4842735126582323E-4</v>
      </c>
      <c r="O1076" s="14">
        <f t="shared" si="53"/>
        <v>-1.3049645390070808E-3</v>
      </c>
      <c r="P1076" s="14">
        <f t="array" ref="P1076">MMULT(M1076:O1076,$I$9:$I$11)</f>
        <v>-1.0737353931209502E-3</v>
      </c>
    </row>
    <row r="1077" spans="2:16" x14ac:dyDescent="0.25">
      <c r="B1077" s="9">
        <v>36797</v>
      </c>
      <c r="C1077" s="10">
        <v>5.8205E-2</v>
      </c>
      <c r="D1077" s="11">
        <v>1458.29</v>
      </c>
      <c r="E1077" s="11">
        <v>1.1326311020500623</v>
      </c>
      <c r="L1077" s="9">
        <v>36797</v>
      </c>
      <c r="M1077" s="14">
        <f t="shared" si="51"/>
        <v>-3.6066362106290661E-4</v>
      </c>
      <c r="N1077" s="14">
        <f t="shared" si="52"/>
        <v>2.223515144717747E-2</v>
      </c>
      <c r="O1077" s="14">
        <f t="shared" si="53"/>
        <v>-1.868841318382608E-3</v>
      </c>
      <c r="P1077" s="14">
        <f t="array" ref="P1077">MMULT(M1077:O1077,$I$9:$I$11)</f>
        <v>4.6382266051055894E-3</v>
      </c>
    </row>
    <row r="1078" spans="2:16" x14ac:dyDescent="0.25">
      <c r="B1078" s="9">
        <v>36798</v>
      </c>
      <c r="C1078" s="10">
        <v>5.8078000000000005E-2</v>
      </c>
      <c r="D1078" s="11">
        <v>1436.51</v>
      </c>
      <c r="E1078" s="11">
        <v>1.1332086803784918</v>
      </c>
      <c r="L1078" s="9">
        <v>36798</v>
      </c>
      <c r="M1078" s="14">
        <f t="shared" si="51"/>
        <v>-2.1819431320332372E-3</v>
      </c>
      <c r="N1078" s="14">
        <f t="shared" si="52"/>
        <v>-1.4935300934656337E-2</v>
      </c>
      <c r="O1078" s="14">
        <f t="shared" si="53"/>
        <v>5.0994390617042917E-4</v>
      </c>
      <c r="P1078" s="14">
        <f t="array" ref="P1078">MMULT(M1078:O1078,$I$9:$I$11)</f>
        <v>-3.659624938778987E-3</v>
      </c>
    </row>
    <row r="1079" spans="2:16" x14ac:dyDescent="0.25">
      <c r="B1079" s="9">
        <v>36801</v>
      </c>
      <c r="C1079" s="10">
        <v>5.8310000000000001E-2</v>
      </c>
      <c r="D1079" s="11">
        <v>1436.23</v>
      </c>
      <c r="E1079" s="11">
        <v>1.134236942097204</v>
      </c>
      <c r="L1079" s="9">
        <v>36801</v>
      </c>
      <c r="M1079" s="14">
        <f t="shared" si="51"/>
        <v>3.9946279141842567E-3</v>
      </c>
      <c r="N1079" s="14">
        <f t="shared" si="52"/>
        <v>-1.9491684708072832E-4</v>
      </c>
      <c r="O1079" s="14">
        <f t="shared" si="53"/>
        <v>9.0738955367775098E-4</v>
      </c>
      <c r="P1079" s="14">
        <f t="array" ref="P1079">MMULT(M1079:O1079,$I$9:$I$11)</f>
        <v>6.0981301969871083E-4</v>
      </c>
    </row>
    <row r="1080" spans="2:16" x14ac:dyDescent="0.25">
      <c r="B1080" s="9">
        <v>36802</v>
      </c>
      <c r="C1080" s="10">
        <v>5.8605999999999998E-2</v>
      </c>
      <c r="D1080" s="11">
        <v>1426.46</v>
      </c>
      <c r="E1080" s="11">
        <v>1.1410965938266675</v>
      </c>
      <c r="L1080" s="9">
        <v>36802</v>
      </c>
      <c r="M1080" s="14">
        <f t="shared" si="51"/>
        <v>5.0763162407820861E-3</v>
      </c>
      <c r="N1080" s="14">
        <f t="shared" si="52"/>
        <v>-6.8025316279425319E-3</v>
      </c>
      <c r="O1080" s="14">
        <f t="shared" si="53"/>
        <v>6.047811947281545E-3</v>
      </c>
      <c r="P1080" s="14">
        <f t="array" ref="P1080">MMULT(M1080:O1080,$I$9:$I$11)</f>
        <v>2.578757699820221E-3</v>
      </c>
    </row>
    <row r="1081" spans="2:16" x14ac:dyDescent="0.25">
      <c r="B1081" s="9">
        <v>36803</v>
      </c>
      <c r="C1081" s="10">
        <v>5.8945999999999998E-2</v>
      </c>
      <c r="D1081" s="11">
        <v>1434.32</v>
      </c>
      <c r="E1081" s="11">
        <v>1.1457378551787352</v>
      </c>
      <c r="L1081" s="9">
        <v>36803</v>
      </c>
      <c r="M1081" s="14">
        <f t="shared" si="51"/>
        <v>5.8014537760637808E-3</v>
      </c>
      <c r="N1081" s="14">
        <f t="shared" si="52"/>
        <v>5.510143992821348E-3</v>
      </c>
      <c r="O1081" s="14">
        <f t="shared" si="53"/>
        <v>4.0673693858845894E-3</v>
      </c>
      <c r="P1081" s="14">
        <f t="array" ref="P1081">MMULT(M1081:O1081,$I$9:$I$11)</f>
        <v>4.4568580675703653E-3</v>
      </c>
    </row>
    <row r="1082" spans="2:16" x14ac:dyDescent="0.25">
      <c r="B1082" s="9">
        <v>36804</v>
      </c>
      <c r="C1082" s="10">
        <v>5.8563999999999998E-2</v>
      </c>
      <c r="D1082" s="11">
        <v>1436.28</v>
      </c>
      <c r="E1082" s="11">
        <v>1.1501523951923631</v>
      </c>
      <c r="L1082" s="9">
        <v>36804</v>
      </c>
      <c r="M1082" s="14">
        <f t="shared" si="51"/>
        <v>-6.4805075832117254E-3</v>
      </c>
      <c r="N1082" s="14">
        <f t="shared" si="52"/>
        <v>1.3665011991745857E-3</v>
      </c>
      <c r="O1082" s="14">
        <f t="shared" si="53"/>
        <v>3.8530105238945289E-3</v>
      </c>
      <c r="P1082" s="14">
        <f t="array" ref="P1082">MMULT(M1082:O1082,$I$9:$I$11)</f>
        <v>3.1817572080763568E-3</v>
      </c>
    </row>
    <row r="1083" spans="2:16" x14ac:dyDescent="0.25">
      <c r="B1083" s="9">
        <v>36805</v>
      </c>
      <c r="C1083" s="10">
        <v>5.8205E-2</v>
      </c>
      <c r="D1083" s="11">
        <v>1408.99</v>
      </c>
      <c r="E1083" s="11">
        <v>1.1498878859311217</v>
      </c>
      <c r="L1083" s="9">
        <v>36805</v>
      </c>
      <c r="M1083" s="14">
        <f t="shared" si="51"/>
        <v>-6.1300457619014592E-3</v>
      </c>
      <c r="N1083" s="14">
        <f t="shared" si="52"/>
        <v>-1.9000473445289212E-2</v>
      </c>
      <c r="O1083" s="14">
        <f t="shared" si="53"/>
        <v>-2.2997757718634659E-4</v>
      </c>
      <c r="P1083" s="14">
        <f t="array" ref="P1083">MMULT(M1083:O1083,$I$9:$I$11)</f>
        <v>-5.2972248485934096E-3</v>
      </c>
    </row>
    <row r="1084" spans="2:16" x14ac:dyDescent="0.25">
      <c r="B1084" s="9">
        <v>36808</v>
      </c>
      <c r="C1084" s="10">
        <v>5.8205E-2</v>
      </c>
      <c r="D1084" s="11">
        <v>1402.03</v>
      </c>
      <c r="E1084" s="11">
        <v>1.1507479861910241</v>
      </c>
      <c r="L1084" s="9">
        <v>36808</v>
      </c>
      <c r="M1084" s="14">
        <f t="shared" si="51"/>
        <v>0</v>
      </c>
      <c r="N1084" s="14">
        <f t="shared" si="52"/>
        <v>-4.9397085855825695E-3</v>
      </c>
      <c r="O1084" s="14">
        <f t="shared" si="53"/>
        <v>7.4798619102423025E-4</v>
      </c>
      <c r="P1084" s="14">
        <f t="array" ref="P1084">MMULT(M1084:O1084,$I$9:$I$11)</f>
        <v>-7.8745304509808902E-4</v>
      </c>
    </row>
    <row r="1085" spans="2:16" x14ac:dyDescent="0.25">
      <c r="B1085" s="9">
        <v>36809</v>
      </c>
      <c r="C1085" s="10">
        <v>5.7972000000000003E-2</v>
      </c>
      <c r="D1085" s="11">
        <v>1387.02</v>
      </c>
      <c r="E1085" s="11">
        <v>1.151808339092375</v>
      </c>
      <c r="L1085" s="9">
        <v>36809</v>
      </c>
      <c r="M1085" s="14">
        <f t="shared" si="51"/>
        <v>-4.0030925178248244E-3</v>
      </c>
      <c r="N1085" s="14">
        <f t="shared" si="52"/>
        <v>-1.070590500916524E-2</v>
      </c>
      <c r="O1085" s="14">
        <f t="shared" si="53"/>
        <v>9.2144667127391777E-4</v>
      </c>
      <c r="P1085" s="14">
        <f t="array" ref="P1085">MMULT(M1085:O1085,$I$9:$I$11)</f>
        <v>-2.2174510163741478E-3</v>
      </c>
    </row>
    <row r="1086" spans="2:16" x14ac:dyDescent="0.25">
      <c r="B1086" s="9">
        <v>36810</v>
      </c>
      <c r="C1086" s="10">
        <v>5.7762000000000001E-2</v>
      </c>
      <c r="D1086" s="11">
        <v>1364.59</v>
      </c>
      <c r="E1086" s="11">
        <v>1.1442956860052638</v>
      </c>
      <c r="L1086" s="9">
        <v>36810</v>
      </c>
      <c r="M1086" s="14">
        <f t="shared" si="51"/>
        <v>-3.6224384185469249E-3</v>
      </c>
      <c r="N1086" s="14">
        <f t="shared" si="52"/>
        <v>-1.6171360182261285E-2</v>
      </c>
      <c r="O1086" s="14">
        <f t="shared" si="53"/>
        <v>-6.5224854102299279E-3</v>
      </c>
      <c r="P1086" s="14">
        <f t="array" ref="P1086">MMULT(M1086:O1086,$I$9:$I$11)</f>
        <v>-9.127277244408892E-3</v>
      </c>
    </row>
    <row r="1087" spans="2:16" x14ac:dyDescent="0.25">
      <c r="B1087" s="9">
        <v>36811</v>
      </c>
      <c r="C1087" s="10">
        <v>5.7236000000000002E-2</v>
      </c>
      <c r="D1087" s="11">
        <v>1329.78</v>
      </c>
      <c r="E1087" s="11">
        <v>1.1594875065221171</v>
      </c>
      <c r="L1087" s="9">
        <v>36811</v>
      </c>
      <c r="M1087" s="14">
        <f t="shared" si="51"/>
        <v>-9.1063328832103885E-3</v>
      </c>
      <c r="N1087" s="14">
        <f t="shared" si="52"/>
        <v>-2.5509493694076624E-2</v>
      </c>
      <c r="O1087" s="14">
        <f t="shared" si="53"/>
        <v>1.3276131949678138E-2</v>
      </c>
      <c r="P1087" s="14">
        <f t="array" ref="P1087">MMULT(M1087:O1087,$I$9:$I$11)</f>
        <v>2.8056384105537473E-3</v>
      </c>
    </row>
    <row r="1088" spans="2:16" x14ac:dyDescent="0.25">
      <c r="B1088" s="9">
        <v>36812</v>
      </c>
      <c r="C1088" s="10">
        <v>5.7320000000000003E-2</v>
      </c>
      <c r="D1088" s="11">
        <v>1374.16</v>
      </c>
      <c r="E1088" s="11">
        <v>1.1635348187794519</v>
      </c>
      <c r="L1088" s="9">
        <v>36812</v>
      </c>
      <c r="M1088" s="14">
        <f t="shared" si="51"/>
        <v>1.4676077992872294E-3</v>
      </c>
      <c r="N1088" s="14">
        <f t="shared" si="52"/>
        <v>3.3373941554242226E-2</v>
      </c>
      <c r="O1088" s="14">
        <f t="shared" si="53"/>
        <v>3.4906044563383087E-3</v>
      </c>
      <c r="P1088" s="14">
        <f t="array" ref="P1088">MMULT(M1088:O1088,$I$9:$I$11)</f>
        <v>1.1557853155250585E-2</v>
      </c>
    </row>
    <row r="1089" spans="2:16" x14ac:dyDescent="0.25">
      <c r="B1089" s="9">
        <v>36815</v>
      </c>
      <c r="C1089" s="10">
        <v>5.7488000000000004E-2</v>
      </c>
      <c r="D1089" s="11">
        <v>1374.62</v>
      </c>
      <c r="E1089" s="11">
        <v>1.1784115012962526</v>
      </c>
      <c r="L1089" s="9">
        <v>36815</v>
      </c>
      <c r="M1089" s="14">
        <f t="shared" si="51"/>
        <v>2.9309141660851523E-3</v>
      </c>
      <c r="N1089" s="14">
        <f t="shared" si="52"/>
        <v>3.3474995633686611E-4</v>
      </c>
      <c r="O1089" s="14">
        <f t="shared" si="53"/>
        <v>1.2785764789064347E-2</v>
      </c>
      <c r="P1089" s="14">
        <f t="array" ref="P1089">MMULT(M1089:O1089,$I$9:$I$11)</f>
        <v>9.4245125674540745E-3</v>
      </c>
    </row>
    <row r="1090" spans="2:16" x14ac:dyDescent="0.25">
      <c r="B1090" s="9">
        <v>36816</v>
      </c>
      <c r="C1090" s="10">
        <v>5.6795999999999999E-2</v>
      </c>
      <c r="D1090" s="11">
        <v>1349.97</v>
      </c>
      <c r="E1090" s="11">
        <v>1.1766782373360005</v>
      </c>
      <c r="L1090" s="9">
        <v>36816</v>
      </c>
      <c r="M1090" s="14">
        <f t="shared" si="51"/>
        <v>-1.2037294739771887E-2</v>
      </c>
      <c r="N1090" s="14">
        <f t="shared" si="52"/>
        <v>-1.79322285431609E-2</v>
      </c>
      <c r="O1090" s="14">
        <f t="shared" si="53"/>
        <v>-1.4708477966699496E-3</v>
      </c>
      <c r="P1090" s="14">
        <f t="array" ref="P1090">MMULT(M1090:O1090,$I$9:$I$11)</f>
        <v>-5.9147307530598315E-3</v>
      </c>
    </row>
    <row r="1091" spans="2:16" x14ac:dyDescent="0.25">
      <c r="B1091" s="9">
        <v>36817</v>
      </c>
      <c r="C1091" s="10">
        <v>5.6609999999999994E-2</v>
      </c>
      <c r="D1091" s="11">
        <v>1342.12</v>
      </c>
      <c r="E1091" s="11">
        <v>1.1798017932987257</v>
      </c>
      <c r="L1091" s="9">
        <v>36817</v>
      </c>
      <c r="M1091" s="14">
        <f t="shared" si="51"/>
        <v>-3.2748785125713553E-3</v>
      </c>
      <c r="N1091" s="14">
        <f t="shared" si="52"/>
        <v>-5.8149440357935234E-3</v>
      </c>
      <c r="O1091" s="14">
        <f t="shared" si="53"/>
        <v>2.6545540349220964E-3</v>
      </c>
      <c r="P1091" s="14">
        <f t="array" ref="P1091">MMULT(M1091:O1091,$I$9:$I$11)</f>
        <v>3.6814448609653644E-4</v>
      </c>
    </row>
    <row r="1092" spans="2:16" x14ac:dyDescent="0.25">
      <c r="B1092" s="9">
        <v>36818</v>
      </c>
      <c r="C1092" s="10">
        <v>5.6479999999999995E-2</v>
      </c>
      <c r="D1092" s="11">
        <v>1388.75</v>
      </c>
      <c r="E1092" s="11">
        <v>1.1910433539780847</v>
      </c>
      <c r="L1092" s="9">
        <v>36818</v>
      </c>
      <c r="M1092" s="14">
        <f t="shared" si="51"/>
        <v>-2.2964140611199113E-3</v>
      </c>
      <c r="N1092" s="14">
        <f t="shared" si="52"/>
        <v>3.474354007093261E-2</v>
      </c>
      <c r="O1092" s="14">
        <f t="shared" si="53"/>
        <v>9.5283468318247966E-3</v>
      </c>
      <c r="P1092" s="14">
        <f t="array" ref="P1092">MMULT(M1092:O1092,$I$9:$I$11)</f>
        <v>1.6335392316222261E-2</v>
      </c>
    </row>
    <row r="1093" spans="2:16" x14ac:dyDescent="0.25">
      <c r="B1093" s="9">
        <v>36819</v>
      </c>
      <c r="C1093" s="10">
        <v>5.6398000000000004E-2</v>
      </c>
      <c r="D1093" s="11">
        <v>1396.92</v>
      </c>
      <c r="E1093" s="11">
        <v>1.1939585696376336</v>
      </c>
      <c r="L1093" s="9">
        <v>36819</v>
      </c>
      <c r="M1093" s="14">
        <f t="shared" si="51"/>
        <v>-1.451841359773276E-3</v>
      </c>
      <c r="N1093" s="14">
        <f t="shared" si="52"/>
        <v>5.8829882988298277E-3</v>
      </c>
      <c r="O1093" s="14">
        <f t="shared" si="53"/>
        <v>2.4476150677572583E-3</v>
      </c>
      <c r="P1093" s="14">
        <f t="array" ref="P1093">MMULT(M1093:O1093,$I$9:$I$11)</f>
        <v>3.3750218743616037E-3</v>
      </c>
    </row>
    <row r="1094" spans="2:16" x14ac:dyDescent="0.25">
      <c r="B1094" s="9">
        <v>36822</v>
      </c>
      <c r="C1094" s="10">
        <v>5.5940000000000004E-2</v>
      </c>
      <c r="D1094" s="11">
        <v>1395.77</v>
      </c>
      <c r="E1094" s="11">
        <v>1.1962437944853161</v>
      </c>
      <c r="L1094" s="9">
        <v>36822</v>
      </c>
      <c r="M1094" s="14">
        <f t="shared" si="51"/>
        <v>-8.1208553494804825E-3</v>
      </c>
      <c r="N1094" s="14">
        <f t="shared" si="52"/>
        <v>-8.2323969876596514E-4</v>
      </c>
      <c r="O1094" s="14">
        <f t="shared" si="53"/>
        <v>1.9139900711764302E-3</v>
      </c>
      <c r="P1094" s="14">
        <f t="array" ref="P1094">MMULT(M1094:O1094,$I$9:$I$11)</f>
        <v>1.1750527420606464E-3</v>
      </c>
    </row>
    <row r="1095" spans="2:16" x14ac:dyDescent="0.25">
      <c r="B1095" s="9">
        <v>36823</v>
      </c>
      <c r="C1095" s="10">
        <v>5.6272000000000003E-2</v>
      </c>
      <c r="D1095" s="11">
        <v>1398.12</v>
      </c>
      <c r="E1095" s="11">
        <v>1.1945290569193097</v>
      </c>
      <c r="L1095" s="9">
        <v>36823</v>
      </c>
      <c r="M1095" s="14">
        <f t="shared" si="51"/>
        <v>5.9349302824454053E-3</v>
      </c>
      <c r="N1095" s="14">
        <f t="shared" si="52"/>
        <v>1.6836584824146961E-3</v>
      </c>
      <c r="O1095" s="14">
        <f t="shared" si="53"/>
        <v>-1.4334348683031628E-3</v>
      </c>
      <c r="P1095" s="14">
        <f t="array" ref="P1095">MMULT(M1095:O1095,$I$9:$I$11)</f>
        <v>-5.9195029127677109E-4</v>
      </c>
    </row>
    <row r="1096" spans="2:16" x14ac:dyDescent="0.25">
      <c r="B1096" s="9">
        <v>36824</v>
      </c>
      <c r="C1096" s="10">
        <v>5.6898999999999998E-2</v>
      </c>
      <c r="D1096" s="11">
        <v>1364.89</v>
      </c>
      <c r="E1096" s="11">
        <v>1.2067821154890483</v>
      </c>
      <c r="L1096" s="9">
        <v>36824</v>
      </c>
      <c r="M1096" s="14">
        <f t="shared" si="51"/>
        <v>1.1142308785897059E-2</v>
      </c>
      <c r="N1096" s="14">
        <f t="shared" si="52"/>
        <v>-2.3767630818527619E-2</v>
      </c>
      <c r="O1096" s="14">
        <f t="shared" si="53"/>
        <v>1.0257647981656737E-2</v>
      </c>
      <c r="P1096" s="14">
        <f t="array" ref="P1096">MMULT(M1096:O1096,$I$9:$I$11)</f>
        <v>1.07224859899649E-3</v>
      </c>
    </row>
    <row r="1097" spans="2:16" x14ac:dyDescent="0.25">
      <c r="B1097" s="9">
        <v>36825</v>
      </c>
      <c r="C1097" s="10">
        <v>5.6919000000000004E-2</v>
      </c>
      <c r="D1097" s="11">
        <v>1364.43</v>
      </c>
      <c r="E1097" s="11">
        <v>1.2063453766813439</v>
      </c>
      <c r="L1097" s="9">
        <v>36825</v>
      </c>
      <c r="M1097" s="14">
        <f t="shared" ref="M1097:M1160" si="54">C1097/C1096-1</f>
        <v>3.5150002636252786E-4</v>
      </c>
      <c r="N1097" s="14">
        <f t="shared" ref="N1097:N1160" si="55">D1097/D1096-1</f>
        <v>-3.3702349639896934E-4</v>
      </c>
      <c r="O1097" s="14">
        <f t="shared" ref="O1097:O1160" si="56">E1097/E1096-1</f>
        <v>-3.6190361300425522E-4</v>
      </c>
      <c r="P1097" s="14">
        <f t="array" ref="P1097">MMULT(M1097:O1097,$I$9:$I$11)</f>
        <v>-3.5518702416897224E-4</v>
      </c>
    </row>
    <row r="1098" spans="2:16" x14ac:dyDescent="0.25">
      <c r="B1098" s="9">
        <v>36826</v>
      </c>
      <c r="C1098" s="10">
        <v>5.7276000000000001E-2</v>
      </c>
      <c r="D1098" s="11">
        <v>1379.57</v>
      </c>
      <c r="E1098" s="11">
        <v>1.1866619200189865</v>
      </c>
      <c r="L1098" s="9">
        <v>36826</v>
      </c>
      <c r="M1098" s="14">
        <f t="shared" si="54"/>
        <v>6.2720708375059164E-3</v>
      </c>
      <c r="N1098" s="14">
        <f t="shared" si="55"/>
        <v>1.1096208673218699E-2</v>
      </c>
      <c r="O1098" s="14">
        <f t="shared" si="56"/>
        <v>-1.6316601400261144E-2</v>
      </c>
      <c r="P1098" s="14">
        <f t="array" ref="P1098">MMULT(M1098:O1098,$I$9:$I$11)</f>
        <v>-8.9162914658555484E-3</v>
      </c>
    </row>
    <row r="1099" spans="2:16" x14ac:dyDescent="0.25">
      <c r="B1099" s="9">
        <v>36829</v>
      </c>
      <c r="C1099" s="10">
        <v>5.7318000000000001E-2</v>
      </c>
      <c r="D1099" s="11">
        <v>1398.66</v>
      </c>
      <c r="E1099" s="11">
        <v>1.1835019823658204</v>
      </c>
      <c r="L1099" s="9">
        <v>36829</v>
      </c>
      <c r="M1099" s="14">
        <f t="shared" si="54"/>
        <v>7.3329143096589888E-4</v>
      </c>
      <c r="N1099" s="14">
        <f t="shared" si="55"/>
        <v>1.3837645063316861E-2</v>
      </c>
      <c r="O1099" s="14">
        <f t="shared" si="56"/>
        <v>-2.6628794603230643E-3</v>
      </c>
      <c r="P1099" s="14">
        <f t="array" ref="P1099">MMULT(M1099:O1099,$I$9:$I$11)</f>
        <v>1.791570675503339E-3</v>
      </c>
    </row>
    <row r="1100" spans="2:16" x14ac:dyDescent="0.25">
      <c r="B1100" s="9">
        <v>36830</v>
      </c>
      <c r="C1100" s="10">
        <v>5.7613000000000004E-2</v>
      </c>
      <c r="D1100" s="11">
        <v>1429.39</v>
      </c>
      <c r="E1100" s="11">
        <v>1.1798017932987257</v>
      </c>
      <c r="L1100" s="9">
        <v>36830</v>
      </c>
      <c r="M1100" s="14">
        <f t="shared" si="54"/>
        <v>5.1467252869954461E-3</v>
      </c>
      <c r="N1100" s="14">
        <f t="shared" si="55"/>
        <v>2.1971029413867527E-2</v>
      </c>
      <c r="O1100" s="14">
        <f t="shared" si="56"/>
        <v>-3.1264747522417036E-3</v>
      </c>
      <c r="P1100" s="14">
        <f t="array" ref="P1100">MMULT(M1100:O1100,$I$9:$I$11)</f>
        <v>3.6487996144283978E-3</v>
      </c>
    </row>
    <row r="1101" spans="2:16" x14ac:dyDescent="0.25">
      <c r="B1101" s="9">
        <v>36831</v>
      </c>
      <c r="C1101" s="10">
        <v>5.7443999999999995E-2</v>
      </c>
      <c r="D1101" s="11">
        <v>1421.21</v>
      </c>
      <c r="E1101" s="11">
        <v>1.166044776119403</v>
      </c>
      <c r="L1101" s="9">
        <v>36831</v>
      </c>
      <c r="M1101" s="14">
        <f t="shared" si="54"/>
        <v>-2.9333657334283947E-3</v>
      </c>
      <c r="N1101" s="14">
        <f t="shared" si="55"/>
        <v>-5.7227208809352836E-3</v>
      </c>
      <c r="O1101" s="14">
        <f t="shared" si="56"/>
        <v>-1.1660447761193904E-2</v>
      </c>
      <c r="P1101" s="14">
        <f t="array" ref="P1101">MMULT(M1101:O1101,$I$9:$I$11)</f>
        <v>-1.0057510335151794E-2</v>
      </c>
    </row>
    <row r="1102" spans="2:16" x14ac:dyDescent="0.25">
      <c r="B1102" s="9">
        <v>36832</v>
      </c>
      <c r="C1102" s="10">
        <v>5.7423000000000002E-2</v>
      </c>
      <c r="D1102" s="11">
        <v>1428.32</v>
      </c>
      <c r="E1102" s="11">
        <v>1.162655505173817</v>
      </c>
      <c r="L1102" s="9">
        <v>36832</v>
      </c>
      <c r="M1102" s="14">
        <f t="shared" si="54"/>
        <v>-3.6557342803411608E-4</v>
      </c>
      <c r="N1102" s="14">
        <f t="shared" si="55"/>
        <v>5.0027793218454519E-3</v>
      </c>
      <c r="O1102" s="14">
        <f t="shared" si="56"/>
        <v>-2.9066387629346213E-3</v>
      </c>
      <c r="P1102" s="14">
        <f t="array" ref="P1102">MMULT(M1102:O1102,$I$9:$I$11)</f>
        <v>-7.7142733910502345E-4</v>
      </c>
    </row>
    <row r="1103" spans="2:16" x14ac:dyDescent="0.25">
      <c r="B1103" s="9">
        <v>36833</v>
      </c>
      <c r="C1103" s="10">
        <v>5.8270000000000002E-2</v>
      </c>
      <c r="D1103" s="11">
        <v>1426.68</v>
      </c>
      <c r="E1103" s="11">
        <v>1.1579434923575729</v>
      </c>
      <c r="L1103" s="9">
        <v>36833</v>
      </c>
      <c r="M1103" s="14">
        <f t="shared" si="54"/>
        <v>1.4750187207216658E-2</v>
      </c>
      <c r="N1103" s="14">
        <f t="shared" si="55"/>
        <v>-1.1482020835665852E-3</v>
      </c>
      <c r="O1103" s="14">
        <f t="shared" si="56"/>
        <v>-4.0528022232515504E-3</v>
      </c>
      <c r="P1103" s="14">
        <f t="array" ref="P1103">MMULT(M1103:O1103,$I$9:$I$11)</f>
        <v>-3.2686819082758333E-3</v>
      </c>
    </row>
    <row r="1104" spans="2:16" x14ac:dyDescent="0.25">
      <c r="B1104" s="9">
        <v>36836</v>
      </c>
      <c r="C1104" s="10">
        <v>5.8441E-2</v>
      </c>
      <c r="D1104" s="11">
        <v>1432.19</v>
      </c>
      <c r="E1104" s="11">
        <v>1.1611704598235022</v>
      </c>
      <c r="L1104" s="9">
        <v>36836</v>
      </c>
      <c r="M1104" s="14">
        <f t="shared" si="54"/>
        <v>2.9346147245581378E-3</v>
      </c>
      <c r="N1104" s="14">
        <f t="shared" si="55"/>
        <v>3.8621134381922051E-3</v>
      </c>
      <c r="O1104" s="14">
        <f t="shared" si="56"/>
        <v>2.7868091035765374E-3</v>
      </c>
      <c r="P1104" s="14">
        <f t="array" ref="P1104">MMULT(M1104:O1104,$I$9:$I$11)</f>
        <v>3.0770962112694547E-3</v>
      </c>
    </row>
    <row r="1105" spans="2:16" x14ac:dyDescent="0.25">
      <c r="B1105" s="9">
        <v>36837</v>
      </c>
      <c r="C1105" s="10">
        <v>5.8674999999999998E-2</v>
      </c>
      <c r="D1105" s="11">
        <v>1431.87</v>
      </c>
      <c r="E1105" s="11">
        <v>1.1618450098756825</v>
      </c>
      <c r="L1105" s="9">
        <v>36837</v>
      </c>
      <c r="M1105" s="14">
        <f t="shared" si="54"/>
        <v>4.0040382608099723E-3</v>
      </c>
      <c r="N1105" s="14">
        <f t="shared" si="55"/>
        <v>-2.2343404157276758E-4</v>
      </c>
      <c r="O1105" s="14">
        <f t="shared" si="56"/>
        <v>5.8092250493757547E-4</v>
      </c>
      <c r="P1105" s="14">
        <f t="array" ref="P1105">MMULT(M1105:O1105,$I$9:$I$11)</f>
        <v>3.6377994545574684E-4</v>
      </c>
    </row>
    <row r="1106" spans="2:16" x14ac:dyDescent="0.25">
      <c r="B1106" s="9">
        <v>36838</v>
      </c>
      <c r="C1106" s="10">
        <v>5.8590000000000003E-2</v>
      </c>
      <c r="D1106" s="11">
        <v>1409.28</v>
      </c>
      <c r="E1106" s="11">
        <v>1.1678150181011329</v>
      </c>
      <c r="L1106" s="9">
        <v>36838</v>
      </c>
      <c r="M1106" s="14">
        <f t="shared" si="54"/>
        <v>-1.4486578610991563E-3</v>
      </c>
      <c r="N1106" s="14">
        <f t="shared" si="55"/>
        <v>-1.5776571895493197E-2</v>
      </c>
      <c r="O1106" s="14">
        <f t="shared" si="56"/>
        <v>5.1383860796450076E-3</v>
      </c>
      <c r="P1106" s="14">
        <f t="array" ref="P1106">MMULT(M1106:O1106,$I$9:$I$11)</f>
        <v>-5.0777609293823538E-4</v>
      </c>
    </row>
    <row r="1107" spans="2:16" x14ac:dyDescent="0.25">
      <c r="B1107" s="9">
        <v>36839</v>
      </c>
      <c r="C1107" s="10">
        <v>5.8250000000000003E-2</v>
      </c>
      <c r="D1107" s="11">
        <v>1400.13</v>
      </c>
      <c r="E1107" s="11">
        <v>1.1642798928862499</v>
      </c>
      <c r="L1107" s="9">
        <v>36839</v>
      </c>
      <c r="M1107" s="14">
        <f t="shared" si="54"/>
        <v>-5.8030380611026056E-3</v>
      </c>
      <c r="N1107" s="14">
        <f t="shared" si="55"/>
        <v>-6.4926771117165272E-3</v>
      </c>
      <c r="O1107" s="14">
        <f t="shared" si="56"/>
        <v>-3.0271277215042636E-3</v>
      </c>
      <c r="P1107" s="14">
        <f t="array" ref="P1107">MMULT(M1107:O1107,$I$9:$I$11)</f>
        <v>-3.9626808264875456E-3</v>
      </c>
    </row>
    <row r="1108" spans="2:16" x14ac:dyDescent="0.25">
      <c r="B1108" s="9">
        <v>36840</v>
      </c>
      <c r="C1108" s="10">
        <v>5.7973999999999998E-2</v>
      </c>
      <c r="D1108" s="11">
        <v>1365.98</v>
      </c>
      <c r="E1108" s="11">
        <v>1.1581446522670682</v>
      </c>
      <c r="L1108" s="9">
        <v>36840</v>
      </c>
      <c r="M1108" s="14">
        <f t="shared" si="54"/>
        <v>-4.7381974248927872E-3</v>
      </c>
      <c r="N1108" s="14">
        <f t="shared" si="55"/>
        <v>-2.4390592302143466E-2</v>
      </c>
      <c r="O1108" s="14">
        <f t="shared" si="56"/>
        <v>-5.2695581678151582E-3</v>
      </c>
      <c r="P1108" s="14">
        <f t="array" ref="P1108">MMULT(M1108:O1108,$I$9:$I$11)</f>
        <v>-1.043143608113686E-2</v>
      </c>
    </row>
    <row r="1109" spans="2:16" x14ac:dyDescent="0.25">
      <c r="B1109" s="9">
        <v>36843</v>
      </c>
      <c r="C1109" s="10">
        <v>5.7697999999999999E-2</v>
      </c>
      <c r="D1109" s="11">
        <v>1351.26</v>
      </c>
      <c r="E1109" s="11">
        <v>1.162655505173817</v>
      </c>
      <c r="L1109" s="9">
        <v>36843</v>
      </c>
      <c r="M1109" s="14">
        <f t="shared" si="54"/>
        <v>-4.7607548211267003E-3</v>
      </c>
      <c r="N1109" s="14">
        <f t="shared" si="55"/>
        <v>-1.0776146063631975E-2</v>
      </c>
      <c r="O1109" s="14">
        <f t="shared" si="56"/>
        <v>3.8948959423321661E-3</v>
      </c>
      <c r="P1109" s="14">
        <f t="array" ref="P1109">MMULT(M1109:O1109,$I$9:$I$11)</f>
        <v>-6.5670581632228803E-5</v>
      </c>
    </row>
    <row r="1110" spans="2:16" x14ac:dyDescent="0.25">
      <c r="B1110" s="9">
        <v>36844</v>
      </c>
      <c r="C1110" s="10">
        <v>5.7676999999999999E-2</v>
      </c>
      <c r="D1110" s="11">
        <v>1382.94</v>
      </c>
      <c r="E1110" s="11">
        <v>1.165433249810617</v>
      </c>
      <c r="L1110" s="9">
        <v>36844</v>
      </c>
      <c r="M1110" s="14">
        <f t="shared" si="54"/>
        <v>-3.6396408887662268E-4</v>
      </c>
      <c r="N1110" s="14">
        <f t="shared" si="55"/>
        <v>2.3444784867457047E-2</v>
      </c>
      <c r="O1110" s="14">
        <f t="shared" si="56"/>
        <v>2.3891381621117258E-3</v>
      </c>
      <c r="P1110" s="14">
        <f t="array" ref="P1110">MMULT(M1110:O1110,$I$9:$I$11)</f>
        <v>8.0732803960246857E-3</v>
      </c>
    </row>
    <row r="1111" spans="2:16" x14ac:dyDescent="0.25">
      <c r="B1111" s="9">
        <v>36845</v>
      </c>
      <c r="C1111" s="10">
        <v>5.7148000000000004E-2</v>
      </c>
      <c r="D1111" s="11">
        <v>1389.81</v>
      </c>
      <c r="E1111" s="11">
        <v>1.1636025133814287</v>
      </c>
      <c r="L1111" s="9">
        <v>36845</v>
      </c>
      <c r="M1111" s="14">
        <f t="shared" si="54"/>
        <v>-9.1717669088197118E-3</v>
      </c>
      <c r="N1111" s="14">
        <f t="shared" si="55"/>
        <v>4.9676775565099529E-3</v>
      </c>
      <c r="O1111" s="14">
        <f t="shared" si="56"/>
        <v>-1.5708633930650029E-3</v>
      </c>
      <c r="P1111" s="14">
        <f t="array" ref="P1111">MMULT(M1111:O1111,$I$9:$I$11)</f>
        <v>1.942686534474017E-4</v>
      </c>
    </row>
    <row r="1112" spans="2:16" x14ac:dyDescent="0.25">
      <c r="B1112" s="9">
        <v>36846</v>
      </c>
      <c r="C1112" s="10">
        <v>5.6664000000000006E-2</v>
      </c>
      <c r="D1112" s="11">
        <v>1372.31</v>
      </c>
      <c r="E1112" s="11">
        <v>1.1705489874751258</v>
      </c>
      <c r="L1112" s="9">
        <v>36846</v>
      </c>
      <c r="M1112" s="14">
        <f t="shared" si="54"/>
        <v>-8.4692377686007569E-3</v>
      </c>
      <c r="N1112" s="14">
        <f t="shared" si="55"/>
        <v>-1.259164921823841E-2</v>
      </c>
      <c r="O1112" s="14">
        <f t="shared" si="56"/>
        <v>5.9697998361232241E-3</v>
      </c>
      <c r="P1112" s="14">
        <f t="array" ref="P1112">MMULT(M1112:O1112,$I$9:$I$11)</f>
        <v>9.5898644392585592E-4</v>
      </c>
    </row>
    <row r="1113" spans="2:16" x14ac:dyDescent="0.25">
      <c r="B1113" s="9">
        <v>36847</v>
      </c>
      <c r="C1113" s="10">
        <v>5.7064000000000004E-2</v>
      </c>
      <c r="D1113" s="11">
        <v>1367.71</v>
      </c>
      <c r="E1113" s="11">
        <v>1.1728141675951445</v>
      </c>
      <c r="L1113" s="9">
        <v>36847</v>
      </c>
      <c r="M1113" s="14">
        <f t="shared" si="54"/>
        <v>7.0591557249752857E-3</v>
      </c>
      <c r="N1113" s="14">
        <f t="shared" si="55"/>
        <v>-3.352012300427698E-3</v>
      </c>
      <c r="O1113" s="14">
        <f t="shared" si="56"/>
        <v>1.9351433765320003E-3</v>
      </c>
      <c r="P1113" s="14">
        <f t="array" ref="P1113">MMULT(M1113:O1113,$I$9:$I$11)</f>
        <v>5.0783291196907366E-4</v>
      </c>
    </row>
    <row r="1114" spans="2:16" x14ac:dyDescent="0.25">
      <c r="B1114" s="9">
        <v>36850</v>
      </c>
      <c r="C1114" s="10">
        <v>5.6725999999999999E-2</v>
      </c>
      <c r="D1114" s="11">
        <v>1342.61</v>
      </c>
      <c r="E1114" s="11">
        <v>1.1779950524207798</v>
      </c>
      <c r="L1114" s="9">
        <v>36850</v>
      </c>
      <c r="M1114" s="14">
        <f t="shared" si="54"/>
        <v>-5.9231739800925665E-3</v>
      </c>
      <c r="N1114" s="14">
        <f t="shared" si="55"/>
        <v>-1.8351843592574579E-2</v>
      </c>
      <c r="O1114" s="14">
        <f t="shared" si="56"/>
        <v>4.4174814465780532E-3</v>
      </c>
      <c r="P1114" s="14">
        <f t="array" ref="P1114">MMULT(M1114:O1114,$I$9:$I$11)</f>
        <v>-1.7292821225448518E-3</v>
      </c>
    </row>
    <row r="1115" spans="2:16" x14ac:dyDescent="0.25">
      <c r="B1115" s="9">
        <v>36851</v>
      </c>
      <c r="C1115" s="10">
        <v>5.6641999999999998E-2</v>
      </c>
      <c r="D1115" s="11">
        <v>1347.35</v>
      </c>
      <c r="E1115" s="11">
        <v>1.1825922421948911</v>
      </c>
      <c r="L1115" s="9">
        <v>36851</v>
      </c>
      <c r="M1115" s="14">
        <f t="shared" si="54"/>
        <v>-1.4808024539012532E-3</v>
      </c>
      <c r="N1115" s="14">
        <f t="shared" si="55"/>
        <v>3.5304369846791417E-3</v>
      </c>
      <c r="O1115" s="14">
        <f t="shared" si="56"/>
        <v>3.90255439924303E-3</v>
      </c>
      <c r="P1115" s="14">
        <f t="array" ref="P1115">MMULT(M1115:O1115,$I$9:$I$11)</f>
        <v>3.8020982915918638E-3</v>
      </c>
    </row>
    <row r="1116" spans="2:16" x14ac:dyDescent="0.25">
      <c r="B1116" s="9">
        <v>36852</v>
      </c>
      <c r="C1116" s="10">
        <v>5.6326999999999995E-2</v>
      </c>
      <c r="D1116" s="11">
        <v>1322.35</v>
      </c>
      <c r="E1116" s="11">
        <v>1.1858879335902757</v>
      </c>
      <c r="L1116" s="9">
        <v>36852</v>
      </c>
      <c r="M1116" s="14">
        <f t="shared" si="54"/>
        <v>-5.5612443063451922E-3</v>
      </c>
      <c r="N1116" s="14">
        <f t="shared" si="55"/>
        <v>-1.8554941180836448E-2</v>
      </c>
      <c r="O1116" s="14">
        <f t="shared" si="56"/>
        <v>2.7868366439371961E-3</v>
      </c>
      <c r="P1116" s="14">
        <f t="array" ref="P1116">MMULT(M1116:O1116,$I$9:$I$11)</f>
        <v>-2.9745490013579666E-3</v>
      </c>
    </row>
    <row r="1117" spans="2:16" x14ac:dyDescent="0.25">
      <c r="B1117" s="9">
        <v>36853</v>
      </c>
      <c r="C1117" s="10">
        <v>5.6326999999999995E-2</v>
      </c>
      <c r="D1117" s="11">
        <v>1322.36</v>
      </c>
      <c r="E1117" s="11">
        <v>1.187507421921387</v>
      </c>
      <c r="L1117" s="9">
        <v>36853</v>
      </c>
      <c r="M1117" s="14">
        <f t="shared" si="54"/>
        <v>0</v>
      </c>
      <c r="N1117" s="14">
        <f t="shared" si="55"/>
        <v>7.5622944000208747E-6</v>
      </c>
      <c r="O1117" s="14">
        <f t="shared" si="56"/>
        <v>1.3656335352096871E-3</v>
      </c>
      <c r="P1117" s="14">
        <f t="array" ref="P1117">MMULT(M1117:O1117,$I$9:$I$11)</f>
        <v>9.9901121272414272E-4</v>
      </c>
    </row>
    <row r="1118" spans="2:16" x14ac:dyDescent="0.25">
      <c r="B1118" s="9">
        <v>36854</v>
      </c>
      <c r="C1118" s="10">
        <v>5.6368000000000001E-2</v>
      </c>
      <c r="D1118" s="11">
        <v>1341.77</v>
      </c>
      <c r="E1118" s="11">
        <v>1.1907597046915932</v>
      </c>
      <c r="L1118" s="9">
        <v>36854</v>
      </c>
      <c r="M1118" s="14">
        <f t="shared" si="54"/>
        <v>7.2789248495408465E-4</v>
      </c>
      <c r="N1118" s="14">
        <f t="shared" si="55"/>
        <v>1.4678302428990708E-2</v>
      </c>
      <c r="O1118" s="14">
        <f t="shared" si="56"/>
        <v>2.7387473207907131E-3</v>
      </c>
      <c r="P1118" s="14">
        <f t="array" ref="P1118">MMULT(M1118:O1118,$I$9:$I$11)</f>
        <v>5.9619268504615772E-3</v>
      </c>
    </row>
    <row r="1119" spans="2:16" x14ac:dyDescent="0.25">
      <c r="B1119" s="9">
        <v>36857</v>
      </c>
      <c r="C1119" s="10">
        <v>5.6262999999999994E-2</v>
      </c>
      <c r="D1119" s="11">
        <v>1348.97</v>
      </c>
      <c r="E1119" s="11">
        <v>1.1779950524207798</v>
      </c>
      <c r="L1119" s="9">
        <v>36857</v>
      </c>
      <c r="M1119" s="14">
        <f t="shared" si="54"/>
        <v>-1.8627590122056725E-3</v>
      </c>
      <c r="N1119" s="14">
        <f t="shared" si="55"/>
        <v>5.3660463417724014E-3</v>
      </c>
      <c r="O1119" s="14">
        <f t="shared" si="56"/>
        <v>-1.0719754977029039E-2</v>
      </c>
      <c r="P1119" s="14">
        <f t="array" ref="P1119">MMULT(M1119:O1119,$I$9:$I$11)</f>
        <v>-6.3772627267520594E-3</v>
      </c>
    </row>
    <row r="1120" spans="2:16" x14ac:dyDescent="0.25">
      <c r="B1120" s="9">
        <v>36858</v>
      </c>
      <c r="C1120" s="10">
        <v>5.5906999999999998E-2</v>
      </c>
      <c r="D1120" s="11">
        <v>1336.09</v>
      </c>
      <c r="E1120" s="11">
        <v>1.1696590443885608</v>
      </c>
      <c r="L1120" s="9">
        <v>36858</v>
      </c>
      <c r="M1120" s="14">
        <f t="shared" si="54"/>
        <v>-6.3274265503082683E-3</v>
      </c>
      <c r="N1120" s="14">
        <f t="shared" si="55"/>
        <v>-9.5480255305900874E-3</v>
      </c>
      <c r="O1120" s="14">
        <f t="shared" si="56"/>
        <v>-7.0764372185506685E-3</v>
      </c>
      <c r="P1120" s="14">
        <f t="array" ref="P1120">MMULT(M1120:O1120,$I$9:$I$11)</f>
        <v>-7.7436624862382373E-3</v>
      </c>
    </row>
    <row r="1121" spans="2:16" x14ac:dyDescent="0.25">
      <c r="B1121" s="9">
        <v>36859</v>
      </c>
      <c r="C1121" s="10">
        <v>5.5301999999999997E-2</v>
      </c>
      <c r="D1121" s="11">
        <v>1341.94</v>
      </c>
      <c r="E1121" s="11">
        <v>1.1627230974943317</v>
      </c>
      <c r="L1121" s="9">
        <v>36859</v>
      </c>
      <c r="M1121" s="14">
        <f t="shared" si="54"/>
        <v>-1.0821542919491334E-2</v>
      </c>
      <c r="N1121" s="14">
        <f t="shared" si="55"/>
        <v>4.3784475596704286E-3</v>
      </c>
      <c r="O1121" s="14">
        <f t="shared" si="56"/>
        <v>-5.929887797221256E-3</v>
      </c>
      <c r="P1121" s="14">
        <f t="array" ref="P1121">MMULT(M1121:O1121,$I$9:$I$11)</f>
        <v>-3.1470692410678043E-3</v>
      </c>
    </row>
    <row r="1122" spans="2:16" x14ac:dyDescent="0.25">
      <c r="B1122" s="9">
        <v>36860</v>
      </c>
      <c r="C1122" s="10">
        <v>5.4782000000000004E-2</v>
      </c>
      <c r="D1122" s="11">
        <v>1314.95</v>
      </c>
      <c r="E1122" s="11">
        <v>1.1487650775416427</v>
      </c>
      <c r="L1122" s="9">
        <v>36860</v>
      </c>
      <c r="M1122" s="14">
        <f t="shared" si="54"/>
        <v>-9.4029149036199966E-3</v>
      </c>
      <c r="N1122" s="14">
        <f t="shared" si="55"/>
        <v>-2.0112672697736089E-2</v>
      </c>
      <c r="O1122" s="14">
        <f t="shared" si="56"/>
        <v>-1.2004595060310153E-2</v>
      </c>
      <c r="P1122" s="14">
        <f t="array" ref="P1122">MMULT(M1122:O1122,$I$9:$I$11)</f>
        <v>-1.4193436238151436E-2</v>
      </c>
    </row>
    <row r="1123" spans="2:16" x14ac:dyDescent="0.25">
      <c r="B1123" s="9">
        <v>36861</v>
      </c>
      <c r="C1123" s="10">
        <v>5.5175000000000002E-2</v>
      </c>
      <c r="D1123" s="11">
        <v>1315.17</v>
      </c>
      <c r="E1123" s="11">
        <v>1.1455409817286213</v>
      </c>
      <c r="L1123" s="9">
        <v>36861</v>
      </c>
      <c r="M1123" s="14">
        <f t="shared" si="54"/>
        <v>7.1738892336898896E-3</v>
      </c>
      <c r="N1123" s="14">
        <f t="shared" si="55"/>
        <v>1.6730674170117865E-4</v>
      </c>
      <c r="O1123" s="14">
        <f t="shared" si="56"/>
        <v>-2.8065754052351011E-3</v>
      </c>
      <c r="P1123" s="14">
        <f t="array" ref="P1123">MMULT(M1123:O1123,$I$9:$I$11)</f>
        <v>-2.003751851694525E-3</v>
      </c>
    </row>
    <row r="1124" spans="2:16" x14ac:dyDescent="0.25">
      <c r="B1124" s="9">
        <v>36864</v>
      </c>
      <c r="C1124" s="10">
        <v>5.5445000000000001E-2</v>
      </c>
      <c r="D1124" s="11">
        <v>1324.97</v>
      </c>
      <c r="E1124" s="11">
        <v>1.1244167088322934</v>
      </c>
      <c r="L1124" s="9">
        <v>36864</v>
      </c>
      <c r="M1124" s="14">
        <f t="shared" si="54"/>
        <v>4.8935206162210587E-3</v>
      </c>
      <c r="N1124" s="14">
        <f t="shared" si="55"/>
        <v>7.4515081700463615E-3</v>
      </c>
      <c r="O1124" s="14">
        <f t="shared" si="56"/>
        <v>-1.8440434024849406E-2</v>
      </c>
      <c r="P1124" s="14">
        <f t="array" ref="P1124">MMULT(M1124:O1124,$I$9:$I$11)</f>
        <v>-1.1450694682828739E-2</v>
      </c>
    </row>
    <row r="1125" spans="2:16" x14ac:dyDescent="0.25">
      <c r="B1125" s="9">
        <v>36865</v>
      </c>
      <c r="C1125" s="10">
        <v>5.4282999999999998E-2</v>
      </c>
      <c r="D1125" s="11">
        <v>1376.54</v>
      </c>
      <c r="E1125" s="11">
        <v>1.1300073450477428</v>
      </c>
      <c r="L1125" s="9">
        <v>36865</v>
      </c>
      <c r="M1125" s="14">
        <f t="shared" si="54"/>
        <v>-2.0957705834610985E-2</v>
      </c>
      <c r="N1125" s="14">
        <f t="shared" si="55"/>
        <v>3.8921635961568946E-2</v>
      </c>
      <c r="O1125" s="14">
        <f t="shared" si="56"/>
        <v>4.9720323182098625E-3</v>
      </c>
      <c r="P1125" s="14">
        <f t="array" ref="P1125">MMULT(M1125:O1125,$I$9:$I$11)</f>
        <v>1.4137002579837254E-2</v>
      </c>
    </row>
    <row r="1126" spans="2:16" x14ac:dyDescent="0.25">
      <c r="B1126" s="9">
        <v>36866</v>
      </c>
      <c r="C1126" s="10">
        <v>5.3235000000000005E-2</v>
      </c>
      <c r="D1126" s="11">
        <v>1351.45</v>
      </c>
      <c r="E1126" s="11">
        <v>1.1305183426601098</v>
      </c>
      <c r="L1126" s="9">
        <v>36866</v>
      </c>
      <c r="M1126" s="14">
        <f t="shared" si="54"/>
        <v>-1.9306228469318065E-2</v>
      </c>
      <c r="N1126" s="14">
        <f t="shared" si="55"/>
        <v>-1.8226858645589594E-2</v>
      </c>
      <c r="O1126" s="14">
        <f t="shared" si="56"/>
        <v>4.5220733706408112E-4</v>
      </c>
      <c r="P1126" s="14">
        <f t="array" ref="P1126">MMULT(M1126:O1126,$I$9:$I$11)</f>
        <v>-4.590357696813244E-3</v>
      </c>
    </row>
    <row r="1127" spans="2:16" x14ac:dyDescent="0.25">
      <c r="B1127" s="9">
        <v>36867</v>
      </c>
      <c r="C1127" s="10">
        <v>5.3090999999999999E-2</v>
      </c>
      <c r="D1127" s="11">
        <v>1343.54</v>
      </c>
      <c r="E1127" s="11">
        <v>1.1239112110143299</v>
      </c>
      <c r="L1127" s="9">
        <v>36867</v>
      </c>
      <c r="M1127" s="14">
        <f t="shared" si="54"/>
        <v>-2.7049873203720542E-3</v>
      </c>
      <c r="N1127" s="14">
        <f t="shared" si="55"/>
        <v>-5.852972732990569E-3</v>
      </c>
      <c r="O1127" s="14">
        <f t="shared" si="56"/>
        <v>-5.8443382972745983E-3</v>
      </c>
      <c r="P1127" s="14">
        <f t="array" ref="P1127">MMULT(M1127:O1127,$I$9:$I$11)</f>
        <v>-5.8466692330756201E-3</v>
      </c>
    </row>
    <row r="1128" spans="2:16" x14ac:dyDescent="0.25">
      <c r="B1128" s="9">
        <v>36868</v>
      </c>
      <c r="C1128" s="10">
        <v>5.2986000000000005E-2</v>
      </c>
      <c r="D1128" s="11">
        <v>1369.08</v>
      </c>
      <c r="E1128" s="11">
        <v>1.1260627216935983</v>
      </c>
      <c r="L1128" s="9">
        <v>36868</v>
      </c>
      <c r="M1128" s="14">
        <f t="shared" si="54"/>
        <v>-1.9777363394924974E-3</v>
      </c>
      <c r="N1128" s="14">
        <f t="shared" si="55"/>
        <v>1.9009482412135181E-2</v>
      </c>
      <c r="O1128" s="14">
        <f t="shared" si="56"/>
        <v>1.914306626879192E-3</v>
      </c>
      <c r="P1128" s="14">
        <f t="array" ref="P1128">MMULT(M1128:O1128,$I$9:$I$11)</f>
        <v>6.5292876833608791E-3</v>
      </c>
    </row>
    <row r="1129" spans="2:16" x14ac:dyDescent="0.25">
      <c r="B1129" s="9">
        <v>36871</v>
      </c>
      <c r="C1129" s="10">
        <v>5.3620000000000001E-2</v>
      </c>
      <c r="D1129" s="11">
        <v>1380.19</v>
      </c>
      <c r="E1129" s="11">
        <v>1.1390818999886092</v>
      </c>
      <c r="L1129" s="9">
        <v>36871</v>
      </c>
      <c r="M1129" s="14">
        <f t="shared" si="54"/>
        <v>1.1965424829200044E-2</v>
      </c>
      <c r="N1129" s="14">
        <f t="shared" si="55"/>
        <v>8.114938498845925E-3</v>
      </c>
      <c r="O1129" s="14">
        <f t="shared" si="56"/>
        <v>1.156168128488444E-2</v>
      </c>
      <c r="P1129" s="14">
        <f t="array" ref="P1129">MMULT(M1129:O1129,$I$9:$I$11)</f>
        <v>1.0631205174901903E-2</v>
      </c>
    </row>
    <row r="1130" spans="2:16" x14ac:dyDescent="0.25">
      <c r="B1130" s="9">
        <v>36872</v>
      </c>
      <c r="C1130" s="10">
        <v>5.3517000000000002E-2</v>
      </c>
      <c r="D1130" s="11">
        <v>1371.18</v>
      </c>
      <c r="E1130" s="11">
        <v>1.1400558627372741</v>
      </c>
      <c r="L1130" s="9">
        <v>36872</v>
      </c>
      <c r="M1130" s="14">
        <f t="shared" si="54"/>
        <v>-1.9209250279745849E-3</v>
      </c>
      <c r="N1130" s="14">
        <f t="shared" si="55"/>
        <v>-6.5280867126989994E-3</v>
      </c>
      <c r="O1130" s="14">
        <f t="shared" si="56"/>
        <v>8.5504189705298828E-4</v>
      </c>
      <c r="P1130" s="14">
        <f t="array" ref="P1130">MMULT(M1130:O1130,$I$9:$I$11)</f>
        <v>-1.1380934236706634E-3</v>
      </c>
    </row>
    <row r="1131" spans="2:16" x14ac:dyDescent="0.25">
      <c r="B1131" s="9">
        <v>36873</v>
      </c>
      <c r="C1131" s="10">
        <v>5.2595999999999997E-2</v>
      </c>
      <c r="D1131" s="11">
        <v>1359.98</v>
      </c>
      <c r="E1131" s="11">
        <v>1.1421392267717434</v>
      </c>
      <c r="L1131" s="9">
        <v>36873</v>
      </c>
      <c r="M1131" s="14">
        <f t="shared" si="54"/>
        <v>-1.7209484836594124E-2</v>
      </c>
      <c r="N1131" s="14">
        <f t="shared" si="55"/>
        <v>-8.1681471433364683E-3</v>
      </c>
      <c r="O1131" s="14">
        <f t="shared" si="56"/>
        <v>1.8274227628347628E-3</v>
      </c>
      <c r="P1131" s="14">
        <f t="array" ref="P1131">MMULT(M1131:O1131,$I$9:$I$11)</f>
        <v>-8.7096222864942456E-4</v>
      </c>
    </row>
    <row r="1132" spans="2:16" x14ac:dyDescent="0.25">
      <c r="B1132" s="9">
        <v>36874</v>
      </c>
      <c r="C1132" s="10">
        <v>5.2167999999999999E-2</v>
      </c>
      <c r="D1132" s="11">
        <v>1340.93</v>
      </c>
      <c r="E1132" s="11">
        <v>1.1268875366238449</v>
      </c>
      <c r="L1132" s="9">
        <v>36874</v>
      </c>
      <c r="M1132" s="14">
        <f t="shared" si="54"/>
        <v>-8.1375009506425844E-3</v>
      </c>
      <c r="N1132" s="14">
        <f t="shared" si="55"/>
        <v>-1.400755893469019E-2</v>
      </c>
      <c r="O1132" s="14">
        <f t="shared" si="56"/>
        <v>-1.3353617308992538E-2</v>
      </c>
      <c r="P1132" s="14">
        <f t="array" ref="P1132">MMULT(M1132:O1132,$I$9:$I$11)</f>
        <v>-1.3530154143275481E-2</v>
      </c>
    </row>
    <row r="1133" spans="2:16" x14ac:dyDescent="0.25">
      <c r="B1133" s="9">
        <v>36875</v>
      </c>
      <c r="C1133" s="10">
        <v>5.1801000000000007E-2</v>
      </c>
      <c r="D1133" s="11">
        <v>1312.15</v>
      </c>
      <c r="E1133" s="11">
        <v>1.1142682043567886</v>
      </c>
      <c r="L1133" s="9">
        <v>36875</v>
      </c>
      <c r="M1133" s="14">
        <f t="shared" si="54"/>
        <v>-7.0349639625822968E-3</v>
      </c>
      <c r="N1133" s="14">
        <f t="shared" si="55"/>
        <v>-2.1462716174595275E-2</v>
      </c>
      <c r="O1133" s="14">
        <f t="shared" si="56"/>
        <v>-1.1198395453785759E-2</v>
      </c>
      <c r="P1133" s="14">
        <f t="array" ref="P1133">MMULT(M1133:O1133,$I$9:$I$11)</f>
        <v>-1.3969331902713244E-2</v>
      </c>
    </row>
    <row r="1134" spans="2:16" x14ac:dyDescent="0.25">
      <c r="B1134" s="9">
        <v>36878</v>
      </c>
      <c r="C1134" s="10">
        <v>5.1739E-2</v>
      </c>
      <c r="D1134" s="11">
        <v>1322.74</v>
      </c>
      <c r="E1134" s="11">
        <v>1.1163829193413339</v>
      </c>
      <c r="L1134" s="9">
        <v>36878</v>
      </c>
      <c r="M1134" s="14">
        <f t="shared" si="54"/>
        <v>-1.1968880909636326E-3</v>
      </c>
      <c r="N1134" s="14">
        <f t="shared" si="55"/>
        <v>8.0707236215371569E-3</v>
      </c>
      <c r="O1134" s="14">
        <f t="shared" si="56"/>
        <v>1.8978509628801987E-3</v>
      </c>
      <c r="P1134" s="14">
        <f t="array" ref="P1134">MMULT(M1134:O1134,$I$9:$I$11)</f>
        <v>3.5642678948631552E-3</v>
      </c>
    </row>
    <row r="1135" spans="2:16" x14ac:dyDescent="0.25">
      <c r="B1135" s="9">
        <v>36879</v>
      </c>
      <c r="C1135" s="10">
        <v>5.1920000000000001E-2</v>
      </c>
      <c r="D1135" s="11">
        <v>1305.5999999999999</v>
      </c>
      <c r="E1135" s="11">
        <v>1.1222714774704001</v>
      </c>
      <c r="L1135" s="9">
        <v>36879</v>
      </c>
      <c r="M1135" s="14">
        <f t="shared" si="54"/>
        <v>3.4983281470457595E-3</v>
      </c>
      <c r="N1135" s="14">
        <f t="shared" si="55"/>
        <v>-1.2957950920059913E-2</v>
      </c>
      <c r="O1135" s="14">
        <f t="shared" si="56"/>
        <v>5.2746759441111291E-3</v>
      </c>
      <c r="P1135" s="14">
        <f t="array" ref="P1135">MMULT(M1135:O1135,$I$9:$I$11)</f>
        <v>3.5263076335205435E-4</v>
      </c>
    </row>
    <row r="1136" spans="2:16" x14ac:dyDescent="0.25">
      <c r="B1136" s="9">
        <v>36880</v>
      </c>
      <c r="C1136" s="10">
        <v>5.0429000000000002E-2</v>
      </c>
      <c r="D1136" s="11">
        <v>1264.74</v>
      </c>
      <c r="E1136" s="11">
        <v>1.1027790030877811</v>
      </c>
      <c r="L1136" s="9">
        <v>36880</v>
      </c>
      <c r="M1136" s="14">
        <f t="shared" si="54"/>
        <v>-2.871725731895225E-2</v>
      </c>
      <c r="N1136" s="14">
        <f t="shared" si="55"/>
        <v>-3.1295955882352899E-2</v>
      </c>
      <c r="O1136" s="14">
        <f t="shared" si="56"/>
        <v>-1.7368769298632736E-2</v>
      </c>
      <c r="P1136" s="14">
        <f t="array" ref="P1136">MMULT(M1136:O1136,$I$9:$I$11)</f>
        <v>-2.1128526031253661E-2</v>
      </c>
    </row>
    <row r="1137" spans="2:16" x14ac:dyDescent="0.25">
      <c r="B1137" s="9">
        <v>36881</v>
      </c>
      <c r="C1137" s="10">
        <v>5.0408000000000001E-2</v>
      </c>
      <c r="D1137" s="11">
        <v>1274.8599999999999</v>
      </c>
      <c r="E1137" s="11">
        <v>1.0940320551392155</v>
      </c>
      <c r="L1137" s="9">
        <v>36881</v>
      </c>
      <c r="M1137" s="14">
        <f t="shared" si="54"/>
        <v>-4.1642705586075746E-4</v>
      </c>
      <c r="N1137" s="14">
        <f t="shared" si="55"/>
        <v>8.0016446067965319E-3</v>
      </c>
      <c r="O1137" s="14">
        <f t="shared" si="56"/>
        <v>-7.9317323997593059E-3</v>
      </c>
      <c r="P1137" s="14">
        <f t="array" ref="P1137">MMULT(M1137:O1137,$I$9:$I$11)</f>
        <v>-3.6303883261607681E-3</v>
      </c>
    </row>
    <row r="1138" spans="2:16" x14ac:dyDescent="0.25">
      <c r="B1138" s="9">
        <v>36882</v>
      </c>
      <c r="C1138" s="10">
        <v>5.0141999999999999E-2</v>
      </c>
      <c r="D1138" s="11">
        <v>1305.97</v>
      </c>
      <c r="E1138" s="11">
        <v>1.0828956630028697</v>
      </c>
      <c r="L1138" s="9">
        <v>36882</v>
      </c>
      <c r="M1138" s="14">
        <f t="shared" si="54"/>
        <v>-5.2769401682273287E-3</v>
      </c>
      <c r="N1138" s="14">
        <f t="shared" si="55"/>
        <v>2.4402679509907044E-2</v>
      </c>
      <c r="O1138" s="14">
        <f t="shared" si="56"/>
        <v>-1.0179219232226977E-2</v>
      </c>
      <c r="P1138" s="14">
        <f t="array" ref="P1138">MMULT(M1138:O1138,$I$9:$I$11)</f>
        <v>-8.4355579144729676E-4</v>
      </c>
    </row>
    <row r="1139" spans="2:16" x14ac:dyDescent="0.25">
      <c r="B1139" s="9">
        <v>36885</v>
      </c>
      <c r="C1139" s="10">
        <v>5.0141999999999999E-2</v>
      </c>
      <c r="D1139" s="11">
        <v>1305.97</v>
      </c>
      <c r="E1139" s="11">
        <v>1.0828956630028697</v>
      </c>
      <c r="L1139" s="9">
        <v>36885</v>
      </c>
      <c r="M1139" s="14">
        <f t="shared" si="54"/>
        <v>0</v>
      </c>
      <c r="N1139" s="14">
        <f t="shared" si="55"/>
        <v>0</v>
      </c>
      <c r="O1139" s="14">
        <f t="shared" si="56"/>
        <v>0</v>
      </c>
      <c r="P1139" s="14">
        <f t="array" ref="P1139">MMULT(M1139:O1139,$I$9:$I$11)</f>
        <v>0</v>
      </c>
    </row>
    <row r="1140" spans="2:16" x14ac:dyDescent="0.25">
      <c r="B1140" s="9">
        <v>36886</v>
      </c>
      <c r="C1140" s="10">
        <v>5.0560999999999995E-2</v>
      </c>
      <c r="D1140" s="11">
        <v>1315.19</v>
      </c>
      <c r="E1140" s="11">
        <v>1.0766000968940088</v>
      </c>
      <c r="L1140" s="9">
        <v>36886</v>
      </c>
      <c r="M1140" s="14">
        <f t="shared" si="54"/>
        <v>8.3562681983166964E-3</v>
      </c>
      <c r="N1140" s="14">
        <f t="shared" si="55"/>
        <v>7.0598865211299877E-3</v>
      </c>
      <c r="O1140" s="14">
        <f t="shared" si="56"/>
        <v>-5.8136405232275257E-3</v>
      </c>
      <c r="P1140" s="14">
        <f t="array" ref="P1140">MMULT(M1140:O1140,$I$9:$I$11)</f>
        <v>-2.3383277106471092E-3</v>
      </c>
    </row>
    <row r="1141" spans="2:16" x14ac:dyDescent="0.25">
      <c r="B1141" s="9">
        <v>36887</v>
      </c>
      <c r="C1141" s="10">
        <v>5.1082000000000002E-2</v>
      </c>
      <c r="D1141" s="11">
        <v>1328.92</v>
      </c>
      <c r="E1141" s="11">
        <v>1.0746332813927248</v>
      </c>
      <c r="L1141" s="9">
        <v>36887</v>
      </c>
      <c r="M1141" s="14">
        <f t="shared" si="54"/>
        <v>1.0304384802515942E-2</v>
      </c>
      <c r="N1141" s="14">
        <f t="shared" si="55"/>
        <v>1.0439556261832905E-2</v>
      </c>
      <c r="O1141" s="14">
        <f t="shared" si="56"/>
        <v>-1.8268765783676644E-3</v>
      </c>
      <c r="P1141" s="14">
        <f t="array" ref="P1141">MMULT(M1141:O1141,$I$9:$I$11)</f>
        <v>1.4845462405163711E-3</v>
      </c>
    </row>
    <row r="1142" spans="2:16" x14ac:dyDescent="0.25">
      <c r="B1142" s="9">
        <v>36888</v>
      </c>
      <c r="C1142" s="10">
        <v>5.1242000000000003E-2</v>
      </c>
      <c r="D1142" s="11">
        <v>1334.22</v>
      </c>
      <c r="E1142" s="11">
        <v>1.0802635843145727</v>
      </c>
      <c r="L1142" s="9">
        <v>36888</v>
      </c>
      <c r="M1142" s="14">
        <f t="shared" si="54"/>
        <v>3.1322187854820882E-3</v>
      </c>
      <c r="N1142" s="14">
        <f t="shared" si="55"/>
        <v>3.9882009451284173E-3</v>
      </c>
      <c r="O1142" s="14">
        <f t="shared" si="56"/>
        <v>5.2392783839254609E-3</v>
      </c>
      <c r="P1142" s="14">
        <f t="array" ref="P1142">MMULT(M1142:O1142,$I$9:$I$11)</f>
        <v>4.9015399042065446E-3</v>
      </c>
    </row>
    <row r="1143" spans="2:16" x14ac:dyDescent="0.25">
      <c r="B1143" s="9">
        <v>36889</v>
      </c>
      <c r="C1143" s="10">
        <v>5.1116000000000002E-2</v>
      </c>
      <c r="D1143" s="11">
        <v>1320.28</v>
      </c>
      <c r="E1143" s="11">
        <v>1.065132875326197</v>
      </c>
      <c r="L1143" s="9">
        <v>36889</v>
      </c>
      <c r="M1143" s="14">
        <f t="shared" si="54"/>
        <v>-2.4589204168455892E-3</v>
      </c>
      <c r="N1143" s="14">
        <f t="shared" si="55"/>
        <v>-1.04480520453899E-2</v>
      </c>
      <c r="O1143" s="14">
        <f t="shared" si="56"/>
        <v>-1.4006497310539379E-2</v>
      </c>
      <c r="P1143" s="14">
        <f t="array" ref="P1143">MMULT(M1143:O1143,$I$9:$I$11)</f>
        <v>-1.3045866212299643E-2</v>
      </c>
    </row>
    <row r="1144" spans="2:16" x14ac:dyDescent="0.25">
      <c r="B1144" s="9">
        <v>36892</v>
      </c>
      <c r="C1144" s="10">
        <v>5.1116000000000002E-2</v>
      </c>
      <c r="D1144" s="11">
        <v>1320.28</v>
      </c>
      <c r="E1144" s="11">
        <v>1.065132875326197</v>
      </c>
      <c r="L1144" s="9">
        <v>36892</v>
      </c>
      <c r="M1144" s="14">
        <f t="shared" si="54"/>
        <v>0</v>
      </c>
      <c r="N1144" s="14">
        <f t="shared" si="55"/>
        <v>0</v>
      </c>
      <c r="O1144" s="14">
        <f t="shared" si="56"/>
        <v>0</v>
      </c>
      <c r="P1144" s="14">
        <f t="array" ref="P1144">MMULT(M1144:O1144,$I$9:$I$11)</f>
        <v>0</v>
      </c>
    </row>
    <row r="1145" spans="2:16" x14ac:dyDescent="0.25">
      <c r="B1145" s="9">
        <v>36893</v>
      </c>
      <c r="C1145" s="10">
        <v>4.9215000000000002E-2</v>
      </c>
      <c r="D1145" s="11">
        <v>1283.27</v>
      </c>
      <c r="E1145" s="11">
        <v>1.055464668320228</v>
      </c>
      <c r="L1145" s="9">
        <v>36893</v>
      </c>
      <c r="M1145" s="14">
        <f t="shared" si="54"/>
        <v>-3.7189920964081691E-2</v>
      </c>
      <c r="N1145" s="14">
        <f t="shared" si="55"/>
        <v>-2.8031932620353306E-2</v>
      </c>
      <c r="O1145" s="14">
        <f t="shared" si="56"/>
        <v>-9.0769961475540839E-3</v>
      </c>
      <c r="P1145" s="14">
        <f t="array" ref="P1145">MMULT(M1145:O1145,$I$9:$I$11)</f>
        <v>-1.4194034652898257E-2</v>
      </c>
    </row>
    <row r="1146" spans="2:16" x14ac:dyDescent="0.25">
      <c r="B1146" s="9">
        <v>36894</v>
      </c>
      <c r="C1146" s="10">
        <v>5.1539000000000001E-2</v>
      </c>
      <c r="D1146" s="11">
        <v>1347.56</v>
      </c>
      <c r="E1146" s="11">
        <v>1.0573059843518715</v>
      </c>
      <c r="L1146" s="9">
        <v>36894</v>
      </c>
      <c r="M1146" s="14">
        <f t="shared" si="54"/>
        <v>4.7221375596870896E-2</v>
      </c>
      <c r="N1146" s="14">
        <f t="shared" si="55"/>
        <v>5.0098576293375441E-2</v>
      </c>
      <c r="O1146" s="14">
        <f t="shared" si="56"/>
        <v>1.7445548741805705E-3</v>
      </c>
      <c r="P1146" s="14">
        <f t="array" ref="P1146">MMULT(M1146:O1146,$I$9:$I$11)</f>
        <v>1.4798114291028211E-2</v>
      </c>
    </row>
    <row r="1147" spans="2:16" x14ac:dyDescent="0.25">
      <c r="B1147" s="9">
        <v>36895</v>
      </c>
      <c r="C1147" s="10">
        <v>5.0428000000000001E-2</v>
      </c>
      <c r="D1147" s="11">
        <v>1333.34</v>
      </c>
      <c r="E1147" s="11">
        <v>1.0586491636671607</v>
      </c>
      <c r="L1147" s="9">
        <v>36895</v>
      </c>
      <c r="M1147" s="14">
        <f t="shared" si="54"/>
        <v>-2.1556491200838246E-2</v>
      </c>
      <c r="N1147" s="14">
        <f t="shared" si="55"/>
        <v>-1.0552405829796108E-2</v>
      </c>
      <c r="O1147" s="14">
        <f t="shared" si="56"/>
        <v>1.2703789964005896E-3</v>
      </c>
      <c r="P1147" s="14">
        <f t="array" ref="P1147">MMULT(M1147:O1147,$I$9:$I$11)</f>
        <v>-1.9212774506079701E-3</v>
      </c>
    </row>
    <row r="1148" spans="2:16" x14ac:dyDescent="0.25">
      <c r="B1148" s="9">
        <v>36896</v>
      </c>
      <c r="C1148" s="10">
        <v>4.9286000000000003E-2</v>
      </c>
      <c r="D1148" s="11">
        <v>1298.3499999999999</v>
      </c>
      <c r="E1148" s="11">
        <v>1.0508064939841328</v>
      </c>
      <c r="L1148" s="9">
        <v>36896</v>
      </c>
      <c r="M1148" s="14">
        <f t="shared" si="54"/>
        <v>-2.2646148964860724E-2</v>
      </c>
      <c r="N1148" s="14">
        <f t="shared" si="55"/>
        <v>-2.6242368788156112E-2</v>
      </c>
      <c r="O1148" s="14">
        <f t="shared" si="56"/>
        <v>-7.4081857825880615E-3</v>
      </c>
      <c r="P1148" s="14">
        <f t="array" ref="P1148">MMULT(M1148:O1148,$I$9:$I$11)</f>
        <v>-1.2492625912181284E-2</v>
      </c>
    </row>
    <row r="1149" spans="2:16" x14ac:dyDescent="0.25">
      <c r="B1149" s="9">
        <v>36899</v>
      </c>
      <c r="C1149" s="10">
        <v>4.9562999999999996E-2</v>
      </c>
      <c r="D1149" s="11">
        <v>1295.8599999999999</v>
      </c>
      <c r="E1149" s="11">
        <v>1.0527978101805548</v>
      </c>
      <c r="L1149" s="9">
        <v>36899</v>
      </c>
      <c r="M1149" s="14">
        <f t="shared" si="54"/>
        <v>5.6202572738708323E-3</v>
      </c>
      <c r="N1149" s="14">
        <f t="shared" si="55"/>
        <v>-1.9178187699773197E-3</v>
      </c>
      <c r="O1149" s="14">
        <f t="shared" si="56"/>
        <v>1.8950360583249726E-3</v>
      </c>
      <c r="P1149" s="14">
        <f t="array" ref="P1149">MMULT(M1149:O1149,$I$9:$I$11)</f>
        <v>8.6572503954586238E-4</v>
      </c>
    </row>
    <row r="1150" spans="2:16" x14ac:dyDescent="0.25">
      <c r="B1150" s="9">
        <v>36900</v>
      </c>
      <c r="C1150" s="10">
        <v>4.9961000000000005E-2</v>
      </c>
      <c r="D1150" s="11">
        <v>1300.8</v>
      </c>
      <c r="E1150" s="11">
        <v>1.06315118009781</v>
      </c>
      <c r="L1150" s="9">
        <v>36900</v>
      </c>
      <c r="M1150" s="14">
        <f t="shared" si="54"/>
        <v>8.0301838064686937E-3</v>
      </c>
      <c r="N1150" s="14">
        <f t="shared" si="55"/>
        <v>3.8121402003303828E-3</v>
      </c>
      <c r="O1150" s="14">
        <f t="shared" si="56"/>
        <v>9.8341484159047976E-3</v>
      </c>
      <c r="P1150" s="14">
        <f t="array" ref="P1150">MMULT(M1150:O1150,$I$9:$I$11)</f>
        <v>8.2084585612955101E-3</v>
      </c>
    </row>
    <row r="1151" spans="2:16" x14ac:dyDescent="0.25">
      <c r="B1151" s="9">
        <v>36901</v>
      </c>
      <c r="C1151" s="10">
        <v>5.1003999999999994E-2</v>
      </c>
      <c r="D1151" s="11">
        <v>1313.27</v>
      </c>
      <c r="E1151" s="11">
        <v>1.0629816635663034</v>
      </c>
      <c r="L1151" s="9">
        <v>36901</v>
      </c>
      <c r="M1151" s="14">
        <f t="shared" si="54"/>
        <v>2.0876283501130688E-2</v>
      </c>
      <c r="N1151" s="14">
        <f t="shared" si="55"/>
        <v>9.5864083640837539E-3</v>
      </c>
      <c r="O1151" s="14">
        <f t="shared" si="56"/>
        <v>-1.5944724953509404E-4</v>
      </c>
      <c r="P1151" s="14">
        <f t="array" ref="P1151">MMULT(M1151:O1151,$I$9:$I$11)</f>
        <v>2.4715253477076778E-3</v>
      </c>
    </row>
    <row r="1152" spans="2:16" x14ac:dyDescent="0.25">
      <c r="B1152" s="9">
        <v>36902</v>
      </c>
      <c r="C1152" s="10">
        <v>5.1124000000000003E-2</v>
      </c>
      <c r="D1152" s="11">
        <v>1326.86</v>
      </c>
      <c r="E1152" s="11">
        <v>1.0527423939362039</v>
      </c>
      <c r="L1152" s="9">
        <v>36902</v>
      </c>
      <c r="M1152" s="14">
        <f t="shared" si="54"/>
        <v>2.3527566465377792E-3</v>
      </c>
      <c r="N1152" s="14">
        <f t="shared" si="55"/>
        <v>1.0348214761625396E-2</v>
      </c>
      <c r="O1152" s="14">
        <f t="shared" si="56"/>
        <v>-9.632592904516124E-3</v>
      </c>
      <c r="P1152" s="14">
        <f t="array" ref="P1152">MMULT(M1152:O1152,$I$9:$I$11)</f>
        <v>-4.2386121680339575E-3</v>
      </c>
    </row>
    <row r="1153" spans="2:16" x14ac:dyDescent="0.25">
      <c r="B1153" s="9">
        <v>36903</v>
      </c>
      <c r="C1153" s="10">
        <v>5.2546000000000002E-2</v>
      </c>
      <c r="D1153" s="11">
        <v>1318.55</v>
      </c>
      <c r="E1153" s="11">
        <v>1.0540184453227932</v>
      </c>
      <c r="L1153" s="9">
        <v>36903</v>
      </c>
      <c r="M1153" s="14">
        <f t="shared" si="54"/>
        <v>2.7814724982395678E-2</v>
      </c>
      <c r="N1153" s="14">
        <f t="shared" si="55"/>
        <v>-6.2629064106235477E-3</v>
      </c>
      <c r="O1153" s="14">
        <f t="shared" si="56"/>
        <v>1.2121212121212199E-3</v>
      </c>
      <c r="P1153" s="14">
        <f t="array" ref="P1153">MMULT(M1153:O1153,$I$9:$I$11)</f>
        <v>-8.0582299090926511E-4</v>
      </c>
    </row>
    <row r="1154" spans="2:16" x14ac:dyDescent="0.25">
      <c r="B1154" s="9">
        <v>36906</v>
      </c>
      <c r="C1154" s="10">
        <v>5.2546000000000002E-2</v>
      </c>
      <c r="D1154" s="11">
        <v>1318.32</v>
      </c>
      <c r="E1154" s="11">
        <v>1.0616274749190509</v>
      </c>
      <c r="L1154" s="9">
        <v>36906</v>
      </c>
      <c r="M1154" s="14">
        <f t="shared" si="54"/>
        <v>0</v>
      </c>
      <c r="N1154" s="14">
        <f t="shared" si="55"/>
        <v>-1.7443403738959251E-4</v>
      </c>
      <c r="O1154" s="14">
        <f t="shared" si="56"/>
        <v>7.2190668294493943E-3</v>
      </c>
      <c r="P1154" s="14">
        <f t="array" ref="P1154">MMULT(M1154:O1154,$I$9:$I$11)</f>
        <v>5.2231314339812205E-3</v>
      </c>
    </row>
    <row r="1155" spans="2:16" x14ac:dyDescent="0.25">
      <c r="B1155" s="9">
        <v>36907</v>
      </c>
      <c r="C1155" s="10">
        <v>5.2339999999999998E-2</v>
      </c>
      <c r="D1155" s="11">
        <v>1326.8</v>
      </c>
      <c r="E1155" s="11">
        <v>1.0628122010840686</v>
      </c>
      <c r="L1155" s="9">
        <v>36907</v>
      </c>
      <c r="M1155" s="14">
        <f t="shared" si="54"/>
        <v>-3.920374528984194E-3</v>
      </c>
      <c r="N1155" s="14">
        <f t="shared" si="55"/>
        <v>6.432429152254393E-3</v>
      </c>
      <c r="O1155" s="14">
        <f t="shared" si="56"/>
        <v>1.1159528111384098E-3</v>
      </c>
      <c r="P1155" s="14">
        <f t="array" ref="P1155">MMULT(M1155:O1155,$I$9:$I$11)</f>
        <v>2.5511786262858811E-3</v>
      </c>
    </row>
    <row r="1156" spans="2:16" x14ac:dyDescent="0.25">
      <c r="B1156" s="9">
        <v>36908</v>
      </c>
      <c r="C1156" s="10">
        <v>5.1767000000000001E-2</v>
      </c>
      <c r="D1156" s="11">
        <v>1329.62</v>
      </c>
      <c r="E1156" s="11">
        <v>1.0748065348237317</v>
      </c>
      <c r="L1156" s="9">
        <v>36908</v>
      </c>
      <c r="M1156" s="14">
        <f t="shared" si="54"/>
        <v>-1.0947649980894147E-2</v>
      </c>
      <c r="N1156" s="14">
        <f t="shared" si="55"/>
        <v>2.1254145312028516E-3</v>
      </c>
      <c r="O1156" s="14">
        <f t="shared" si="56"/>
        <v>1.1285468615648941E-2</v>
      </c>
      <c r="P1156" s="14">
        <f t="array" ref="P1156">MMULT(M1156:O1156,$I$9:$I$11)</f>
        <v>8.8126378821664665E-3</v>
      </c>
    </row>
    <row r="1157" spans="2:16" x14ac:dyDescent="0.25">
      <c r="B1157" s="9">
        <v>36909</v>
      </c>
      <c r="C1157" s="10">
        <v>5.1157000000000001E-2</v>
      </c>
      <c r="D1157" s="11">
        <v>1347.97</v>
      </c>
      <c r="E1157" s="11">
        <v>1.0587612493382743</v>
      </c>
      <c r="L1157" s="9">
        <v>36909</v>
      </c>
      <c r="M1157" s="14">
        <f t="shared" si="54"/>
        <v>-1.1783568682751544E-2</v>
      </c>
      <c r="N1157" s="14">
        <f t="shared" si="55"/>
        <v>1.3800935605661868E-2</v>
      </c>
      <c r="O1157" s="14">
        <f t="shared" si="56"/>
        <v>-1.4928533615669481E-2</v>
      </c>
      <c r="P1157" s="14">
        <f t="array" ref="P1157">MMULT(M1157:O1157,$I$9:$I$11)</f>
        <v>-7.172780888425297E-3</v>
      </c>
    </row>
    <row r="1158" spans="2:16" x14ac:dyDescent="0.25">
      <c r="B1158" s="9">
        <v>36910</v>
      </c>
      <c r="C1158" s="10">
        <v>5.1702000000000005E-2</v>
      </c>
      <c r="D1158" s="11">
        <v>1342.54</v>
      </c>
      <c r="E1158" s="11">
        <v>1.0694043417816277</v>
      </c>
      <c r="L1158" s="9">
        <v>36910</v>
      </c>
      <c r="M1158" s="14">
        <f t="shared" si="54"/>
        <v>1.0653478507340219E-2</v>
      </c>
      <c r="N1158" s="14">
        <f t="shared" si="55"/>
        <v>-4.0282795611178424E-3</v>
      </c>
      <c r="O1158" s="14">
        <f t="shared" si="56"/>
        <v>1.0052400812747164E-2</v>
      </c>
      <c r="P1158" s="14">
        <f t="array" ref="P1158">MMULT(M1158:O1158,$I$9:$I$11)</f>
        <v>6.2512071892334865E-3</v>
      </c>
    </row>
    <row r="1159" spans="2:16" x14ac:dyDescent="0.25">
      <c r="B1159" s="9">
        <v>36913</v>
      </c>
      <c r="C1159" s="10">
        <v>5.2272999999999993E-2</v>
      </c>
      <c r="D1159" s="11">
        <v>1342.9</v>
      </c>
      <c r="E1159" s="11">
        <v>1.0691185117870317</v>
      </c>
      <c r="L1159" s="9">
        <v>36913</v>
      </c>
      <c r="M1159" s="14">
        <f t="shared" si="54"/>
        <v>1.1044060191094829E-2</v>
      </c>
      <c r="N1159" s="14">
        <f t="shared" si="55"/>
        <v>2.6814843505595931E-4</v>
      </c>
      <c r="O1159" s="14">
        <f t="shared" si="56"/>
        <v>-2.6727962794670379E-4</v>
      </c>
      <c r="P1159" s="14">
        <f t="array" ref="P1159">MMULT(M1159:O1159,$I$9:$I$11)</f>
        <v>-1.2273648905736172E-4</v>
      </c>
    </row>
    <row r="1160" spans="2:16" x14ac:dyDescent="0.25">
      <c r="B1160" s="9">
        <v>36914</v>
      </c>
      <c r="C1160" s="10">
        <v>5.2908999999999998E-2</v>
      </c>
      <c r="D1160" s="11">
        <v>1360.4</v>
      </c>
      <c r="E1160" s="11">
        <v>1.0646792653713069</v>
      </c>
      <c r="L1160" s="9">
        <v>36914</v>
      </c>
      <c r="M1160" s="14">
        <f t="shared" si="54"/>
        <v>1.2166893042297344E-2</v>
      </c>
      <c r="N1160" s="14">
        <f t="shared" si="55"/>
        <v>1.3031498994712898E-2</v>
      </c>
      <c r="O1160" s="14">
        <f t="shared" si="56"/>
        <v>-4.1522491349481605E-3</v>
      </c>
      <c r="P1160" s="14">
        <f t="array" ref="P1160">MMULT(M1160:O1160,$I$9:$I$11)</f>
        <v>4.8664274273199073E-4</v>
      </c>
    </row>
    <row r="1161" spans="2:16" x14ac:dyDescent="0.25">
      <c r="B1161" s="9">
        <v>36915</v>
      </c>
      <c r="C1161" s="10">
        <v>5.3072999999999995E-2</v>
      </c>
      <c r="D1161" s="11">
        <v>1364.3</v>
      </c>
      <c r="E1161" s="11">
        <v>1.0835997182640733</v>
      </c>
      <c r="L1161" s="9">
        <v>36915</v>
      </c>
      <c r="M1161" s="14">
        <f t="shared" ref="M1161:M1224" si="57">C1161/C1160-1</f>
        <v>3.0996616832674739E-3</v>
      </c>
      <c r="N1161" s="14">
        <f t="shared" ref="N1161:N1224" si="58">D1161/D1160-1</f>
        <v>2.8668038812114105E-3</v>
      </c>
      <c r="O1161" s="14">
        <f t="shared" ref="O1161:O1224" si="59">E1161/E1160-1</f>
        <v>1.7771035379530842E-2</v>
      </c>
      <c r="P1161" s="14">
        <f t="array" ref="P1161">MMULT(M1161:O1161,$I$9:$I$11)</f>
        <v>1.3747517464875373E-2</v>
      </c>
    </row>
    <row r="1162" spans="2:16" x14ac:dyDescent="0.25">
      <c r="B1162" s="9">
        <v>36916</v>
      </c>
      <c r="C1162" s="10">
        <v>5.2496000000000001E-2</v>
      </c>
      <c r="D1162" s="11">
        <v>1357.51</v>
      </c>
      <c r="E1162" s="11">
        <v>1.0867793294571537</v>
      </c>
      <c r="L1162" s="9">
        <v>36916</v>
      </c>
      <c r="M1162" s="14">
        <f t="shared" si="57"/>
        <v>-1.0871818061914618E-2</v>
      </c>
      <c r="N1162" s="14">
        <f t="shared" si="58"/>
        <v>-4.9769112365315449E-3</v>
      </c>
      <c r="O1162" s="14">
        <f t="shared" si="59"/>
        <v>2.9343041895342203E-3</v>
      </c>
      <c r="P1162" s="14">
        <f t="array" ref="P1162">MMULT(M1162:O1162,$I$9:$I$11)</f>
        <v>7.9860755887845719E-4</v>
      </c>
    </row>
    <row r="1163" spans="2:16" x14ac:dyDescent="0.25">
      <c r="B1163" s="9">
        <v>36917</v>
      </c>
      <c r="C1163" s="10">
        <v>5.2657999999999996E-2</v>
      </c>
      <c r="D1163" s="11">
        <v>1354.95</v>
      </c>
      <c r="E1163" s="11">
        <v>1.0846575193882531</v>
      </c>
      <c r="L1163" s="9">
        <v>36917</v>
      </c>
      <c r="M1163" s="14">
        <f t="shared" si="57"/>
        <v>3.0859494056689751E-3</v>
      </c>
      <c r="N1163" s="14">
        <f t="shared" si="58"/>
        <v>-1.8858056294244196E-3</v>
      </c>
      <c r="O1163" s="14">
        <f t="shared" si="59"/>
        <v>-1.9523835348989049E-3</v>
      </c>
      <c r="P1163" s="14">
        <f t="array" ref="P1163">MMULT(M1163:O1163,$I$9:$I$11)</f>
        <v>-1.9344102904933123E-3</v>
      </c>
    </row>
    <row r="1164" spans="2:16" x14ac:dyDescent="0.25">
      <c r="B1164" s="9">
        <v>36920</v>
      </c>
      <c r="C1164" s="10">
        <v>5.3151999999999998E-2</v>
      </c>
      <c r="D1164" s="11">
        <v>1364.17</v>
      </c>
      <c r="E1164" s="11">
        <v>1.0887908977080951</v>
      </c>
      <c r="L1164" s="9">
        <v>36920</v>
      </c>
      <c r="M1164" s="14">
        <f t="shared" si="57"/>
        <v>9.3812905921226708E-3</v>
      </c>
      <c r="N1164" s="14">
        <f t="shared" si="58"/>
        <v>6.8046791394515971E-3</v>
      </c>
      <c r="O1164" s="14">
        <f t="shared" si="59"/>
        <v>3.8107681419783379E-3</v>
      </c>
      <c r="P1164" s="14">
        <f t="array" ref="P1164">MMULT(M1164:O1164,$I$9:$I$11)</f>
        <v>4.6189986458171958E-3</v>
      </c>
    </row>
    <row r="1165" spans="2:16" x14ac:dyDescent="0.25">
      <c r="B1165" s="9">
        <v>36921</v>
      </c>
      <c r="C1165" s="10">
        <v>5.2306999999999999E-2</v>
      </c>
      <c r="D1165" s="11">
        <v>1373.59</v>
      </c>
      <c r="E1165" s="11">
        <v>1.0816657652785289</v>
      </c>
      <c r="L1165" s="9">
        <v>36921</v>
      </c>
      <c r="M1165" s="14">
        <f t="shared" si="57"/>
        <v>-1.5897802528597182E-2</v>
      </c>
      <c r="N1165" s="14">
        <f t="shared" si="58"/>
        <v>6.9052977268226901E-3</v>
      </c>
      <c r="O1165" s="14">
        <f t="shared" si="59"/>
        <v>-6.5440778799351618E-3</v>
      </c>
      <c r="P1165" s="14">
        <f t="array" ref="P1165">MMULT(M1165:O1165,$I$9:$I$11)</f>
        <v>-2.9133100875251838E-3</v>
      </c>
    </row>
    <row r="1166" spans="2:16" x14ac:dyDescent="0.25">
      <c r="B1166" s="9">
        <v>36922</v>
      </c>
      <c r="C1166" s="10">
        <v>5.1121E-2</v>
      </c>
      <c r="D1166" s="11">
        <v>1365.87</v>
      </c>
      <c r="E1166" s="11">
        <v>1.0753266304640035</v>
      </c>
      <c r="L1166" s="9">
        <v>36922</v>
      </c>
      <c r="M1166" s="14">
        <f t="shared" si="57"/>
        <v>-2.2673829506567045E-2</v>
      </c>
      <c r="N1166" s="14">
        <f t="shared" si="58"/>
        <v>-5.6203088257776868E-3</v>
      </c>
      <c r="O1166" s="14">
        <f t="shared" si="59"/>
        <v>-5.8605301360287188E-3</v>
      </c>
      <c r="P1166" s="14">
        <f t="array" ref="P1166">MMULT(M1166:O1166,$I$9:$I$11)</f>
        <v>-5.7956804491873662E-3</v>
      </c>
    </row>
    <row r="1167" spans="2:16" x14ac:dyDescent="0.25">
      <c r="B1167" s="9">
        <v>36923</v>
      </c>
      <c r="C1167" s="10">
        <v>5.0876000000000005E-2</v>
      </c>
      <c r="D1167" s="11">
        <v>1373.33</v>
      </c>
      <c r="E1167" s="11">
        <v>1.0635469290082424</v>
      </c>
      <c r="L1167" s="9">
        <v>36923</v>
      </c>
      <c r="M1167" s="14">
        <f t="shared" si="57"/>
        <v>-4.7925510064356081E-3</v>
      </c>
      <c r="N1167" s="14">
        <f t="shared" si="58"/>
        <v>5.4617203687028493E-3</v>
      </c>
      <c r="O1167" s="14">
        <f t="shared" si="59"/>
        <v>-1.0954533368784936E-2</v>
      </c>
      <c r="P1167" s="14">
        <f t="array" ref="P1167">MMULT(M1167:O1167,$I$9:$I$11)</f>
        <v>-6.5228328136936065E-3</v>
      </c>
    </row>
    <row r="1168" spans="2:16" x14ac:dyDescent="0.25">
      <c r="B1168" s="9">
        <v>36924</v>
      </c>
      <c r="C1168" s="10">
        <v>5.1584999999999999E-2</v>
      </c>
      <c r="D1168" s="11">
        <v>1349.34</v>
      </c>
      <c r="E1168" s="11">
        <v>1.0714094391171587</v>
      </c>
      <c r="L1168" s="9">
        <v>36924</v>
      </c>
      <c r="M1168" s="14">
        <f t="shared" si="57"/>
        <v>1.393584401289405E-2</v>
      </c>
      <c r="N1168" s="14">
        <f t="shared" si="58"/>
        <v>-1.7468489001186915E-2</v>
      </c>
      <c r="O1168" s="14">
        <f t="shared" si="59"/>
        <v>7.3927251299084062E-3</v>
      </c>
      <c r="P1168" s="14">
        <f t="array" ref="P1168">MMULT(M1168:O1168,$I$9:$I$11)</f>
        <v>6.8123917051312721E-4</v>
      </c>
    </row>
    <row r="1169" spans="2:16" x14ac:dyDescent="0.25">
      <c r="B1169" s="9">
        <v>36927</v>
      </c>
      <c r="C1169" s="10">
        <v>5.1707000000000003E-2</v>
      </c>
      <c r="D1169" s="11">
        <v>1354.17</v>
      </c>
      <c r="E1169" s="11">
        <v>1.0638297872340425</v>
      </c>
      <c r="L1169" s="9">
        <v>36927</v>
      </c>
      <c r="M1169" s="14">
        <f t="shared" si="57"/>
        <v>2.3650285935834514E-3</v>
      </c>
      <c r="N1169" s="14">
        <f t="shared" si="58"/>
        <v>3.5795277691317295E-3</v>
      </c>
      <c r="O1169" s="14">
        <f t="shared" si="59"/>
        <v>-7.0744680851064778E-3</v>
      </c>
      <c r="P1169" s="14">
        <f t="array" ref="P1169">MMULT(M1169:O1169,$I$9:$I$11)</f>
        <v>-4.198335680223605E-3</v>
      </c>
    </row>
    <row r="1170" spans="2:16" x14ac:dyDescent="0.25">
      <c r="B1170" s="9">
        <v>36928</v>
      </c>
      <c r="C1170" s="10">
        <v>5.1848999999999999E-2</v>
      </c>
      <c r="D1170" s="11">
        <v>1352.13</v>
      </c>
      <c r="E1170" s="11">
        <v>1.0735949326319181</v>
      </c>
      <c r="L1170" s="9">
        <v>36928</v>
      </c>
      <c r="M1170" s="14">
        <f t="shared" si="57"/>
        <v>2.7462432552651794E-3</v>
      </c>
      <c r="N1170" s="14">
        <f t="shared" si="58"/>
        <v>-1.5064578302576015E-3</v>
      </c>
      <c r="O1170" s="14">
        <f t="shared" si="59"/>
        <v>9.1792366740031106E-3</v>
      </c>
      <c r="P1170" s="14">
        <f t="array" ref="P1170">MMULT(M1170:O1170,$I$9:$I$11)</f>
        <v>6.29454696200579E-3</v>
      </c>
    </row>
    <row r="1171" spans="2:16" x14ac:dyDescent="0.25">
      <c r="B1171" s="9">
        <v>36929</v>
      </c>
      <c r="C1171" s="10">
        <v>5.2135000000000001E-2</v>
      </c>
      <c r="D1171" s="11">
        <v>1340.76</v>
      </c>
      <c r="E1171" s="11">
        <v>1.0722710701265281</v>
      </c>
      <c r="L1171" s="9">
        <v>36929</v>
      </c>
      <c r="M1171" s="14">
        <f t="shared" si="57"/>
        <v>5.5160176666859684E-3</v>
      </c>
      <c r="N1171" s="14">
        <f t="shared" si="58"/>
        <v>-8.4089547602672621E-3</v>
      </c>
      <c r="O1171" s="14">
        <f t="shared" si="59"/>
        <v>-1.233111730645442E-3</v>
      </c>
      <c r="P1171" s="14">
        <f t="array" ref="P1171">MMULT(M1171:O1171,$I$9:$I$11)</f>
        <v>-3.1702886314265745E-3</v>
      </c>
    </row>
    <row r="1172" spans="2:16" x14ac:dyDescent="0.25">
      <c r="B1172" s="9">
        <v>36930</v>
      </c>
      <c r="C1172" s="10">
        <v>5.1985000000000003E-2</v>
      </c>
      <c r="D1172" s="11">
        <v>1332.39</v>
      </c>
      <c r="E1172" s="11">
        <v>1.088494611951671</v>
      </c>
      <c r="L1172" s="9">
        <v>36930</v>
      </c>
      <c r="M1172" s="14">
        <f t="shared" si="57"/>
        <v>-2.8771458712956166E-3</v>
      </c>
      <c r="N1172" s="14">
        <f t="shared" si="58"/>
        <v>-6.2427280050120215E-3</v>
      </c>
      <c r="O1172" s="14">
        <f t="shared" si="59"/>
        <v>1.5130075106128293E-2</v>
      </c>
      <c r="P1172" s="14">
        <f t="array" ref="P1172">MMULT(M1172:O1172,$I$9:$I$11)</f>
        <v>9.3603139336871852E-3</v>
      </c>
    </row>
    <row r="1173" spans="2:16" x14ac:dyDescent="0.25">
      <c r="B1173" s="9">
        <v>36931</v>
      </c>
      <c r="C1173" s="10">
        <v>5.1424999999999998E-2</v>
      </c>
      <c r="D1173" s="11">
        <v>1314.62</v>
      </c>
      <c r="E1173" s="11">
        <v>1.0818998160770312</v>
      </c>
      <c r="L1173" s="9">
        <v>36931</v>
      </c>
      <c r="M1173" s="14">
        <f t="shared" si="57"/>
        <v>-1.0772338174473539E-2</v>
      </c>
      <c r="N1173" s="14">
        <f t="shared" si="58"/>
        <v>-1.3336935882136802E-2</v>
      </c>
      <c r="O1173" s="14">
        <f t="shared" si="59"/>
        <v>-6.0586389700315602E-3</v>
      </c>
      <c r="P1173" s="14">
        <f t="array" ref="P1173">MMULT(M1173:O1173,$I$9:$I$11)</f>
        <v>-8.0234741255603148E-3</v>
      </c>
    </row>
    <row r="1174" spans="2:16" x14ac:dyDescent="0.25">
      <c r="B1174" s="9">
        <v>36934</v>
      </c>
      <c r="C1174" s="10">
        <v>5.1665000000000003E-2</v>
      </c>
      <c r="D1174" s="11">
        <v>1330.17</v>
      </c>
      <c r="E1174" s="11">
        <v>1.0756157900397978</v>
      </c>
      <c r="L1174" s="9">
        <v>36934</v>
      </c>
      <c r="M1174" s="14">
        <f t="shared" si="57"/>
        <v>4.6669907632475027E-3</v>
      </c>
      <c r="N1174" s="14">
        <f t="shared" si="58"/>
        <v>1.1828513182516653E-2</v>
      </c>
      <c r="O1174" s="14">
        <f t="shared" si="59"/>
        <v>-5.8083252662148865E-3</v>
      </c>
      <c r="P1174" s="14">
        <f t="array" ref="P1174">MMULT(M1174:O1174,$I$9:$I$11)</f>
        <v>-1.0471179899888519E-3</v>
      </c>
    </row>
    <row r="1175" spans="2:16" x14ac:dyDescent="0.25">
      <c r="B1175" s="9">
        <v>36935</v>
      </c>
      <c r="C1175" s="10">
        <v>5.1025000000000001E-2</v>
      </c>
      <c r="D1175" s="11">
        <v>1318.66</v>
      </c>
      <c r="E1175" s="11">
        <v>1.0854816824966078</v>
      </c>
      <c r="L1175" s="9">
        <v>36935</v>
      </c>
      <c r="M1175" s="14">
        <f t="shared" si="57"/>
        <v>-1.2387496370850681E-2</v>
      </c>
      <c r="N1175" s="14">
        <f t="shared" si="58"/>
        <v>-8.6530293120428148E-3</v>
      </c>
      <c r="O1175" s="14">
        <f t="shared" si="59"/>
        <v>9.1723202170963525E-3</v>
      </c>
      <c r="P1175" s="14">
        <f t="array" ref="P1175">MMULT(M1175:O1175,$I$9:$I$11)</f>
        <v>4.3602228490721151E-3</v>
      </c>
    </row>
    <row r="1176" spans="2:16" x14ac:dyDescent="0.25">
      <c r="B1176" s="9">
        <v>36936</v>
      </c>
      <c r="C1176" s="10">
        <v>5.1574999999999996E-2</v>
      </c>
      <c r="D1176" s="11">
        <v>1315.78</v>
      </c>
      <c r="E1176" s="11">
        <v>1.0887316276537833</v>
      </c>
      <c r="L1176" s="9">
        <v>36936</v>
      </c>
      <c r="M1176" s="14">
        <f t="shared" si="57"/>
        <v>1.0779029887310054E-2</v>
      </c>
      <c r="N1176" s="14">
        <f t="shared" si="58"/>
        <v>-2.1840353085709197E-3</v>
      </c>
      <c r="O1176" s="14">
        <f t="shared" si="59"/>
        <v>2.9940119760478723E-3</v>
      </c>
      <c r="P1176" s="14">
        <f t="array" ref="P1176">MMULT(M1176:O1176,$I$9:$I$11)</f>
        <v>1.5961562050243205E-3</v>
      </c>
    </row>
    <row r="1177" spans="2:16" x14ac:dyDescent="0.25">
      <c r="B1177" s="9">
        <v>36937</v>
      </c>
      <c r="C1177" s="10">
        <v>5.1718E-2</v>
      </c>
      <c r="D1177" s="11">
        <v>1326.47</v>
      </c>
      <c r="E1177" s="11">
        <v>1.1066843736166445</v>
      </c>
      <c r="L1177" s="9">
        <v>36937</v>
      </c>
      <c r="M1177" s="14">
        <f t="shared" si="57"/>
        <v>2.7726611730489736E-3</v>
      </c>
      <c r="N1177" s="14">
        <f t="shared" si="58"/>
        <v>8.1244584961011057E-3</v>
      </c>
      <c r="O1177" s="14">
        <f t="shared" si="59"/>
        <v>1.6489597166888137E-2</v>
      </c>
      <c r="P1177" s="14">
        <f t="array" ref="P1177">MMULT(M1177:O1177,$I$9:$I$11)</f>
        <v>1.4231360282666097E-2</v>
      </c>
    </row>
    <row r="1178" spans="2:16" x14ac:dyDescent="0.25">
      <c r="B1178" s="9">
        <v>36938</v>
      </c>
      <c r="C1178" s="10">
        <v>5.1108000000000001E-2</v>
      </c>
      <c r="D1178" s="11">
        <v>1301.3900000000001</v>
      </c>
      <c r="E1178" s="11">
        <v>1.0920010920010921</v>
      </c>
      <c r="L1178" s="9">
        <v>36938</v>
      </c>
      <c r="M1178" s="14">
        <f t="shared" si="57"/>
        <v>-1.1794732974979683E-2</v>
      </c>
      <c r="N1178" s="14">
        <f t="shared" si="58"/>
        <v>-1.8907325457793944E-2</v>
      </c>
      <c r="O1178" s="14">
        <f t="shared" si="59"/>
        <v>-1.3267813267813233E-2</v>
      </c>
      <c r="P1178" s="14">
        <f t="array" ref="P1178">MMULT(M1178:O1178,$I$9:$I$11)</f>
        <v>-1.4790245224728545E-2</v>
      </c>
    </row>
    <row r="1179" spans="2:16" x14ac:dyDescent="0.25">
      <c r="B1179" s="9">
        <v>36941</v>
      </c>
      <c r="C1179" s="10">
        <v>5.1108000000000001E-2</v>
      </c>
      <c r="D1179" s="11">
        <v>1301.53</v>
      </c>
      <c r="E1179" s="11">
        <v>1.0861891055232717</v>
      </c>
      <c r="L1179" s="9">
        <v>36941</v>
      </c>
      <c r="M1179" s="14">
        <f t="shared" si="57"/>
        <v>0</v>
      </c>
      <c r="N1179" s="14">
        <f t="shared" si="58"/>
        <v>1.0757728275145872E-4</v>
      </c>
      <c r="O1179" s="14">
        <f t="shared" si="59"/>
        <v>-5.3223266170639993E-3</v>
      </c>
      <c r="P1179" s="14">
        <f t="array" ref="P1179">MMULT(M1179:O1179,$I$9:$I$11)</f>
        <v>-3.8564801144631406E-3</v>
      </c>
    </row>
    <row r="1180" spans="2:16" x14ac:dyDescent="0.25">
      <c r="B1180" s="9">
        <v>36942</v>
      </c>
      <c r="C1180" s="10">
        <v>5.1227999999999996E-2</v>
      </c>
      <c r="D1180" s="11">
        <v>1278.8</v>
      </c>
      <c r="E1180" s="11">
        <v>1.100291577267976</v>
      </c>
      <c r="L1180" s="9">
        <v>36942</v>
      </c>
      <c r="M1180" s="14">
        <f t="shared" si="57"/>
        <v>2.3479690068091141E-3</v>
      </c>
      <c r="N1180" s="14">
        <f t="shared" si="58"/>
        <v>-1.7464061527586727E-2</v>
      </c>
      <c r="O1180" s="14">
        <f t="shared" si="59"/>
        <v>1.2983440611761932E-2</v>
      </c>
      <c r="P1180" s="14">
        <f t="array" ref="P1180">MMULT(M1180:O1180,$I$9:$I$11)</f>
        <v>4.763890994058155E-3</v>
      </c>
    </row>
    <row r="1181" spans="2:16" x14ac:dyDescent="0.25">
      <c r="B1181" s="9">
        <v>36943</v>
      </c>
      <c r="C1181" s="10">
        <v>5.1291000000000003E-2</v>
      </c>
      <c r="D1181" s="11">
        <v>1255.1300000000001</v>
      </c>
      <c r="E1181" s="11">
        <v>1.0962508221881166</v>
      </c>
      <c r="L1181" s="9">
        <v>36943</v>
      </c>
      <c r="M1181" s="14">
        <f t="shared" si="57"/>
        <v>1.2297962052003619E-3</v>
      </c>
      <c r="N1181" s="14">
        <f t="shared" si="58"/>
        <v>-1.8509540193931695E-2</v>
      </c>
      <c r="O1181" s="14">
        <f t="shared" si="59"/>
        <v>-3.6724402543302226E-3</v>
      </c>
      <c r="P1181" s="14">
        <f t="array" ref="P1181">MMULT(M1181:O1181,$I$9:$I$11)</f>
        <v>-7.677835461406244E-3</v>
      </c>
    </row>
    <row r="1182" spans="2:16" x14ac:dyDescent="0.25">
      <c r="B1182" s="9">
        <v>36944</v>
      </c>
      <c r="C1182" s="10">
        <v>5.1576000000000004E-2</v>
      </c>
      <c r="D1182" s="11">
        <v>1252.67</v>
      </c>
      <c r="E1182" s="11">
        <v>1.1015642211940955</v>
      </c>
      <c r="L1182" s="9">
        <v>36944</v>
      </c>
      <c r="M1182" s="14">
        <f t="shared" si="57"/>
        <v>5.5565303854476777E-3</v>
      </c>
      <c r="N1182" s="14">
        <f t="shared" si="58"/>
        <v>-1.9599563391839991E-3</v>
      </c>
      <c r="O1182" s="14">
        <f t="shared" si="59"/>
        <v>4.8468825732539411E-3</v>
      </c>
      <c r="P1182" s="14">
        <f t="array" ref="P1182">MMULT(M1182:O1182,$I$9:$I$11)</f>
        <v>3.0093213202999625E-3</v>
      </c>
    </row>
    <row r="1183" spans="2:16" x14ac:dyDescent="0.25">
      <c r="B1183" s="9">
        <v>36945</v>
      </c>
      <c r="C1183" s="10">
        <v>5.1006999999999997E-2</v>
      </c>
      <c r="D1183" s="11">
        <v>1245.72</v>
      </c>
      <c r="E1183" s="11">
        <v>1.1009578333149841</v>
      </c>
      <c r="L1183" s="9">
        <v>36945</v>
      </c>
      <c r="M1183" s="14">
        <f t="shared" si="57"/>
        <v>-1.1032263068093795E-2</v>
      </c>
      <c r="N1183" s="14">
        <f t="shared" si="58"/>
        <v>-5.5481491534083993E-3</v>
      </c>
      <c r="O1183" s="14">
        <f t="shared" si="59"/>
        <v>-5.50478916657271E-4</v>
      </c>
      <c r="P1183" s="14">
        <f t="array" ref="P1183">MMULT(M1183:O1183,$I$9:$I$11)</f>
        <v>-1.8996404437964572E-3</v>
      </c>
    </row>
    <row r="1184" spans="2:16" x14ac:dyDescent="0.25">
      <c r="B1184" s="9">
        <v>36948</v>
      </c>
      <c r="C1184" s="10">
        <v>5.04E-2</v>
      </c>
      <c r="D1184" s="11">
        <v>1267.5</v>
      </c>
      <c r="E1184" s="11">
        <v>1.099323915791788</v>
      </c>
      <c r="L1184" s="9">
        <v>36948</v>
      </c>
      <c r="M1184" s="14">
        <f t="shared" si="57"/>
        <v>-1.1900327406042188E-2</v>
      </c>
      <c r="N1184" s="14">
        <f t="shared" si="58"/>
        <v>1.7483864752913858E-2</v>
      </c>
      <c r="O1184" s="14">
        <f t="shared" si="59"/>
        <v>-1.4840872863189913E-3</v>
      </c>
      <c r="P1184" s="14">
        <f t="array" ref="P1184">MMULT(M1184:O1184,$I$9:$I$11)</f>
        <v>3.6364648765204377E-3</v>
      </c>
    </row>
    <row r="1185" spans="2:16" x14ac:dyDescent="0.25">
      <c r="B1185" s="9">
        <v>36949</v>
      </c>
      <c r="C1185" s="10">
        <v>4.9555999999999996E-2</v>
      </c>
      <c r="D1185" s="11">
        <v>1257.77</v>
      </c>
      <c r="E1185" s="11">
        <v>1.0885538562020356</v>
      </c>
      <c r="L1185" s="9">
        <v>36949</v>
      </c>
      <c r="M1185" s="14">
        <f t="shared" si="57"/>
        <v>-1.6746031746031842E-2</v>
      </c>
      <c r="N1185" s="14">
        <f t="shared" si="58"/>
        <v>-7.6765285996055477E-3</v>
      </c>
      <c r="O1185" s="14">
        <f t="shared" si="59"/>
        <v>-9.7969847058182458E-3</v>
      </c>
      <c r="P1185" s="14">
        <f t="array" ref="P1185">MMULT(M1185:O1185,$I$9:$I$11)</f>
        <v>-9.2245504188475033E-3</v>
      </c>
    </row>
    <row r="1186" spans="2:16" x14ac:dyDescent="0.25">
      <c r="B1186" s="9">
        <v>36950</v>
      </c>
      <c r="C1186" s="10">
        <v>4.9036999999999997E-2</v>
      </c>
      <c r="D1186" s="11">
        <v>1236.81</v>
      </c>
      <c r="E1186" s="11">
        <v>1.0874293170943889</v>
      </c>
      <c r="L1186" s="9">
        <v>36950</v>
      </c>
      <c r="M1186" s="14">
        <f t="shared" si="57"/>
        <v>-1.0473000242150254E-2</v>
      </c>
      <c r="N1186" s="14">
        <f t="shared" si="58"/>
        <v>-1.6664414002560135E-2</v>
      </c>
      <c r="O1186" s="14">
        <f t="shared" si="59"/>
        <v>-1.0330578512396382E-3</v>
      </c>
      <c r="P1186" s="14">
        <f t="array" ref="P1186">MMULT(M1186:O1186,$I$9:$I$11)</f>
        <v>-5.2528689506773831E-3</v>
      </c>
    </row>
    <row r="1187" spans="2:16" x14ac:dyDescent="0.25">
      <c r="B1187" s="9">
        <v>36951</v>
      </c>
      <c r="C1187" s="10">
        <v>4.8836999999999998E-2</v>
      </c>
      <c r="D1187" s="11">
        <v>1241.08</v>
      </c>
      <c r="E1187" s="11">
        <v>1.0756157900397978</v>
      </c>
      <c r="L1187" s="9">
        <v>36951</v>
      </c>
      <c r="M1187" s="14">
        <f t="shared" si="57"/>
        <v>-4.0785529294206091E-3</v>
      </c>
      <c r="N1187" s="14">
        <f t="shared" si="58"/>
        <v>3.4524300418010689E-3</v>
      </c>
      <c r="O1187" s="14">
        <f t="shared" si="59"/>
        <v>-1.0863719479402012E-2</v>
      </c>
      <c r="P1187" s="14">
        <f t="array" ref="P1187">MMULT(M1187:O1187,$I$9:$I$11)</f>
        <v>-6.9989590538851437E-3</v>
      </c>
    </row>
    <row r="1188" spans="2:16" x14ac:dyDescent="0.25">
      <c r="B1188" s="9">
        <v>36952</v>
      </c>
      <c r="C1188" s="10">
        <v>4.9454999999999999E-2</v>
      </c>
      <c r="D1188" s="11">
        <v>1234.04</v>
      </c>
      <c r="E1188" s="11">
        <v>1.0689470871191875</v>
      </c>
      <c r="L1188" s="9">
        <v>36952</v>
      </c>
      <c r="M1188" s="14">
        <f t="shared" si="57"/>
        <v>1.2654339947171245E-2</v>
      </c>
      <c r="N1188" s="14">
        <f t="shared" si="58"/>
        <v>-5.6724788087794131E-3</v>
      </c>
      <c r="O1188" s="14">
        <f t="shared" si="59"/>
        <v>-6.1998931052913431E-3</v>
      </c>
      <c r="P1188" s="14">
        <f t="array" ref="P1188">MMULT(M1188:O1188,$I$9:$I$11)</f>
        <v>-6.0575133475225217E-3</v>
      </c>
    </row>
    <row r="1189" spans="2:16" x14ac:dyDescent="0.25">
      <c r="B1189" s="9">
        <v>36955</v>
      </c>
      <c r="C1189" s="10">
        <v>4.9775E-2</v>
      </c>
      <c r="D1189" s="11">
        <v>1241.26</v>
      </c>
      <c r="E1189" s="11">
        <v>1.0764262648008611</v>
      </c>
      <c r="L1189" s="9">
        <v>36955</v>
      </c>
      <c r="M1189" s="14">
        <f t="shared" si="57"/>
        <v>6.4705287635224984E-3</v>
      </c>
      <c r="N1189" s="14">
        <f t="shared" si="58"/>
        <v>5.8507017600726297E-3</v>
      </c>
      <c r="O1189" s="14">
        <f t="shared" si="59"/>
        <v>6.9967707212057473E-3</v>
      </c>
      <c r="P1189" s="14">
        <f t="array" ref="P1189">MMULT(M1189:O1189,$I$9:$I$11)</f>
        <v>6.6873801298780672E-3</v>
      </c>
    </row>
    <row r="1190" spans="2:16" x14ac:dyDescent="0.25">
      <c r="B1190" s="9">
        <v>36956</v>
      </c>
      <c r="C1190" s="10">
        <v>4.9734999999999994E-2</v>
      </c>
      <c r="D1190" s="11">
        <v>1253.6500000000001</v>
      </c>
      <c r="E1190" s="11">
        <v>1.0748065348237317</v>
      </c>
      <c r="L1190" s="9">
        <v>36956</v>
      </c>
      <c r="M1190" s="14">
        <f t="shared" si="57"/>
        <v>-8.0361627322966811E-4</v>
      </c>
      <c r="N1190" s="14">
        <f t="shared" si="58"/>
        <v>9.981792694520264E-3</v>
      </c>
      <c r="O1190" s="14">
        <f t="shared" si="59"/>
        <v>-1.5047291487532144E-3</v>
      </c>
      <c r="P1190" s="14">
        <f t="array" ref="P1190">MMULT(M1190:O1190,$I$9:$I$11)</f>
        <v>1.5961503845996756E-3</v>
      </c>
    </row>
    <row r="1191" spans="2:16" x14ac:dyDescent="0.25">
      <c r="B1191" s="9">
        <v>36957</v>
      </c>
      <c r="C1191" s="10">
        <v>4.9013999999999995E-2</v>
      </c>
      <c r="D1191" s="11">
        <v>1261.75</v>
      </c>
      <c r="E1191" s="11">
        <v>1.0783996549121104</v>
      </c>
      <c r="L1191" s="9">
        <v>36957</v>
      </c>
      <c r="M1191" s="14">
        <f t="shared" si="57"/>
        <v>-1.4496833216045002E-2</v>
      </c>
      <c r="N1191" s="14">
        <f t="shared" si="58"/>
        <v>6.4611334902084927E-3</v>
      </c>
      <c r="O1191" s="14">
        <f t="shared" si="59"/>
        <v>3.343038930227582E-3</v>
      </c>
      <c r="P1191" s="14">
        <f t="array" ref="P1191">MMULT(M1191:O1191,$I$9:$I$11)</f>
        <v>4.1847937917974375E-3</v>
      </c>
    </row>
    <row r="1192" spans="2:16" x14ac:dyDescent="0.25">
      <c r="B1192" s="9">
        <v>36958</v>
      </c>
      <c r="C1192" s="10">
        <v>4.9053000000000006E-2</v>
      </c>
      <c r="D1192" s="11">
        <v>1264.5999999999999</v>
      </c>
      <c r="E1192" s="11">
        <v>1.0730765103551885</v>
      </c>
      <c r="L1192" s="9">
        <v>36958</v>
      </c>
      <c r="M1192" s="14">
        <f t="shared" si="57"/>
        <v>7.9569102705367989E-4</v>
      </c>
      <c r="N1192" s="14">
        <f t="shared" si="58"/>
        <v>2.2587675847036692E-3</v>
      </c>
      <c r="O1192" s="14">
        <f t="shared" si="59"/>
        <v>-4.936151947633749E-3</v>
      </c>
      <c r="P1192" s="14">
        <f t="array" ref="P1192">MMULT(M1192:O1192,$I$9:$I$11)</f>
        <v>-2.9938251905561792E-3</v>
      </c>
    </row>
    <row r="1193" spans="2:16" x14ac:dyDescent="0.25">
      <c r="B1193" s="9">
        <v>36959</v>
      </c>
      <c r="C1193" s="10">
        <v>4.9391999999999998E-2</v>
      </c>
      <c r="D1193" s="11">
        <v>1233.28</v>
      </c>
      <c r="E1193" s="11">
        <v>1.0731340881043088</v>
      </c>
      <c r="L1193" s="9">
        <v>36959</v>
      </c>
      <c r="M1193" s="14">
        <f t="shared" si="57"/>
        <v>6.9108923001650613E-3</v>
      </c>
      <c r="N1193" s="14">
        <f t="shared" si="58"/>
        <v>-2.4766724656017702E-2</v>
      </c>
      <c r="O1193" s="14">
        <f t="shared" si="59"/>
        <v>5.3656704405158351E-5</v>
      </c>
      <c r="P1193" s="14">
        <f t="array" ref="P1193">MMULT(M1193:O1193,$I$9:$I$11)</f>
        <v>-6.6468061180827136E-3</v>
      </c>
    </row>
    <row r="1194" spans="2:16" x14ac:dyDescent="0.25">
      <c r="B1194" s="9">
        <v>36962</v>
      </c>
      <c r="C1194" s="10">
        <v>4.8971999999999995E-2</v>
      </c>
      <c r="D1194" s="11">
        <v>1180.02</v>
      </c>
      <c r="E1194" s="11">
        <v>1.076194575979337</v>
      </c>
      <c r="L1194" s="9">
        <v>36962</v>
      </c>
      <c r="M1194" s="14">
        <f t="shared" si="57"/>
        <v>-8.5034013605442826E-3</v>
      </c>
      <c r="N1194" s="14">
        <f t="shared" si="58"/>
        <v>-4.3185651271406278E-2</v>
      </c>
      <c r="O1194" s="14">
        <f t="shared" si="59"/>
        <v>2.8519156263451251E-3</v>
      </c>
      <c r="P1194" s="14">
        <f t="array" ref="P1194">MMULT(M1194:O1194,$I$9:$I$11)</f>
        <v>-9.5762981451021877E-3</v>
      </c>
    </row>
    <row r="1195" spans="2:16" x14ac:dyDescent="0.25">
      <c r="B1195" s="9">
        <v>36963</v>
      </c>
      <c r="C1195" s="10">
        <v>4.9352E-2</v>
      </c>
      <c r="D1195" s="11">
        <v>1197.6600000000001</v>
      </c>
      <c r="E1195" s="11">
        <v>1.0902153175252112</v>
      </c>
      <c r="L1195" s="9">
        <v>36963</v>
      </c>
      <c r="M1195" s="14">
        <f t="shared" si="57"/>
        <v>7.7595360614228781E-3</v>
      </c>
      <c r="N1195" s="14">
        <f t="shared" si="58"/>
        <v>1.4948899171200569E-2</v>
      </c>
      <c r="O1195" s="14">
        <f t="shared" si="59"/>
        <v>1.3028073044426325E-2</v>
      </c>
      <c r="P1195" s="14">
        <f t="array" ref="P1195">MMULT(M1195:O1195,$I$9:$I$11)</f>
        <v>1.3546615602818946E-2</v>
      </c>
    </row>
    <row r="1196" spans="2:16" x14ac:dyDescent="0.25">
      <c r="B1196" s="9">
        <v>36964</v>
      </c>
      <c r="C1196" s="10">
        <v>4.8295000000000005E-2</v>
      </c>
      <c r="D1196" s="11">
        <v>1166.57</v>
      </c>
      <c r="E1196" s="11">
        <v>1.0968520346605244</v>
      </c>
      <c r="L1196" s="9">
        <v>36964</v>
      </c>
      <c r="M1196" s="14">
        <f t="shared" si="57"/>
        <v>-2.1417571729615781E-2</v>
      </c>
      <c r="N1196" s="14">
        <f t="shared" si="58"/>
        <v>-2.5958953292253395E-2</v>
      </c>
      <c r="O1196" s="14">
        <f t="shared" si="59"/>
        <v>6.0875287923660704E-3</v>
      </c>
      <c r="P1196" s="14">
        <f t="array" ref="P1196">MMULT(M1196:O1196,$I$9:$I$11)</f>
        <v>-2.5636784022947823E-3</v>
      </c>
    </row>
    <row r="1197" spans="2:16" x14ac:dyDescent="0.25">
      <c r="B1197" s="9">
        <v>36965</v>
      </c>
      <c r="C1197" s="10">
        <v>4.7855000000000002E-2</v>
      </c>
      <c r="D1197" s="11">
        <v>1173.42</v>
      </c>
      <c r="E1197" s="11">
        <v>1.1030831173128897</v>
      </c>
      <c r="L1197" s="9">
        <v>36965</v>
      </c>
      <c r="M1197" s="14">
        <f t="shared" si="57"/>
        <v>-9.1106739828140659E-3</v>
      </c>
      <c r="N1197" s="14">
        <f t="shared" si="58"/>
        <v>5.8719151015371729E-3</v>
      </c>
      <c r="O1197" s="14">
        <f t="shared" si="59"/>
        <v>5.6808780541615089E-3</v>
      </c>
      <c r="P1197" s="14">
        <f t="array" ref="P1197">MMULT(M1197:O1197,$I$9:$I$11)</f>
        <v>5.732450051185679E-3</v>
      </c>
    </row>
    <row r="1198" spans="2:16" x14ac:dyDescent="0.25">
      <c r="B1198" s="9">
        <v>36966</v>
      </c>
      <c r="C1198" s="10">
        <v>4.7678999999999999E-2</v>
      </c>
      <c r="D1198" s="11">
        <v>1150.4000000000001</v>
      </c>
      <c r="E1198" s="11">
        <v>1.1152623654714773</v>
      </c>
      <c r="L1198" s="9">
        <v>36966</v>
      </c>
      <c r="M1198" s="14">
        <f t="shared" si="57"/>
        <v>-3.6777766168635262E-3</v>
      </c>
      <c r="N1198" s="14">
        <f t="shared" si="58"/>
        <v>-1.9617869134666122E-2</v>
      </c>
      <c r="O1198" s="14">
        <f t="shared" si="59"/>
        <v>1.1041097418167611E-2</v>
      </c>
      <c r="P1198" s="14">
        <f t="array" ref="P1198">MMULT(M1198:O1198,$I$9:$I$11)</f>
        <v>2.7644612706373729E-3</v>
      </c>
    </row>
    <row r="1199" spans="2:16" x14ac:dyDescent="0.25">
      <c r="B1199" s="9">
        <v>36969</v>
      </c>
      <c r="C1199" s="10">
        <v>4.8133000000000002E-2</v>
      </c>
      <c r="D1199" s="11">
        <v>1170.81</v>
      </c>
      <c r="E1199" s="11">
        <v>1.1135857461024499</v>
      </c>
      <c r="L1199" s="9">
        <v>36969</v>
      </c>
      <c r="M1199" s="14">
        <f t="shared" si="57"/>
        <v>9.5220117871599452E-3</v>
      </c>
      <c r="N1199" s="14">
        <f t="shared" si="58"/>
        <v>1.7741655076495055E-2</v>
      </c>
      <c r="O1199" s="14">
        <f t="shared" si="59"/>
        <v>-1.5033407572384583E-3</v>
      </c>
      <c r="P1199" s="14">
        <f t="array" ref="P1199">MMULT(M1199:O1199,$I$9:$I$11)</f>
        <v>3.692001620074172E-3</v>
      </c>
    </row>
    <row r="1200" spans="2:16" x14ac:dyDescent="0.25">
      <c r="B1200" s="9">
        <v>36970</v>
      </c>
      <c r="C1200" s="10">
        <v>4.7638E-2</v>
      </c>
      <c r="D1200" s="11">
        <v>1142.6199999999999</v>
      </c>
      <c r="E1200" s="11">
        <v>1.1075423634954036</v>
      </c>
      <c r="L1200" s="9">
        <v>36970</v>
      </c>
      <c r="M1200" s="14">
        <f t="shared" si="57"/>
        <v>-1.0284004736874963E-2</v>
      </c>
      <c r="N1200" s="14">
        <f t="shared" si="58"/>
        <v>-2.4077348160675083E-2</v>
      </c>
      <c r="O1200" s="14">
        <f t="shared" si="59"/>
        <v>-5.426957581127545E-3</v>
      </c>
      <c r="P1200" s="14">
        <f t="array" ref="P1200">MMULT(M1200:O1200,$I$9:$I$11)</f>
        <v>-1.0461781457862987E-2</v>
      </c>
    </row>
    <row r="1201" spans="2:16" x14ac:dyDescent="0.25">
      <c r="B1201" s="9">
        <v>36971</v>
      </c>
      <c r="C1201" s="10">
        <v>4.7736000000000001E-2</v>
      </c>
      <c r="D1201" s="11">
        <v>1122.1400000000001</v>
      </c>
      <c r="E1201" s="11">
        <v>1.1142061281337048</v>
      </c>
      <c r="L1201" s="9">
        <v>36971</v>
      </c>
      <c r="M1201" s="14">
        <f t="shared" si="57"/>
        <v>2.0571812418657132E-3</v>
      </c>
      <c r="N1201" s="14">
        <f t="shared" si="58"/>
        <v>-1.792371917172797E-2</v>
      </c>
      <c r="O1201" s="14">
        <f t="shared" si="59"/>
        <v>6.0167130919221989E-3</v>
      </c>
      <c r="P1201" s="14">
        <f t="array" ref="P1201">MMULT(M1201:O1201,$I$9:$I$11)</f>
        <v>-4.4620035036119655E-4</v>
      </c>
    </row>
    <row r="1202" spans="2:16" x14ac:dyDescent="0.25">
      <c r="B1202" s="9">
        <v>36972</v>
      </c>
      <c r="C1202" s="10">
        <v>4.7478999999999993E-2</v>
      </c>
      <c r="D1202" s="11">
        <v>1117.58</v>
      </c>
      <c r="E1202" s="11">
        <v>1.1316697787585581</v>
      </c>
      <c r="L1202" s="9">
        <v>36972</v>
      </c>
      <c r="M1202" s="14">
        <f t="shared" si="57"/>
        <v>-5.3837774426011009E-3</v>
      </c>
      <c r="N1202" s="14">
        <f t="shared" si="58"/>
        <v>-4.0636640704370119E-3</v>
      </c>
      <c r="O1202" s="14">
        <f t="shared" si="59"/>
        <v>1.5673626435805943E-2</v>
      </c>
      <c r="P1202" s="14">
        <f t="array" ref="P1202">MMULT(M1202:O1202,$I$9:$I$11)</f>
        <v>1.0345385127451177E-2</v>
      </c>
    </row>
    <row r="1203" spans="2:16" x14ac:dyDescent="0.25">
      <c r="B1203" s="9">
        <v>36973</v>
      </c>
      <c r="C1203" s="10">
        <v>4.8129999999999999E-2</v>
      </c>
      <c r="D1203" s="11">
        <v>1139.83</v>
      </c>
      <c r="E1203" s="11">
        <v>1.1196954428395476</v>
      </c>
      <c r="L1203" s="9">
        <v>36973</v>
      </c>
      <c r="M1203" s="14">
        <f t="shared" si="57"/>
        <v>1.3711325006845243E-2</v>
      </c>
      <c r="N1203" s="14">
        <f t="shared" si="58"/>
        <v>1.9909089282199144E-2</v>
      </c>
      <c r="O1203" s="14">
        <f t="shared" si="59"/>
        <v>-1.0581121934833626E-2</v>
      </c>
      <c r="P1203" s="14">
        <f t="array" ref="P1203">MMULT(M1203:O1203,$I$9:$I$11)</f>
        <v>-2.3500426559594761E-3</v>
      </c>
    </row>
    <row r="1204" spans="2:16" x14ac:dyDescent="0.25">
      <c r="B1204" s="9">
        <v>36976</v>
      </c>
      <c r="C1204" s="10">
        <v>4.8686999999999994E-2</v>
      </c>
      <c r="D1204" s="11">
        <v>1152.69</v>
      </c>
      <c r="E1204" s="11">
        <v>1.1167569378524764</v>
      </c>
      <c r="L1204" s="9">
        <v>36976</v>
      </c>
      <c r="M1204" s="14">
        <f t="shared" si="57"/>
        <v>1.1572823602742366E-2</v>
      </c>
      <c r="N1204" s="14">
        <f t="shared" si="58"/>
        <v>1.1282384215190122E-2</v>
      </c>
      <c r="O1204" s="14">
        <f t="shared" si="59"/>
        <v>-2.6243788039532756E-3</v>
      </c>
      <c r="P1204" s="14">
        <f t="array" ref="P1204">MMULT(M1204:O1204,$I$9:$I$11)</f>
        <v>1.129864422119864E-3</v>
      </c>
    </row>
    <row r="1205" spans="2:16" x14ac:dyDescent="0.25">
      <c r="B1205" s="9">
        <v>36977</v>
      </c>
      <c r="C1205" s="10">
        <v>5.0094E-2</v>
      </c>
      <c r="D1205" s="11">
        <v>1182.18</v>
      </c>
      <c r="E1205" s="11">
        <v>1.1133997661860491</v>
      </c>
      <c r="L1205" s="9">
        <v>36977</v>
      </c>
      <c r="M1205" s="14">
        <f t="shared" si="57"/>
        <v>2.8898884712551753E-2</v>
      </c>
      <c r="N1205" s="14">
        <f t="shared" si="58"/>
        <v>2.5583634802071709E-2</v>
      </c>
      <c r="O1205" s="14">
        <f t="shared" si="59"/>
        <v>-3.0061793687023997E-3</v>
      </c>
      <c r="P1205" s="14">
        <f t="array" ref="P1205">MMULT(M1205:O1205,$I$9:$I$11)</f>
        <v>4.7118723473992419E-3</v>
      </c>
    </row>
    <row r="1206" spans="2:16" x14ac:dyDescent="0.25">
      <c r="B1206" s="9">
        <v>36978</v>
      </c>
      <c r="C1206" s="10">
        <v>4.9690000000000005E-2</v>
      </c>
      <c r="D1206" s="11">
        <v>1153.29</v>
      </c>
      <c r="E1206" s="11">
        <v>1.1246063877642825</v>
      </c>
      <c r="L1206" s="9">
        <v>36978</v>
      </c>
      <c r="M1206" s="14">
        <f t="shared" si="57"/>
        <v>-8.0648381043636475E-3</v>
      </c>
      <c r="N1206" s="14">
        <f t="shared" si="58"/>
        <v>-2.4437902857432969E-2</v>
      </c>
      <c r="O1206" s="14">
        <f t="shared" si="59"/>
        <v>1.0065227170490409E-2</v>
      </c>
      <c r="P1206" s="14">
        <f t="array" ref="P1206">MMULT(M1206:O1206,$I$9:$I$11)</f>
        <v>7.5082798159628421E-4</v>
      </c>
    </row>
    <row r="1207" spans="2:16" x14ac:dyDescent="0.25">
      <c r="B1207" s="9">
        <v>36979</v>
      </c>
      <c r="C1207" s="10">
        <v>4.9992999999999996E-2</v>
      </c>
      <c r="D1207" s="11">
        <v>1147.95</v>
      </c>
      <c r="E1207" s="11">
        <v>1.1337868480725624</v>
      </c>
      <c r="L1207" s="9">
        <v>36979</v>
      </c>
      <c r="M1207" s="14">
        <f t="shared" si="57"/>
        <v>6.0978063996777188E-3</v>
      </c>
      <c r="N1207" s="14">
        <f t="shared" si="58"/>
        <v>-4.6302317717138441E-3</v>
      </c>
      <c r="O1207" s="14">
        <f t="shared" si="59"/>
        <v>8.1632653061225469E-3</v>
      </c>
      <c r="P1207" s="14">
        <f t="array" ref="P1207">MMULT(M1207:O1207,$I$9:$I$11)</f>
        <v>4.7095572306963627E-3</v>
      </c>
    </row>
    <row r="1208" spans="2:16" x14ac:dyDescent="0.25">
      <c r="B1208" s="9">
        <v>36980</v>
      </c>
      <c r="C1208" s="10">
        <v>4.9146000000000002E-2</v>
      </c>
      <c r="D1208" s="11">
        <v>1160.33</v>
      </c>
      <c r="E1208" s="11">
        <v>1.1312217194570136</v>
      </c>
      <c r="L1208" s="9">
        <v>36980</v>
      </c>
      <c r="M1208" s="14">
        <f t="shared" si="57"/>
        <v>-1.6942371932070377E-2</v>
      </c>
      <c r="N1208" s="14">
        <f t="shared" si="58"/>
        <v>1.0784441831090064E-2</v>
      </c>
      <c r="O1208" s="14">
        <f t="shared" si="59"/>
        <v>-2.2624434389140191E-3</v>
      </c>
      <c r="P1208" s="14">
        <f t="array" ref="P1208">MMULT(M1208:O1208,$I$9:$I$11)</f>
        <v>1.2596688296880314E-3</v>
      </c>
    </row>
    <row r="1209" spans="2:16" x14ac:dyDescent="0.25">
      <c r="B1209" s="9">
        <v>36983</v>
      </c>
      <c r="C1209" s="10">
        <v>4.9729000000000002E-2</v>
      </c>
      <c r="D1209" s="11">
        <v>1145.8699999999999</v>
      </c>
      <c r="E1209" s="11">
        <v>1.1338511253472419</v>
      </c>
      <c r="L1209" s="9">
        <v>36983</v>
      </c>
      <c r="M1209" s="14">
        <f t="shared" si="57"/>
        <v>1.1862613437512826E-2</v>
      </c>
      <c r="N1209" s="14">
        <f t="shared" si="58"/>
        <v>-1.2461972025199719E-2</v>
      </c>
      <c r="O1209" s="14">
        <f t="shared" si="59"/>
        <v>2.3243948069617826E-3</v>
      </c>
      <c r="P1209" s="14">
        <f t="array" ref="P1209">MMULT(M1209:O1209,$I$9:$I$11)</f>
        <v>-1.6673045871718609E-3</v>
      </c>
    </row>
    <row r="1210" spans="2:16" x14ac:dyDescent="0.25">
      <c r="B1210" s="9">
        <v>36984</v>
      </c>
      <c r="C1210" s="10">
        <v>4.9245999999999998E-2</v>
      </c>
      <c r="D1210" s="11">
        <v>1106.46</v>
      </c>
      <c r="E1210" s="11">
        <v>1.127777151234916</v>
      </c>
      <c r="L1210" s="9">
        <v>36984</v>
      </c>
      <c r="M1210" s="14">
        <f t="shared" si="57"/>
        <v>-9.7126425224718371E-3</v>
      </c>
      <c r="N1210" s="14">
        <f t="shared" si="58"/>
        <v>-3.4393081239582068E-2</v>
      </c>
      <c r="O1210" s="14">
        <f t="shared" si="59"/>
        <v>-5.3569414683658501E-3</v>
      </c>
      <c r="P1210" s="14">
        <f t="array" ref="P1210">MMULT(M1210:O1210,$I$9:$I$11)</f>
        <v>-1.3195482392471987E-2</v>
      </c>
    </row>
    <row r="1211" spans="2:16" x14ac:dyDescent="0.25">
      <c r="B1211" s="9">
        <v>36985</v>
      </c>
      <c r="C1211" s="10">
        <v>4.9286000000000003E-2</v>
      </c>
      <c r="D1211" s="11">
        <v>1103.25</v>
      </c>
      <c r="E1211" s="11">
        <v>1.1076650420912715</v>
      </c>
      <c r="L1211" s="9">
        <v>36985</v>
      </c>
      <c r="M1211" s="14">
        <f t="shared" si="57"/>
        <v>8.1224871055529668E-4</v>
      </c>
      <c r="N1211" s="14">
        <f t="shared" si="58"/>
        <v>-2.9011441895776535E-3</v>
      </c>
      <c r="O1211" s="14">
        <f t="shared" si="59"/>
        <v>-1.7833407177669569E-2</v>
      </c>
      <c r="P1211" s="14">
        <f t="array" ref="P1211">MMULT(M1211:O1211,$I$9:$I$11)</f>
        <v>-1.3802321935487902E-2</v>
      </c>
    </row>
    <row r="1212" spans="2:16" x14ac:dyDescent="0.25">
      <c r="B1212" s="9">
        <v>36986</v>
      </c>
      <c r="C1212" s="10">
        <v>4.9768999999999994E-2</v>
      </c>
      <c r="D1212" s="11">
        <v>1151.44</v>
      </c>
      <c r="E1212" s="11">
        <v>1.1153245594467991</v>
      </c>
      <c r="L1212" s="9">
        <v>36986</v>
      </c>
      <c r="M1212" s="14">
        <f t="shared" si="57"/>
        <v>9.7999431887350053E-3</v>
      </c>
      <c r="N1212" s="14">
        <f t="shared" si="58"/>
        <v>4.3680036256514843E-2</v>
      </c>
      <c r="O1212" s="14">
        <f t="shared" si="59"/>
        <v>6.9150122685703863E-3</v>
      </c>
      <c r="P1212" s="14">
        <f t="array" ref="P1212">MMULT(M1212:O1212,$I$9:$I$11)</f>
        <v>1.6840028037743877E-2</v>
      </c>
    </row>
    <row r="1213" spans="2:16" x14ac:dyDescent="0.25">
      <c r="B1213" s="9">
        <v>36987</v>
      </c>
      <c r="C1213" s="10">
        <v>4.8903000000000002E-2</v>
      </c>
      <c r="D1213" s="11">
        <v>1128.43</v>
      </c>
      <c r="E1213" s="11">
        <v>1.1094469407000611</v>
      </c>
      <c r="L1213" s="9">
        <v>36987</v>
      </c>
      <c r="M1213" s="14">
        <f t="shared" si="57"/>
        <v>-1.7400389800879879E-2</v>
      </c>
      <c r="N1213" s="14">
        <f t="shared" si="58"/>
        <v>-1.9983672618634096E-2</v>
      </c>
      <c r="O1213" s="14">
        <f t="shared" si="59"/>
        <v>-5.2698729683252621E-3</v>
      </c>
      <c r="P1213" s="14">
        <f t="array" ref="P1213">MMULT(M1213:O1213,$I$9:$I$11)</f>
        <v>-9.2419822644231112E-3</v>
      </c>
    </row>
    <row r="1214" spans="2:16" x14ac:dyDescent="0.25">
      <c r="B1214" s="9">
        <v>36990</v>
      </c>
      <c r="C1214" s="10">
        <v>4.9284000000000001E-2</v>
      </c>
      <c r="D1214" s="11">
        <v>1137.5899999999999</v>
      </c>
      <c r="E1214" s="11">
        <v>1.1086474501108647</v>
      </c>
      <c r="L1214" s="9">
        <v>36990</v>
      </c>
      <c r="M1214" s="14">
        <f t="shared" si="57"/>
        <v>7.7909330715906222E-3</v>
      </c>
      <c r="N1214" s="14">
        <f t="shared" si="58"/>
        <v>8.1174729491415576E-3</v>
      </c>
      <c r="O1214" s="14">
        <f t="shared" si="59"/>
        <v>-7.2062084257218384E-4</v>
      </c>
      <c r="P1214" s="14">
        <f t="array" ref="P1214">MMULT(M1214:O1214,$I$9:$I$11)</f>
        <v>1.665294104224987E-3</v>
      </c>
    </row>
    <row r="1215" spans="2:16" x14ac:dyDescent="0.25">
      <c r="B1215" s="9">
        <v>36991</v>
      </c>
      <c r="C1215" s="10">
        <v>5.0826000000000003E-2</v>
      </c>
      <c r="D1215" s="11">
        <v>1168.3800000000001</v>
      </c>
      <c r="E1215" s="11">
        <v>1.1234061674998597</v>
      </c>
      <c r="L1215" s="9">
        <v>36991</v>
      </c>
      <c r="M1215" s="14">
        <f t="shared" si="57"/>
        <v>3.1288044801558446E-2</v>
      </c>
      <c r="N1215" s="14">
        <f t="shared" si="58"/>
        <v>2.7065990383178695E-2</v>
      </c>
      <c r="O1215" s="14">
        <f t="shared" si="59"/>
        <v>1.3312363084873491E-2</v>
      </c>
      <c r="P1215" s="14">
        <f t="array" ref="P1215">MMULT(M1215:O1215,$I$9:$I$11)</f>
        <v>1.7025266083761106E-2</v>
      </c>
    </row>
    <row r="1216" spans="2:16" x14ac:dyDescent="0.25">
      <c r="B1216" s="9">
        <v>36992</v>
      </c>
      <c r="C1216" s="10">
        <v>5.1257000000000004E-2</v>
      </c>
      <c r="D1216" s="11">
        <v>1165.8900000000001</v>
      </c>
      <c r="E1216" s="11">
        <v>1.1303905499350024</v>
      </c>
      <c r="L1216" s="9">
        <v>36992</v>
      </c>
      <c r="M1216" s="14">
        <f t="shared" si="57"/>
        <v>8.4799118561367237E-3</v>
      </c>
      <c r="N1216" s="14">
        <f t="shared" si="58"/>
        <v>-2.1311559595337259E-3</v>
      </c>
      <c r="O1216" s="14">
        <f t="shared" si="59"/>
        <v>6.2171480246422384E-3</v>
      </c>
      <c r="P1216" s="14">
        <f t="array" ref="P1216">MMULT(M1216:O1216,$I$9:$I$11)</f>
        <v>3.9634558003159379E-3</v>
      </c>
    </row>
    <row r="1217" spans="2:16" x14ac:dyDescent="0.25">
      <c r="B1217" s="9">
        <v>36993</v>
      </c>
      <c r="C1217" s="10">
        <v>5.1771999999999999E-2</v>
      </c>
      <c r="D1217" s="11">
        <v>1183.5</v>
      </c>
      <c r="E1217" s="11">
        <v>1.119256813475852</v>
      </c>
      <c r="L1217" s="9">
        <v>36993</v>
      </c>
      <c r="M1217" s="14">
        <f t="shared" si="57"/>
        <v>1.0047408158885496E-2</v>
      </c>
      <c r="N1217" s="14">
        <f t="shared" si="58"/>
        <v>1.5104340889792178E-2</v>
      </c>
      <c r="O1217" s="14">
        <f t="shared" si="59"/>
        <v>-9.8494599585874365E-3</v>
      </c>
      <c r="P1217" s="14">
        <f t="array" ref="P1217">MMULT(M1217:O1217,$I$9:$I$11)</f>
        <v>-3.1129794655461581E-3</v>
      </c>
    </row>
    <row r="1218" spans="2:16" x14ac:dyDescent="0.25">
      <c r="B1218" s="9">
        <v>36994</v>
      </c>
      <c r="C1218" s="10">
        <v>5.1771999999999999E-2</v>
      </c>
      <c r="D1218" s="11">
        <v>1183.5</v>
      </c>
      <c r="E1218" s="11">
        <v>1.119256813475852</v>
      </c>
      <c r="L1218" s="9">
        <v>36994</v>
      </c>
      <c r="M1218" s="14">
        <f t="shared" si="57"/>
        <v>0</v>
      </c>
      <c r="N1218" s="14">
        <f t="shared" si="58"/>
        <v>0</v>
      </c>
      <c r="O1218" s="14">
        <f t="shared" si="59"/>
        <v>0</v>
      </c>
      <c r="P1218" s="14">
        <f t="array" ref="P1218">MMULT(M1218:O1218,$I$9:$I$11)</f>
        <v>0</v>
      </c>
    </row>
    <row r="1219" spans="2:16" x14ac:dyDescent="0.25">
      <c r="B1219" s="9">
        <v>36997</v>
      </c>
      <c r="C1219" s="10">
        <v>5.2560000000000003E-2</v>
      </c>
      <c r="D1219" s="11">
        <v>1179.68</v>
      </c>
      <c r="E1219" s="11">
        <v>1.1308379509216329</v>
      </c>
      <c r="L1219" s="9">
        <v>36997</v>
      </c>
      <c r="M1219" s="14">
        <f t="shared" si="57"/>
        <v>1.5220582554276607E-2</v>
      </c>
      <c r="N1219" s="14">
        <f t="shared" si="58"/>
        <v>-3.2277144064215557E-3</v>
      </c>
      <c r="O1219" s="14">
        <f t="shared" si="59"/>
        <v>1.0347167250932765E-2</v>
      </c>
      <c r="P1219" s="14">
        <f t="array" ref="P1219">MMULT(M1219:O1219,$I$9:$I$11)</f>
        <v>6.6825180844291626E-3</v>
      </c>
    </row>
    <row r="1220" spans="2:16" x14ac:dyDescent="0.25">
      <c r="B1220" s="9">
        <v>36998</v>
      </c>
      <c r="C1220" s="10">
        <v>5.2186000000000003E-2</v>
      </c>
      <c r="D1220" s="11">
        <v>1191.81</v>
      </c>
      <c r="E1220" s="11">
        <v>1.1336583153837434</v>
      </c>
      <c r="L1220" s="9">
        <v>36998</v>
      </c>
      <c r="M1220" s="14">
        <f t="shared" si="57"/>
        <v>-7.1156773211568103E-3</v>
      </c>
      <c r="N1220" s="14">
        <f t="shared" si="58"/>
        <v>1.0282449477824418E-2</v>
      </c>
      <c r="O1220" s="14">
        <f t="shared" si="59"/>
        <v>2.4940482938442532E-3</v>
      </c>
      <c r="P1220" s="14">
        <f t="array" ref="P1220">MMULT(M1220:O1220,$I$9:$I$11)</f>
        <v>4.5965902258990211E-3</v>
      </c>
    </row>
    <row r="1221" spans="2:16" x14ac:dyDescent="0.25">
      <c r="B1221" s="9">
        <v>36999</v>
      </c>
      <c r="C1221" s="10">
        <v>5.1443000000000003E-2</v>
      </c>
      <c r="D1221" s="11">
        <v>1238.1600000000001</v>
      </c>
      <c r="E1221" s="11">
        <v>1.1458034947006588</v>
      </c>
      <c r="L1221" s="9">
        <v>36999</v>
      </c>
      <c r="M1221" s="14">
        <f t="shared" si="57"/>
        <v>-1.4237534971065058E-2</v>
      </c>
      <c r="N1221" s="14">
        <f t="shared" si="58"/>
        <v>3.8890427165404029E-2</v>
      </c>
      <c r="O1221" s="14">
        <f t="shared" si="59"/>
        <v>1.0713262675451141E-2</v>
      </c>
      <c r="P1221" s="14">
        <f t="array" ref="P1221">MMULT(M1221:O1221,$I$9:$I$11)</f>
        <v>1.8319916270593088E-2</v>
      </c>
    </row>
    <row r="1222" spans="2:16" x14ac:dyDescent="0.25">
      <c r="B1222" s="9">
        <v>37000</v>
      </c>
      <c r="C1222" s="10">
        <v>5.2998999999999998E-2</v>
      </c>
      <c r="D1222" s="11">
        <v>1253.7</v>
      </c>
      <c r="E1222" s="11">
        <v>1.1249226615670171</v>
      </c>
      <c r="L1222" s="9">
        <v>37000</v>
      </c>
      <c r="M1222" s="14">
        <f t="shared" si="57"/>
        <v>3.0247069572147733E-2</v>
      </c>
      <c r="N1222" s="14">
        <f t="shared" si="58"/>
        <v>1.2550881953866888E-2</v>
      </c>
      <c r="O1222" s="14">
        <f t="shared" si="59"/>
        <v>-1.8223747117385725E-2</v>
      </c>
      <c r="P1222" s="14">
        <f t="array" ref="P1222">MMULT(M1222:O1222,$I$9:$I$11)</f>
        <v>-9.9158869369380571E-3</v>
      </c>
    </row>
    <row r="1223" spans="2:16" x14ac:dyDescent="0.25">
      <c r="B1223" s="9">
        <v>37001</v>
      </c>
      <c r="C1223" s="10">
        <v>5.2937999999999999E-2</v>
      </c>
      <c r="D1223" s="11">
        <v>1242.98</v>
      </c>
      <c r="E1223" s="11">
        <v>1.1096931698385397</v>
      </c>
      <c r="L1223" s="9">
        <v>37001</v>
      </c>
      <c r="M1223" s="14">
        <f t="shared" si="57"/>
        <v>-1.150965112549307E-3</v>
      </c>
      <c r="N1223" s="14">
        <f t="shared" si="58"/>
        <v>-8.5506899577251216E-3</v>
      </c>
      <c r="O1223" s="14">
        <f t="shared" si="59"/>
        <v>-1.3538256672030013E-2</v>
      </c>
      <c r="P1223" s="14">
        <f t="array" ref="P1223">MMULT(M1223:O1223,$I$9:$I$11)</f>
        <v>-1.2191822672544175E-2</v>
      </c>
    </row>
    <row r="1224" spans="2:16" x14ac:dyDescent="0.25">
      <c r="B1224" s="9">
        <v>37004</v>
      </c>
      <c r="C1224" s="10">
        <v>5.1795000000000001E-2</v>
      </c>
      <c r="D1224" s="11">
        <v>1224.3599999999999</v>
      </c>
      <c r="E1224" s="11">
        <v>1.1145165784341042</v>
      </c>
      <c r="L1224" s="9">
        <v>37004</v>
      </c>
      <c r="M1224" s="14">
        <f t="shared" si="57"/>
        <v>-2.1591295477728645E-2</v>
      </c>
      <c r="N1224" s="14">
        <f t="shared" si="58"/>
        <v>-1.4980128401100634E-2</v>
      </c>
      <c r="O1224" s="14">
        <f t="shared" si="59"/>
        <v>4.346614655893033E-3</v>
      </c>
      <c r="P1224" s="14">
        <f t="array" ref="P1224">MMULT(M1224:O1224,$I$9:$I$11)</f>
        <v>-8.7079604592848981E-4</v>
      </c>
    </row>
    <row r="1225" spans="2:16" x14ac:dyDescent="0.25">
      <c r="B1225" s="9">
        <v>37005</v>
      </c>
      <c r="C1225" s="10">
        <v>5.2148E-2</v>
      </c>
      <c r="D1225" s="11">
        <v>1209.47</v>
      </c>
      <c r="E1225" s="11">
        <v>1.1187559433909493</v>
      </c>
      <c r="L1225" s="9">
        <v>37005</v>
      </c>
      <c r="M1225" s="14">
        <f t="shared" ref="M1225:M1288" si="60">C1225/C1224-1</f>
        <v>6.8153296650255157E-3</v>
      </c>
      <c r="N1225" s="14">
        <f t="shared" ref="N1225:N1288" si="61">D1225/D1224-1</f>
        <v>-1.216145578097938E-2</v>
      </c>
      <c r="O1225" s="14">
        <f t="shared" ref="O1225:O1288" si="62">E1225/E1224-1</f>
        <v>3.8037702075293112E-3</v>
      </c>
      <c r="P1225" s="14">
        <f t="array" ref="P1225">MMULT(M1225:O1225,$I$9:$I$11)</f>
        <v>-5.0617175650492612E-4</v>
      </c>
    </row>
    <row r="1226" spans="2:16" x14ac:dyDescent="0.25">
      <c r="B1226" s="9">
        <v>37006</v>
      </c>
      <c r="C1226" s="10">
        <v>5.2689000000000007E-2</v>
      </c>
      <c r="D1226" s="11">
        <v>1228.75</v>
      </c>
      <c r="E1226" s="11">
        <v>1.1146408069999443</v>
      </c>
      <c r="L1226" s="9">
        <v>37006</v>
      </c>
      <c r="M1226" s="14">
        <f t="shared" si="60"/>
        <v>1.037431924522525E-2</v>
      </c>
      <c r="N1226" s="14">
        <f t="shared" si="61"/>
        <v>1.5940866660603348E-2</v>
      </c>
      <c r="O1226" s="14">
        <f t="shared" si="62"/>
        <v>-3.6783146630998687E-3</v>
      </c>
      <c r="P1226" s="14">
        <f t="array" ref="P1226">MMULT(M1226:O1226,$I$9:$I$11)</f>
        <v>1.6180421155569035E-3</v>
      </c>
    </row>
    <row r="1227" spans="2:16" x14ac:dyDescent="0.25">
      <c r="B1227" s="9">
        <v>37007</v>
      </c>
      <c r="C1227" s="10">
        <v>5.1858000000000001E-2</v>
      </c>
      <c r="D1227" s="11">
        <v>1234.52</v>
      </c>
      <c r="E1227" s="11">
        <v>1.1088933244621866</v>
      </c>
      <c r="L1227" s="9">
        <v>37007</v>
      </c>
      <c r="M1227" s="14">
        <f t="shared" si="60"/>
        <v>-1.5771792973865661E-2</v>
      </c>
      <c r="N1227" s="14">
        <f t="shared" si="61"/>
        <v>4.6958290946084169E-3</v>
      </c>
      <c r="O1227" s="14">
        <f t="shared" si="62"/>
        <v>-5.1563539587493601E-3</v>
      </c>
      <c r="P1227" s="14">
        <f t="array" ref="P1227">MMULT(M1227:O1227,$I$9:$I$11)</f>
        <v>-2.4966774086286909E-3</v>
      </c>
    </row>
    <row r="1228" spans="2:16" x14ac:dyDescent="0.25">
      <c r="B1228" s="9">
        <v>37008</v>
      </c>
      <c r="C1228" s="10">
        <v>5.3235999999999999E-2</v>
      </c>
      <c r="D1228" s="11">
        <v>1253.05</v>
      </c>
      <c r="E1228" s="11">
        <v>1.1203854125819281</v>
      </c>
      <c r="L1228" s="9">
        <v>37008</v>
      </c>
      <c r="M1228" s="14">
        <f t="shared" si="60"/>
        <v>2.65725635388947E-2</v>
      </c>
      <c r="N1228" s="14">
        <f t="shared" si="61"/>
        <v>1.5009882383436368E-2</v>
      </c>
      <c r="O1228" s="14">
        <f t="shared" si="62"/>
        <v>1.0363565066382918E-2</v>
      </c>
      <c r="P1228" s="14">
        <f t="array" ref="P1228">MMULT(M1228:O1228,$I$9:$I$11)</f>
        <v>1.1617876029309551E-2</v>
      </c>
    </row>
    <row r="1229" spans="2:16" x14ac:dyDescent="0.25">
      <c r="B1229" s="9">
        <v>37011</v>
      </c>
      <c r="C1229" s="10">
        <v>5.3362E-2</v>
      </c>
      <c r="D1229" s="11">
        <v>1249.46</v>
      </c>
      <c r="E1229" s="11">
        <v>1.1279679657097739</v>
      </c>
      <c r="L1229" s="9">
        <v>37011</v>
      </c>
      <c r="M1229" s="14">
        <f t="shared" si="60"/>
        <v>2.3668194454879998E-3</v>
      </c>
      <c r="N1229" s="14">
        <f t="shared" si="61"/>
        <v>-2.8650093771197538E-3</v>
      </c>
      <c r="O1229" s="14">
        <f t="shared" si="62"/>
        <v>6.7678077942587844E-3</v>
      </c>
      <c r="P1229" s="14">
        <f t="array" ref="P1229">MMULT(M1229:O1229,$I$9:$I$11)</f>
        <v>4.1673508393320832E-3</v>
      </c>
    </row>
    <row r="1230" spans="2:16" x14ac:dyDescent="0.25">
      <c r="B1230" s="9">
        <v>37012</v>
      </c>
      <c r="C1230" s="10">
        <v>5.2880999999999997E-2</v>
      </c>
      <c r="D1230" s="11">
        <v>1266.44</v>
      </c>
      <c r="E1230" s="11">
        <v>1.1220196353436185</v>
      </c>
      <c r="L1230" s="9">
        <v>37012</v>
      </c>
      <c r="M1230" s="14">
        <f t="shared" si="60"/>
        <v>-9.0139050260485964E-3</v>
      </c>
      <c r="N1230" s="14">
        <f t="shared" si="61"/>
        <v>1.358987082419616E-2</v>
      </c>
      <c r="O1230" s="14">
        <f t="shared" si="62"/>
        <v>-5.2734922861150668E-3</v>
      </c>
      <c r="P1230" s="14">
        <f t="array" ref="P1230">MMULT(M1230:O1230,$I$9:$I$11)</f>
        <v>-1.8117475108843199E-4</v>
      </c>
    </row>
    <row r="1231" spans="2:16" x14ac:dyDescent="0.25">
      <c r="B1231" s="9">
        <v>37013</v>
      </c>
      <c r="C1231" s="10">
        <v>5.2859999999999997E-2</v>
      </c>
      <c r="D1231" s="11">
        <v>1267.43</v>
      </c>
      <c r="E1231" s="11">
        <v>1.1216420840109922</v>
      </c>
      <c r="L1231" s="9">
        <v>37013</v>
      </c>
      <c r="M1231" s="14">
        <f t="shared" si="60"/>
        <v>-3.9711805752540297E-4</v>
      </c>
      <c r="N1231" s="14">
        <f t="shared" si="61"/>
        <v>7.8171883389654973E-4</v>
      </c>
      <c r="O1231" s="14">
        <f t="shared" si="62"/>
        <v>-3.3649262520318857E-4</v>
      </c>
      <c r="P1231" s="14">
        <f t="array" ref="P1231">MMULT(M1231:O1231,$I$9:$I$11)</f>
        <v>-3.4622392003433018E-5</v>
      </c>
    </row>
    <row r="1232" spans="2:16" x14ac:dyDescent="0.25">
      <c r="B1232" s="9">
        <v>37014</v>
      </c>
      <c r="C1232" s="10">
        <v>5.2152000000000004E-2</v>
      </c>
      <c r="D1232" s="11">
        <v>1248.58</v>
      </c>
      <c r="E1232" s="11">
        <v>1.1191315539141626</v>
      </c>
      <c r="L1232" s="9">
        <v>37014</v>
      </c>
      <c r="M1232" s="14">
        <f t="shared" si="60"/>
        <v>-1.3393870601589031E-2</v>
      </c>
      <c r="N1232" s="14">
        <f t="shared" si="61"/>
        <v>-1.4872616239161252E-2</v>
      </c>
      <c r="O1232" s="14">
        <f t="shared" si="62"/>
        <v>-2.2382631078283755E-3</v>
      </c>
      <c r="P1232" s="14">
        <f t="array" ref="P1232">MMULT(M1232:O1232,$I$9:$I$11)</f>
        <v>-5.6490089869254117E-3</v>
      </c>
    </row>
    <row r="1233" spans="2:16" x14ac:dyDescent="0.25">
      <c r="B1233" s="9">
        <v>37015</v>
      </c>
      <c r="C1233" s="10">
        <v>5.2091000000000005E-2</v>
      </c>
      <c r="D1233" s="11">
        <v>1266.6099999999999</v>
      </c>
      <c r="E1233" s="11">
        <v>1.1172560192168035</v>
      </c>
      <c r="L1233" s="9">
        <v>37015</v>
      </c>
      <c r="M1233" s="14">
        <f t="shared" si="60"/>
        <v>-1.1696579229942827E-3</v>
      </c>
      <c r="N1233" s="14">
        <f t="shared" si="61"/>
        <v>1.444040429928406E-2</v>
      </c>
      <c r="O1233" s="14">
        <f t="shared" si="62"/>
        <v>-1.6758840288252363E-3</v>
      </c>
      <c r="P1233" s="14">
        <f t="array" ref="P1233">MMULT(M1233:O1233,$I$9:$I$11)</f>
        <v>2.6748384363493205E-3</v>
      </c>
    </row>
    <row r="1234" spans="2:16" x14ac:dyDescent="0.25">
      <c r="B1234" s="9">
        <v>37018</v>
      </c>
      <c r="C1234" s="10">
        <v>5.1946000000000006E-2</v>
      </c>
      <c r="D1234" s="11">
        <v>1263.51</v>
      </c>
      <c r="E1234" s="11">
        <v>1.1218308279111511</v>
      </c>
      <c r="L1234" s="9">
        <v>37018</v>
      </c>
      <c r="M1234" s="14">
        <f t="shared" si="60"/>
        <v>-2.7835902555143344E-3</v>
      </c>
      <c r="N1234" s="14">
        <f t="shared" si="61"/>
        <v>-2.4474779134855407E-3</v>
      </c>
      <c r="O1234" s="14">
        <f t="shared" si="62"/>
        <v>4.0946825218757255E-3</v>
      </c>
      <c r="P1234" s="14">
        <f t="array" ref="P1234">MMULT(M1234:O1234,$I$9:$I$11)</f>
        <v>2.328573365882386E-3</v>
      </c>
    </row>
    <row r="1235" spans="2:16" x14ac:dyDescent="0.25">
      <c r="B1235" s="9">
        <v>37019</v>
      </c>
      <c r="C1235" s="10">
        <v>5.2488E-2</v>
      </c>
      <c r="D1235" s="11">
        <v>1261.2</v>
      </c>
      <c r="E1235" s="11">
        <v>1.1297520194317348</v>
      </c>
      <c r="L1235" s="9">
        <v>37019</v>
      </c>
      <c r="M1235" s="14">
        <f t="shared" si="60"/>
        <v>1.0433912139529378E-2</v>
      </c>
      <c r="N1235" s="14">
        <f t="shared" si="61"/>
        <v>-1.8282403779945611E-3</v>
      </c>
      <c r="O1235" s="14">
        <f t="shared" si="62"/>
        <v>7.0609501214482506E-3</v>
      </c>
      <c r="P1235" s="14">
        <f t="array" ref="P1235">MMULT(M1235:O1235,$I$9:$I$11)</f>
        <v>4.661241204868001E-3</v>
      </c>
    </row>
    <row r="1236" spans="2:16" x14ac:dyDescent="0.25">
      <c r="B1236" s="9">
        <v>37020</v>
      </c>
      <c r="C1236" s="10">
        <v>5.1697E-2</v>
      </c>
      <c r="D1236" s="11">
        <v>1255.54</v>
      </c>
      <c r="E1236" s="11">
        <v>1.130901894260673</v>
      </c>
      <c r="L1236" s="9">
        <v>37020</v>
      </c>
      <c r="M1236" s="14">
        <f t="shared" si="60"/>
        <v>-1.5070111263526864E-2</v>
      </c>
      <c r="N1236" s="14">
        <f t="shared" si="61"/>
        <v>-4.4877894069140778E-3</v>
      </c>
      <c r="O1236" s="14">
        <f t="shared" si="62"/>
        <v>1.0178117048347257E-3</v>
      </c>
      <c r="P1236" s="14">
        <f t="array" ref="P1236">MMULT(M1236:O1236,$I$9:$I$11)</f>
        <v>-4.6846987275390593E-4</v>
      </c>
    </row>
    <row r="1237" spans="2:16" x14ac:dyDescent="0.25">
      <c r="B1237" s="9">
        <v>37021</v>
      </c>
      <c r="C1237" s="10">
        <v>5.2927999999999996E-2</v>
      </c>
      <c r="D1237" s="11">
        <v>1255.18</v>
      </c>
      <c r="E1237" s="11">
        <v>1.1323104795334882</v>
      </c>
      <c r="L1237" s="9">
        <v>37021</v>
      </c>
      <c r="M1237" s="14">
        <f t="shared" si="60"/>
        <v>2.3811826605025344E-2</v>
      </c>
      <c r="N1237" s="14">
        <f t="shared" si="61"/>
        <v>-2.8672921611405666E-4</v>
      </c>
      <c r="O1237" s="14">
        <f t="shared" si="62"/>
        <v>1.2455415274867931E-3</v>
      </c>
      <c r="P1237" s="14">
        <f t="array" ref="P1237">MMULT(M1237:O1237,$I$9:$I$11)</f>
        <v>8.3189263940587177E-4</v>
      </c>
    </row>
    <row r="1238" spans="2:16" x14ac:dyDescent="0.25">
      <c r="B1238" s="9">
        <v>37022</v>
      </c>
      <c r="C1238" s="10">
        <v>5.4431E-2</v>
      </c>
      <c r="D1238" s="11">
        <v>1245.67</v>
      </c>
      <c r="E1238" s="11">
        <v>1.1414222120762469</v>
      </c>
      <c r="L1238" s="9">
        <v>37022</v>
      </c>
      <c r="M1238" s="14">
        <f t="shared" si="60"/>
        <v>2.8397067714631241E-2</v>
      </c>
      <c r="N1238" s="14">
        <f t="shared" si="61"/>
        <v>-7.5766025589955044E-3</v>
      </c>
      <c r="O1238" s="14">
        <f t="shared" si="62"/>
        <v>8.047026595137341E-3</v>
      </c>
      <c r="P1238" s="14">
        <f t="array" ref="P1238">MMULT(M1238:O1238,$I$9:$I$11)</f>
        <v>3.829301461125892E-3</v>
      </c>
    </row>
    <row r="1239" spans="2:16" x14ac:dyDescent="0.25">
      <c r="B1239" s="9">
        <v>37025</v>
      </c>
      <c r="C1239" s="10">
        <v>5.4368E-2</v>
      </c>
      <c r="D1239" s="11">
        <v>1248.92</v>
      </c>
      <c r="E1239" s="11">
        <v>1.144230219120087</v>
      </c>
      <c r="L1239" s="9">
        <v>37025</v>
      </c>
      <c r="M1239" s="14">
        <f t="shared" si="60"/>
        <v>-1.1574286711616422E-3</v>
      </c>
      <c r="N1239" s="14">
        <f t="shared" si="61"/>
        <v>2.6090377066156911E-3</v>
      </c>
      <c r="O1239" s="14">
        <f t="shared" si="62"/>
        <v>2.4600949711082176E-3</v>
      </c>
      <c r="P1239" s="14">
        <f t="array" ref="P1239">MMULT(M1239:O1239,$I$9:$I$11)</f>
        <v>2.5003032679693929E-3</v>
      </c>
    </row>
    <row r="1240" spans="2:16" x14ac:dyDescent="0.25">
      <c r="B1240" s="9">
        <v>37026</v>
      </c>
      <c r="C1240" s="10">
        <v>5.4945000000000001E-2</v>
      </c>
      <c r="D1240" s="11">
        <v>1249.44</v>
      </c>
      <c r="E1240" s="11">
        <v>1.1381743683132255</v>
      </c>
      <c r="L1240" s="9">
        <v>37026</v>
      </c>
      <c r="M1240" s="14">
        <f t="shared" si="60"/>
        <v>1.0612860506180155E-2</v>
      </c>
      <c r="N1240" s="14">
        <f t="shared" si="61"/>
        <v>4.1635973481080057E-4</v>
      </c>
      <c r="O1240" s="14">
        <f t="shared" si="62"/>
        <v>-5.2925108126566922E-3</v>
      </c>
      <c r="P1240" s="14">
        <f t="array" ref="P1240">MMULT(M1240:O1240,$I$9:$I$11)</f>
        <v>-3.7513550058125454E-3</v>
      </c>
    </row>
    <row r="1241" spans="2:16" x14ac:dyDescent="0.25">
      <c r="B1241" s="9">
        <v>37027</v>
      </c>
      <c r="C1241" s="10">
        <v>5.4560999999999998E-2</v>
      </c>
      <c r="D1241" s="11">
        <v>1284.99</v>
      </c>
      <c r="E1241" s="11">
        <v>1.1308379509216329</v>
      </c>
      <c r="L1241" s="9">
        <v>37027</v>
      </c>
      <c r="M1241" s="14">
        <f t="shared" si="60"/>
        <v>-6.9888069888069948E-3</v>
      </c>
      <c r="N1241" s="14">
        <f t="shared" si="61"/>
        <v>2.8452746830579967E-2</v>
      </c>
      <c r="O1241" s="14">
        <f t="shared" si="62"/>
        <v>-6.445776320253338E-3</v>
      </c>
      <c r="P1241" s="14">
        <f t="array" ref="P1241">MMULT(M1241:O1241,$I$9:$I$11)</f>
        <v>2.9753624421329887E-3</v>
      </c>
    </row>
    <row r="1242" spans="2:16" x14ac:dyDescent="0.25">
      <c r="B1242" s="9">
        <v>37028</v>
      </c>
      <c r="C1242" s="10">
        <v>5.4031000000000003E-2</v>
      </c>
      <c r="D1242" s="11">
        <v>1288.49</v>
      </c>
      <c r="E1242" s="11">
        <v>1.1346873936230568</v>
      </c>
      <c r="L1242" s="9">
        <v>37028</v>
      </c>
      <c r="M1242" s="14">
        <f t="shared" si="60"/>
        <v>-9.7138982056779177E-3</v>
      </c>
      <c r="N1242" s="14">
        <f t="shared" si="61"/>
        <v>2.7237566051097062E-3</v>
      </c>
      <c r="O1242" s="14">
        <f t="shared" si="62"/>
        <v>3.404062180869305E-3</v>
      </c>
      <c r="P1242" s="14">
        <f t="array" ref="P1242">MMULT(M1242:O1242,$I$9:$I$11)</f>
        <v>3.2204081849006171E-3</v>
      </c>
    </row>
    <row r="1243" spans="2:16" x14ac:dyDescent="0.25">
      <c r="B1243" s="9">
        <v>37029</v>
      </c>
      <c r="C1243" s="10">
        <v>5.4012000000000004E-2</v>
      </c>
      <c r="D1243" s="11">
        <v>1291.96</v>
      </c>
      <c r="E1243" s="11">
        <v>1.1403808872163301</v>
      </c>
      <c r="L1243" s="9">
        <v>37029</v>
      </c>
      <c r="M1243" s="14">
        <f t="shared" si="60"/>
        <v>-3.5164997871584003E-4</v>
      </c>
      <c r="N1243" s="14">
        <f t="shared" si="61"/>
        <v>2.6930748395408433E-3</v>
      </c>
      <c r="O1243" s="14">
        <f t="shared" si="62"/>
        <v>5.0176759037516838E-3</v>
      </c>
      <c r="P1243" s="14">
        <f t="array" ref="P1243">MMULT(M1243:O1243,$I$9:$I$11)</f>
        <v>4.3901310332003837E-3</v>
      </c>
    </row>
    <row r="1244" spans="2:16" x14ac:dyDescent="0.25">
      <c r="B1244" s="9">
        <v>37032</v>
      </c>
      <c r="C1244" s="10">
        <v>5.3864000000000002E-2</v>
      </c>
      <c r="D1244" s="11">
        <v>1312.83</v>
      </c>
      <c r="E1244" s="11">
        <v>1.142726545537653</v>
      </c>
      <c r="L1244" s="9">
        <v>37032</v>
      </c>
      <c r="M1244" s="14">
        <f t="shared" si="60"/>
        <v>-2.7401318225579452E-3</v>
      </c>
      <c r="N1244" s="14">
        <f t="shared" si="61"/>
        <v>1.6153750890120389E-2</v>
      </c>
      <c r="O1244" s="14">
        <f t="shared" si="62"/>
        <v>2.0569077819680981E-3</v>
      </c>
      <c r="P1244" s="14">
        <f t="array" ref="P1244">MMULT(M1244:O1244,$I$9:$I$11)</f>
        <v>5.8624646664095217E-3</v>
      </c>
    </row>
    <row r="1245" spans="2:16" x14ac:dyDescent="0.25">
      <c r="B1245" s="9">
        <v>37033</v>
      </c>
      <c r="C1245" s="10">
        <v>5.4056E-2</v>
      </c>
      <c r="D1245" s="11">
        <v>1309.3800000000001</v>
      </c>
      <c r="E1245" s="11">
        <v>1.154068090017311</v>
      </c>
      <c r="L1245" s="9">
        <v>37033</v>
      </c>
      <c r="M1245" s="14">
        <f t="shared" si="60"/>
        <v>3.5645328976681157E-3</v>
      </c>
      <c r="N1245" s="14">
        <f t="shared" si="61"/>
        <v>-2.6279106967389554E-3</v>
      </c>
      <c r="O1245" s="14">
        <f t="shared" si="62"/>
        <v>9.9249855741487814E-3</v>
      </c>
      <c r="P1245" s="14">
        <f t="array" ref="P1245">MMULT(M1245:O1245,$I$9:$I$11)</f>
        <v>6.5362296337687842E-3</v>
      </c>
    </row>
    <row r="1246" spans="2:16" x14ac:dyDescent="0.25">
      <c r="B1246" s="9">
        <v>37034</v>
      </c>
      <c r="C1246" s="10">
        <v>5.3929999999999999E-2</v>
      </c>
      <c r="D1246" s="11">
        <v>1289.05</v>
      </c>
      <c r="E1246" s="11">
        <v>1.1617100371747211</v>
      </c>
      <c r="L1246" s="9">
        <v>37034</v>
      </c>
      <c r="M1246" s="14">
        <f t="shared" si="60"/>
        <v>-2.3309160870208512E-3</v>
      </c>
      <c r="N1246" s="14">
        <f t="shared" si="61"/>
        <v>-1.5526432357299003E-2</v>
      </c>
      <c r="O1246" s="14">
        <f t="shared" si="62"/>
        <v>6.6217472118959009E-3</v>
      </c>
      <c r="P1246" s="14">
        <f t="array" ref="P1246">MMULT(M1246:O1246,$I$9:$I$11)</f>
        <v>6.4266688939083189E-4</v>
      </c>
    </row>
    <row r="1247" spans="2:16" x14ac:dyDescent="0.25">
      <c r="B1247" s="9">
        <v>37035</v>
      </c>
      <c r="C1247" s="10">
        <v>5.4954999999999997E-2</v>
      </c>
      <c r="D1247" s="11">
        <v>1293.17</v>
      </c>
      <c r="E1247" s="11">
        <v>1.1661127631041921</v>
      </c>
      <c r="L1247" s="9">
        <v>37035</v>
      </c>
      <c r="M1247" s="14">
        <f t="shared" si="60"/>
        <v>1.9006119043204039E-2</v>
      </c>
      <c r="N1247" s="14">
        <f t="shared" si="61"/>
        <v>3.1961522051124902E-3</v>
      </c>
      <c r="O1247" s="14">
        <f t="shared" si="62"/>
        <v>3.7898664800886106E-3</v>
      </c>
      <c r="P1247" s="14">
        <f t="array" ref="P1247">MMULT(M1247:O1247,$I$9:$I$11)</f>
        <v>3.6295885065599212E-3</v>
      </c>
    </row>
    <row r="1248" spans="2:16" x14ac:dyDescent="0.25">
      <c r="B1248" s="9">
        <v>37036</v>
      </c>
      <c r="C1248" s="10">
        <v>5.5023000000000002E-2</v>
      </c>
      <c r="D1248" s="11">
        <v>1277.8900000000001</v>
      </c>
      <c r="E1248" s="11">
        <v>1.1671335200746966</v>
      </c>
      <c r="L1248" s="9">
        <v>37036</v>
      </c>
      <c r="M1248" s="14">
        <f t="shared" si="60"/>
        <v>1.2373760349377871E-3</v>
      </c>
      <c r="N1248" s="14">
        <f t="shared" si="61"/>
        <v>-1.1815925207049327E-2</v>
      </c>
      <c r="O1248" s="14">
        <f t="shared" si="62"/>
        <v>8.7535014005624134E-4</v>
      </c>
      <c r="P1248" s="14">
        <f t="array" ref="P1248">MMULT(M1248:O1248,$I$9:$I$11)</f>
        <v>-2.5507623518667664E-3</v>
      </c>
    </row>
    <row r="1249" spans="2:16" x14ac:dyDescent="0.25">
      <c r="B1249" s="9">
        <v>37039</v>
      </c>
      <c r="C1249" s="10">
        <v>5.5023000000000002E-2</v>
      </c>
      <c r="D1249" s="11">
        <v>1277.8900000000001</v>
      </c>
      <c r="E1249" s="11">
        <v>1.1627230974943317</v>
      </c>
      <c r="L1249" s="9">
        <v>37039</v>
      </c>
      <c r="M1249" s="14">
        <f t="shared" si="60"/>
        <v>0</v>
      </c>
      <c r="N1249" s="14">
        <f t="shared" si="61"/>
        <v>0</v>
      </c>
      <c r="O1249" s="14">
        <f t="shared" si="62"/>
        <v>-3.7788500668566316E-3</v>
      </c>
      <c r="P1249" s="14">
        <f t="array" ref="P1249">MMULT(M1249:O1249,$I$9:$I$11)</f>
        <v>-2.7587189086342788E-3</v>
      </c>
    </row>
    <row r="1250" spans="2:16" x14ac:dyDescent="0.25">
      <c r="B1250" s="9">
        <v>37040</v>
      </c>
      <c r="C1250" s="10">
        <v>5.5217999999999996E-2</v>
      </c>
      <c r="D1250" s="11">
        <v>1267.93</v>
      </c>
      <c r="E1250" s="11">
        <v>1.1707545513083182</v>
      </c>
      <c r="L1250" s="9">
        <v>37040</v>
      </c>
      <c r="M1250" s="14">
        <f t="shared" si="60"/>
        <v>3.5439725205821393E-3</v>
      </c>
      <c r="N1250" s="14">
        <f t="shared" si="61"/>
        <v>-7.7940980835596863E-3</v>
      </c>
      <c r="O1250" s="14">
        <f t="shared" si="62"/>
        <v>6.9074518527190154E-3</v>
      </c>
      <c r="P1250" s="14">
        <f t="array" ref="P1250">MMULT(M1250:O1250,$I$9:$I$11)</f>
        <v>2.9386494660619657E-3</v>
      </c>
    </row>
    <row r="1251" spans="2:16" x14ac:dyDescent="0.25">
      <c r="B1251" s="9">
        <v>37041</v>
      </c>
      <c r="C1251" s="10">
        <v>5.5111999999999994E-2</v>
      </c>
      <c r="D1251" s="11">
        <v>1248.08</v>
      </c>
      <c r="E1251" s="11">
        <v>1.1664528169835531</v>
      </c>
      <c r="L1251" s="9">
        <v>37041</v>
      </c>
      <c r="M1251" s="14">
        <f t="shared" si="60"/>
        <v>-1.9196638777210229E-3</v>
      </c>
      <c r="N1251" s="14">
        <f t="shared" si="61"/>
        <v>-1.5655438391709464E-2</v>
      </c>
      <c r="O1251" s="14">
        <f t="shared" si="62"/>
        <v>-3.6743263734980713E-3</v>
      </c>
      <c r="P1251" s="14">
        <f t="array" ref="P1251">MMULT(M1251:O1251,$I$9:$I$11)</f>
        <v>-6.9087245273514323E-3</v>
      </c>
    </row>
    <row r="1252" spans="2:16" x14ac:dyDescent="0.25">
      <c r="B1252" s="9">
        <v>37042</v>
      </c>
      <c r="C1252" s="10">
        <v>5.3852000000000004E-2</v>
      </c>
      <c r="D1252" s="11">
        <v>1255.82</v>
      </c>
      <c r="E1252" s="11">
        <v>1.1798017932987257</v>
      </c>
      <c r="L1252" s="9">
        <v>37042</v>
      </c>
      <c r="M1252" s="14">
        <f t="shared" si="60"/>
        <v>-2.2862534475250218E-2</v>
      </c>
      <c r="N1252" s="14">
        <f t="shared" si="61"/>
        <v>6.2015255432343874E-3</v>
      </c>
      <c r="O1252" s="14">
        <f t="shared" si="62"/>
        <v>1.1444077394997532E-2</v>
      </c>
      <c r="P1252" s="14">
        <f t="array" ref="P1252">MMULT(M1252:O1252,$I$9:$I$11)</f>
        <v>1.0028808094030376E-2</v>
      </c>
    </row>
    <row r="1253" spans="2:16" x14ac:dyDescent="0.25">
      <c r="B1253" s="9">
        <v>37043</v>
      </c>
      <c r="C1253" s="10">
        <v>5.3747999999999997E-2</v>
      </c>
      <c r="D1253" s="11">
        <v>1260.67</v>
      </c>
      <c r="E1253" s="11">
        <v>1.18140469017662</v>
      </c>
      <c r="L1253" s="9">
        <v>37043</v>
      </c>
      <c r="M1253" s="14">
        <f t="shared" si="60"/>
        <v>-1.9312188962342658E-3</v>
      </c>
      <c r="N1253" s="14">
        <f t="shared" si="61"/>
        <v>3.8620184421336301E-3</v>
      </c>
      <c r="O1253" s="14">
        <f t="shared" si="62"/>
        <v>1.3586153937032996E-3</v>
      </c>
      <c r="P1253" s="14">
        <f t="array" ref="P1253">MMULT(M1253:O1253,$I$9:$I$11)</f>
        <v>2.0344293069599678E-3</v>
      </c>
    </row>
    <row r="1254" spans="2:16" x14ac:dyDescent="0.25">
      <c r="B1254" s="9">
        <v>37046</v>
      </c>
      <c r="C1254" s="10">
        <v>5.3430999999999999E-2</v>
      </c>
      <c r="D1254" s="11">
        <v>1267.1099999999999</v>
      </c>
      <c r="E1254" s="11">
        <v>1.1798017932987257</v>
      </c>
      <c r="L1254" s="9">
        <v>37046</v>
      </c>
      <c r="M1254" s="14">
        <f t="shared" si="60"/>
        <v>-5.8978938751208521E-3</v>
      </c>
      <c r="N1254" s="14">
        <f t="shared" si="61"/>
        <v>5.1083947424781506E-3</v>
      </c>
      <c r="O1254" s="14">
        <f t="shared" si="62"/>
        <v>-1.3567720622935653E-3</v>
      </c>
      <c r="P1254" s="14">
        <f t="array" ref="P1254">MMULT(M1254:O1254,$I$9:$I$11)</f>
        <v>3.8855204000369146E-4</v>
      </c>
    </row>
    <row r="1255" spans="2:16" x14ac:dyDescent="0.25">
      <c r="B1255" s="9">
        <v>37047</v>
      </c>
      <c r="C1255" s="10">
        <v>5.2755999999999997E-2</v>
      </c>
      <c r="D1255" s="11">
        <v>1283.57</v>
      </c>
      <c r="E1255" s="11">
        <v>1.179245283018868</v>
      </c>
      <c r="L1255" s="9">
        <v>37047</v>
      </c>
      <c r="M1255" s="14">
        <f t="shared" si="60"/>
        <v>-1.2633115607044609E-2</v>
      </c>
      <c r="N1255" s="14">
        <f t="shared" si="61"/>
        <v>1.2990190275508962E-2</v>
      </c>
      <c r="O1255" s="14">
        <f t="shared" si="62"/>
        <v>-4.7169811320735278E-4</v>
      </c>
      <c r="P1255" s="14">
        <f t="array" ref="P1255">MMULT(M1255:O1255,$I$9:$I$11)</f>
        <v>3.1624476059597157E-3</v>
      </c>
    </row>
    <row r="1256" spans="2:16" x14ac:dyDescent="0.25">
      <c r="B1256" s="9">
        <v>37048</v>
      </c>
      <c r="C1256" s="10">
        <v>5.2629999999999996E-2</v>
      </c>
      <c r="D1256" s="11">
        <v>1270.03</v>
      </c>
      <c r="E1256" s="11">
        <v>1.1809861234130499</v>
      </c>
      <c r="L1256" s="9">
        <v>37048</v>
      </c>
      <c r="M1256" s="14">
        <f t="shared" si="60"/>
        <v>-2.3883539313064306E-3</v>
      </c>
      <c r="N1256" s="14">
        <f t="shared" si="61"/>
        <v>-1.0548704005235332E-2</v>
      </c>
      <c r="O1256" s="14">
        <f t="shared" si="62"/>
        <v>1.4762326542663295E-3</v>
      </c>
      <c r="P1256" s="14">
        <f t="array" ref="P1256">MMULT(M1256:O1256,$I$9:$I$11)</f>
        <v>-1.7699963161812737E-3</v>
      </c>
    </row>
    <row r="1257" spans="2:16" x14ac:dyDescent="0.25">
      <c r="B1257" s="9">
        <v>37049</v>
      </c>
      <c r="C1257" s="10">
        <v>5.3242999999999999E-2</v>
      </c>
      <c r="D1257" s="11">
        <v>1276.96</v>
      </c>
      <c r="E1257" s="11">
        <v>1.1760555098200636</v>
      </c>
      <c r="L1257" s="9">
        <v>37049</v>
      </c>
      <c r="M1257" s="14">
        <f t="shared" si="60"/>
        <v>1.1647349420482733E-2</v>
      </c>
      <c r="N1257" s="14">
        <f t="shared" si="61"/>
        <v>5.4565640181729602E-3</v>
      </c>
      <c r="O1257" s="14">
        <f t="shared" si="62"/>
        <v>-4.1749970598611297E-3</v>
      </c>
      <c r="P1257" s="14">
        <f t="array" ref="P1257">MMULT(M1257:O1257,$I$9:$I$11)</f>
        <v>-1.5748791974984722E-3</v>
      </c>
    </row>
    <row r="1258" spans="2:16" x14ac:dyDescent="0.25">
      <c r="B1258" s="9">
        <v>37050</v>
      </c>
      <c r="C1258" s="10">
        <v>5.3670000000000002E-2</v>
      </c>
      <c r="D1258" s="11">
        <v>1264.96</v>
      </c>
      <c r="E1258" s="11">
        <v>1.1787587670183297</v>
      </c>
      <c r="L1258" s="9">
        <v>37050</v>
      </c>
      <c r="M1258" s="14">
        <f t="shared" si="60"/>
        <v>8.0198335931485065E-3</v>
      </c>
      <c r="N1258" s="14">
        <f t="shared" si="61"/>
        <v>-9.3973186317504176E-3</v>
      </c>
      <c r="O1258" s="14">
        <f t="shared" si="62"/>
        <v>2.2985795956858013E-3</v>
      </c>
      <c r="P1258" s="14">
        <f t="array" ref="P1258">MMULT(M1258:O1258,$I$9:$I$11)</f>
        <v>-8.5882278707932183E-4</v>
      </c>
    </row>
    <row r="1259" spans="2:16" x14ac:dyDescent="0.25">
      <c r="B1259" s="9">
        <v>37053</v>
      </c>
      <c r="C1259" s="10">
        <v>5.2885999999999996E-2</v>
      </c>
      <c r="D1259" s="11">
        <v>1254.3900000000001</v>
      </c>
      <c r="E1259" s="11">
        <v>1.188001188001188</v>
      </c>
      <c r="L1259" s="9">
        <v>37053</v>
      </c>
      <c r="M1259" s="14">
        <f t="shared" si="60"/>
        <v>-1.4607788336128302E-2</v>
      </c>
      <c r="N1259" s="14">
        <f t="shared" si="61"/>
        <v>-8.3559954464962338E-3</v>
      </c>
      <c r="O1259" s="14">
        <f t="shared" si="62"/>
        <v>7.840807840807873E-3</v>
      </c>
      <c r="P1259" s="14">
        <f t="array" ref="P1259">MMULT(M1259:O1259,$I$9:$I$11)</f>
        <v>3.4683497107817199E-3</v>
      </c>
    </row>
    <row r="1260" spans="2:16" x14ac:dyDescent="0.25">
      <c r="B1260" s="9">
        <v>37054</v>
      </c>
      <c r="C1260" s="10">
        <v>5.2507999999999999E-2</v>
      </c>
      <c r="D1260" s="11">
        <v>1255.8499999999999</v>
      </c>
      <c r="E1260" s="11">
        <v>1.1777869383428539</v>
      </c>
      <c r="L1260" s="9">
        <v>37054</v>
      </c>
      <c r="M1260" s="14">
        <f t="shared" si="60"/>
        <v>-7.1474492304200998E-3</v>
      </c>
      <c r="N1260" s="14">
        <f t="shared" si="61"/>
        <v>1.1639123398623497E-3</v>
      </c>
      <c r="O1260" s="14">
        <f t="shared" si="62"/>
        <v>-8.5978446499027639E-3</v>
      </c>
      <c r="P1260" s="14">
        <f t="array" ref="P1260">MMULT(M1260:O1260,$I$9:$I$11)</f>
        <v>-5.9625793474776152E-3</v>
      </c>
    </row>
    <row r="1261" spans="2:16" x14ac:dyDescent="0.25">
      <c r="B1261" s="9">
        <v>37055</v>
      </c>
      <c r="C1261" s="10">
        <v>5.2698000000000002E-2</v>
      </c>
      <c r="D1261" s="11">
        <v>1241.5999999999999</v>
      </c>
      <c r="E1261" s="11">
        <v>1.1743981209630063</v>
      </c>
      <c r="L1261" s="9">
        <v>37055</v>
      </c>
      <c r="M1261" s="14">
        <f t="shared" si="60"/>
        <v>3.6184962291461176E-3</v>
      </c>
      <c r="N1261" s="14">
        <f t="shared" si="61"/>
        <v>-1.1346896524266459E-2</v>
      </c>
      <c r="O1261" s="14">
        <f t="shared" si="62"/>
        <v>-2.8772753963595132E-3</v>
      </c>
      <c r="P1261" s="14">
        <f t="array" ref="P1261">MMULT(M1261:O1261,$I$9:$I$11)</f>
        <v>-5.1637181654697883E-3</v>
      </c>
    </row>
    <row r="1262" spans="2:16" x14ac:dyDescent="0.25">
      <c r="B1262" s="9">
        <v>37056</v>
      </c>
      <c r="C1262" s="10">
        <v>5.2320000000000005E-2</v>
      </c>
      <c r="D1262" s="11">
        <v>1219.8699999999999</v>
      </c>
      <c r="E1262" s="11">
        <v>1.1644154634373545</v>
      </c>
      <c r="L1262" s="9">
        <v>37056</v>
      </c>
      <c r="M1262" s="14">
        <f t="shared" si="60"/>
        <v>-7.1729477399521402E-3</v>
      </c>
      <c r="N1262" s="14">
        <f t="shared" si="61"/>
        <v>-1.7501610824742331E-2</v>
      </c>
      <c r="O1262" s="14">
        <f t="shared" si="62"/>
        <v>-8.50023288309254E-3</v>
      </c>
      <c r="P1262" s="14">
        <f t="array" ref="P1262">MMULT(M1262:O1262,$I$9:$I$11)</f>
        <v>-1.0930227707642621E-2</v>
      </c>
    </row>
    <row r="1263" spans="2:16" x14ac:dyDescent="0.25">
      <c r="B1263" s="9">
        <v>37057</v>
      </c>
      <c r="C1263" s="10">
        <v>5.2427000000000001E-2</v>
      </c>
      <c r="D1263" s="11">
        <v>1214.3599999999999</v>
      </c>
      <c r="E1263" s="11">
        <v>1.1598237067965669</v>
      </c>
      <c r="L1263" s="9">
        <v>37057</v>
      </c>
      <c r="M1263" s="14">
        <f t="shared" si="60"/>
        <v>2.0451070336391375E-3</v>
      </c>
      <c r="N1263" s="14">
        <f t="shared" si="61"/>
        <v>-4.5168747489486849E-3</v>
      </c>
      <c r="O1263" s="14">
        <f t="shared" si="62"/>
        <v>-3.9434006031083824E-3</v>
      </c>
      <c r="P1263" s="14">
        <f t="array" ref="P1263">MMULT(M1263:O1263,$I$9:$I$11)</f>
        <v>-4.098214589971132E-3</v>
      </c>
    </row>
    <row r="1264" spans="2:16" x14ac:dyDescent="0.25">
      <c r="B1264" s="9">
        <v>37060</v>
      </c>
      <c r="C1264" s="10">
        <v>5.2595999999999997E-2</v>
      </c>
      <c r="D1264" s="11">
        <v>1208.43</v>
      </c>
      <c r="E1264" s="11">
        <v>1.1611030478955007</v>
      </c>
      <c r="L1264" s="9">
        <v>37060</v>
      </c>
      <c r="M1264" s="14">
        <f t="shared" si="60"/>
        <v>3.223529860567842E-3</v>
      </c>
      <c r="N1264" s="14">
        <f t="shared" si="61"/>
        <v>-4.8832306729469366E-3</v>
      </c>
      <c r="O1264" s="14">
        <f t="shared" si="62"/>
        <v>1.1030478955007528E-3</v>
      </c>
      <c r="P1264" s="14">
        <f t="array" ref="P1264">MMULT(M1264:O1264,$I$9:$I$11)</f>
        <v>-5.1299645170247256E-4</v>
      </c>
    </row>
    <row r="1265" spans="2:16" x14ac:dyDescent="0.25">
      <c r="B1265" s="9">
        <v>37061</v>
      </c>
      <c r="C1265" s="10">
        <v>5.2407000000000002E-2</v>
      </c>
      <c r="D1265" s="11">
        <v>1212.58</v>
      </c>
      <c r="E1265" s="11">
        <v>1.1663847903423341</v>
      </c>
      <c r="L1265" s="9">
        <v>37061</v>
      </c>
      <c r="M1265" s="14">
        <f t="shared" si="60"/>
        <v>-3.5934291581107836E-3</v>
      </c>
      <c r="N1265" s="14">
        <f t="shared" si="61"/>
        <v>3.4342080219789128E-3</v>
      </c>
      <c r="O1265" s="14">
        <f t="shared" si="62"/>
        <v>4.5489006823353773E-3</v>
      </c>
      <c r="P1265" s="14">
        <f t="array" ref="P1265">MMULT(M1265:O1265,$I$9:$I$11)</f>
        <v>4.2479803773344173E-3</v>
      </c>
    </row>
    <row r="1266" spans="2:16" x14ac:dyDescent="0.25">
      <c r="B1266" s="9">
        <v>37062</v>
      </c>
      <c r="C1266" s="10">
        <v>5.2134E-2</v>
      </c>
      <c r="D1266" s="11">
        <v>1223.1400000000001</v>
      </c>
      <c r="E1266" s="11">
        <v>1.1739155954686857</v>
      </c>
      <c r="L1266" s="9">
        <v>37062</v>
      </c>
      <c r="M1266" s="14">
        <f t="shared" si="60"/>
        <v>-5.2092277749156146E-3</v>
      </c>
      <c r="N1266" s="14">
        <f t="shared" si="61"/>
        <v>8.7087037556285996E-3</v>
      </c>
      <c r="O1266" s="14">
        <f t="shared" si="62"/>
        <v>6.4565357750776542E-3</v>
      </c>
      <c r="P1266" s="14">
        <f t="array" ref="P1266">MMULT(M1266:O1266,$I$9:$I$11)</f>
        <v>7.0645267484855702E-3</v>
      </c>
    </row>
    <row r="1267" spans="2:16" x14ac:dyDescent="0.25">
      <c r="B1267" s="9">
        <v>37063</v>
      </c>
      <c r="C1267" s="10">
        <v>5.1778000000000005E-2</v>
      </c>
      <c r="D1267" s="11">
        <v>1237.04</v>
      </c>
      <c r="E1267" s="11">
        <v>1.1715775291429911</v>
      </c>
      <c r="L1267" s="9">
        <v>37063</v>
      </c>
      <c r="M1267" s="14">
        <f t="shared" si="60"/>
        <v>-6.828557179575645E-3</v>
      </c>
      <c r="N1267" s="14">
        <f t="shared" si="61"/>
        <v>1.1364193796294719E-2</v>
      </c>
      <c r="O1267" s="14">
        <f t="shared" si="62"/>
        <v>-1.9916817995430103E-3</v>
      </c>
      <c r="P1267" s="14">
        <f t="array" ref="P1267">MMULT(M1267:O1267,$I$9:$I$11)</f>
        <v>1.6138449082125845E-3</v>
      </c>
    </row>
    <row r="1268" spans="2:16" x14ac:dyDescent="0.25">
      <c r="B1268" s="9">
        <v>37064</v>
      </c>
      <c r="C1268" s="10">
        <v>5.1235999999999997E-2</v>
      </c>
      <c r="D1268" s="11">
        <v>1225.3499999999999</v>
      </c>
      <c r="E1268" s="11">
        <v>1.1704119850187265</v>
      </c>
      <c r="L1268" s="9">
        <v>37064</v>
      </c>
      <c r="M1268" s="14">
        <f t="shared" si="60"/>
        <v>-1.0467766232763132E-2</v>
      </c>
      <c r="N1268" s="14">
        <f t="shared" si="61"/>
        <v>-9.449977365323714E-3</v>
      </c>
      <c r="O1268" s="14">
        <f t="shared" si="62"/>
        <v>-9.948501872660831E-4</v>
      </c>
      <c r="P1268" s="14">
        <f t="array" ref="P1268">MMULT(M1268:O1268,$I$9:$I$11)</f>
        <v>-3.2773801973133079E-3</v>
      </c>
    </row>
    <row r="1269" spans="2:16" x14ac:dyDescent="0.25">
      <c r="B1269" s="9">
        <v>37067</v>
      </c>
      <c r="C1269" s="10">
        <v>5.1277999999999997E-2</v>
      </c>
      <c r="D1269" s="11">
        <v>1218.5999999999999</v>
      </c>
      <c r="E1269" s="11">
        <v>1.1610356437942646</v>
      </c>
      <c r="L1269" s="9">
        <v>37067</v>
      </c>
      <c r="M1269" s="14">
        <f t="shared" si="60"/>
        <v>8.1973612303842813E-4</v>
      </c>
      <c r="N1269" s="14">
        <f t="shared" si="61"/>
        <v>-5.5086301872934174E-3</v>
      </c>
      <c r="O1269" s="14">
        <f t="shared" si="62"/>
        <v>-8.01114594218022E-3</v>
      </c>
      <c r="P1269" s="14">
        <f t="array" ref="P1269">MMULT(M1269:O1269,$I$9:$I$11)</f>
        <v>-7.3355715609965972E-3</v>
      </c>
    </row>
    <row r="1270" spans="2:16" x14ac:dyDescent="0.25">
      <c r="B1270" s="9">
        <v>37068</v>
      </c>
      <c r="C1270" s="10">
        <v>5.2263999999999998E-2</v>
      </c>
      <c r="D1270" s="11">
        <v>1216.76</v>
      </c>
      <c r="E1270" s="11">
        <v>1.1605640341205825</v>
      </c>
      <c r="L1270" s="9">
        <v>37068</v>
      </c>
      <c r="M1270" s="14">
        <f t="shared" si="60"/>
        <v>1.9228519053005266E-2</v>
      </c>
      <c r="N1270" s="14">
        <f t="shared" si="61"/>
        <v>-1.5099294272115094E-3</v>
      </c>
      <c r="O1270" s="14">
        <f t="shared" si="62"/>
        <v>-4.0619741194236614E-4</v>
      </c>
      <c r="P1270" s="14">
        <f t="array" ref="P1270">MMULT(M1270:O1270,$I$9:$I$11)</f>
        <v>-7.0415880209622459E-4</v>
      </c>
    </row>
    <row r="1271" spans="2:16" x14ac:dyDescent="0.25">
      <c r="B1271" s="9">
        <v>37069</v>
      </c>
      <c r="C1271" s="10">
        <v>5.2432999999999994E-2</v>
      </c>
      <c r="D1271" s="11">
        <v>1211.07</v>
      </c>
      <c r="E1271" s="11">
        <v>1.1629259216187928</v>
      </c>
      <c r="L1271" s="9">
        <v>37069</v>
      </c>
      <c r="M1271" s="14">
        <f t="shared" si="60"/>
        <v>3.2335833460890306E-3</v>
      </c>
      <c r="N1271" s="14">
        <f t="shared" si="61"/>
        <v>-4.6763535947927926E-3</v>
      </c>
      <c r="O1271" s="14">
        <f t="shared" si="62"/>
        <v>2.0351203628328207E-3</v>
      </c>
      <c r="P1271" s="14">
        <f t="array" ref="P1271">MMULT(M1271:O1271,$I$9:$I$11)</f>
        <v>2.2330365123013384E-4</v>
      </c>
    </row>
    <row r="1272" spans="2:16" x14ac:dyDescent="0.25">
      <c r="B1272" s="9">
        <v>37070</v>
      </c>
      <c r="C1272" s="10">
        <v>5.3409000000000005E-2</v>
      </c>
      <c r="D1272" s="11">
        <v>1226.2</v>
      </c>
      <c r="E1272" s="11">
        <v>1.1786198361718427</v>
      </c>
      <c r="L1272" s="9">
        <v>37070</v>
      </c>
      <c r="M1272" s="14">
        <f t="shared" si="60"/>
        <v>1.8614231495432509E-2</v>
      </c>
      <c r="N1272" s="14">
        <f t="shared" si="61"/>
        <v>1.2493084627643425E-2</v>
      </c>
      <c r="O1272" s="14">
        <f t="shared" si="62"/>
        <v>1.349519712416769E-2</v>
      </c>
      <c r="P1272" s="14">
        <f t="array" ref="P1272">MMULT(M1272:O1272,$I$9:$I$11)</f>
        <v>1.322466874551763E-2</v>
      </c>
    </row>
    <row r="1273" spans="2:16" x14ac:dyDescent="0.25">
      <c r="B1273" s="9">
        <v>37071</v>
      </c>
      <c r="C1273" s="10">
        <v>5.4160000000000007E-2</v>
      </c>
      <c r="D1273" s="11">
        <v>1224.3599999999999</v>
      </c>
      <c r="E1273" s="11">
        <v>1.1812651349595416</v>
      </c>
      <c r="L1273" s="9">
        <v>37071</v>
      </c>
      <c r="M1273" s="14">
        <f t="shared" si="60"/>
        <v>1.4061300529873311E-2</v>
      </c>
      <c r="N1273" s="14">
        <f t="shared" si="61"/>
        <v>-1.5005708693526243E-3</v>
      </c>
      <c r="O1273" s="14">
        <f t="shared" si="62"/>
        <v>2.2444037564230968E-3</v>
      </c>
      <c r="P1273" s="14">
        <f t="array" ref="P1273">MMULT(M1273:O1273,$I$9:$I$11)</f>
        <v>1.233417547678432E-3</v>
      </c>
    </row>
    <row r="1274" spans="2:16" x14ac:dyDescent="0.25">
      <c r="B1274" s="9">
        <v>37074</v>
      </c>
      <c r="C1274" s="10">
        <v>5.3246000000000002E-2</v>
      </c>
      <c r="D1274" s="11">
        <v>1236.71</v>
      </c>
      <c r="E1274" s="11">
        <v>1.1816838995568686</v>
      </c>
      <c r="L1274" s="9">
        <v>37074</v>
      </c>
      <c r="M1274" s="14">
        <f t="shared" si="60"/>
        <v>-1.6875923190546649E-2</v>
      </c>
      <c r="N1274" s="14">
        <f t="shared" si="61"/>
        <v>1.0086902545003218E-2</v>
      </c>
      <c r="O1274" s="14">
        <f t="shared" si="62"/>
        <v>3.5450516986723635E-4</v>
      </c>
      <c r="P1274" s="14">
        <f t="array" ref="P1274">MMULT(M1274:O1274,$I$9:$I$11)</f>
        <v>2.981844606712465E-3</v>
      </c>
    </row>
    <row r="1275" spans="2:16" x14ac:dyDescent="0.25">
      <c r="B1275" s="9">
        <v>37075</v>
      </c>
      <c r="C1275" s="10">
        <v>5.3802000000000003E-2</v>
      </c>
      <c r="D1275" s="11">
        <v>1234.45</v>
      </c>
      <c r="E1275" s="11">
        <v>1.1810558639423645</v>
      </c>
      <c r="L1275" s="9">
        <v>37075</v>
      </c>
      <c r="M1275" s="14">
        <f t="shared" si="60"/>
        <v>1.0442098937009314E-2</v>
      </c>
      <c r="N1275" s="14">
        <f t="shared" si="61"/>
        <v>-1.8274292275473059E-3</v>
      </c>
      <c r="O1275" s="14">
        <f t="shared" si="62"/>
        <v>-5.3147513877405128E-4</v>
      </c>
      <c r="P1275" s="14">
        <f t="array" ref="P1275">MMULT(M1275:O1275,$I$9:$I$11)</f>
        <v>-8.8132843334600872E-4</v>
      </c>
    </row>
    <row r="1276" spans="2:16" x14ac:dyDescent="0.25">
      <c r="B1276" s="9">
        <v>37076</v>
      </c>
      <c r="C1276" s="10">
        <v>5.3802000000000003E-2</v>
      </c>
      <c r="D1276" s="11">
        <v>1234.45</v>
      </c>
      <c r="E1276" s="11">
        <v>1.182382500738989</v>
      </c>
      <c r="L1276" s="9">
        <v>37076</v>
      </c>
      <c r="M1276" s="14">
        <f t="shared" si="60"/>
        <v>0</v>
      </c>
      <c r="N1276" s="14">
        <f t="shared" si="61"/>
        <v>0</v>
      </c>
      <c r="O1276" s="14">
        <f t="shared" si="62"/>
        <v>1.1232633757018995E-3</v>
      </c>
      <c r="P1276" s="14">
        <f t="array" ref="P1276">MMULT(M1276:O1276,$I$9:$I$11)</f>
        <v>8.2002933672964016E-4</v>
      </c>
    </row>
    <row r="1277" spans="2:16" x14ac:dyDescent="0.25">
      <c r="B1277" s="9">
        <v>37077</v>
      </c>
      <c r="C1277" s="10">
        <v>5.4035E-2</v>
      </c>
      <c r="D1277" s="11">
        <v>1219.24</v>
      </c>
      <c r="E1277" s="11">
        <v>1.1948858883976581</v>
      </c>
      <c r="L1277" s="9">
        <v>37077</v>
      </c>
      <c r="M1277" s="14">
        <f t="shared" si="60"/>
        <v>4.3306940262444193E-3</v>
      </c>
      <c r="N1277" s="14">
        <f t="shared" si="61"/>
        <v>-1.2321276681923177E-2</v>
      </c>
      <c r="O1277" s="14">
        <f t="shared" si="62"/>
        <v>1.0574740112319292E-2</v>
      </c>
      <c r="P1277" s="14">
        <f t="array" ref="P1277">MMULT(M1277:O1277,$I$9:$I$11)</f>
        <v>4.3937750785787329E-3</v>
      </c>
    </row>
    <row r="1278" spans="2:16" x14ac:dyDescent="0.25">
      <c r="B1278" s="9">
        <v>37078</v>
      </c>
      <c r="C1278" s="10">
        <v>5.3617999999999999E-2</v>
      </c>
      <c r="D1278" s="11">
        <v>1190.5899999999999</v>
      </c>
      <c r="E1278" s="11">
        <v>1.1841326228537596</v>
      </c>
      <c r="L1278" s="9">
        <v>37078</v>
      </c>
      <c r="M1278" s="14">
        <f t="shared" si="60"/>
        <v>-7.7172203201628653E-3</v>
      </c>
      <c r="N1278" s="14">
        <f t="shared" si="61"/>
        <v>-2.3498244808241253E-2</v>
      </c>
      <c r="O1278" s="14">
        <f t="shared" si="62"/>
        <v>-8.9994079336885857E-3</v>
      </c>
      <c r="P1278" s="14">
        <f t="array" ref="P1278">MMULT(M1278:O1278,$I$9:$I$11)</f>
        <v>-1.2913486288752236E-2</v>
      </c>
    </row>
    <row r="1279" spans="2:16" x14ac:dyDescent="0.25">
      <c r="B1279" s="9">
        <v>37081</v>
      </c>
      <c r="C1279" s="10">
        <v>5.3326999999999999E-2</v>
      </c>
      <c r="D1279" s="11">
        <v>1198.78</v>
      </c>
      <c r="E1279" s="11">
        <v>1.1775788977861517</v>
      </c>
      <c r="L1279" s="9">
        <v>37081</v>
      </c>
      <c r="M1279" s="14">
        <f t="shared" si="60"/>
        <v>-5.4272818829497194E-3</v>
      </c>
      <c r="N1279" s="14">
        <f t="shared" si="61"/>
        <v>6.8789423731092647E-3</v>
      </c>
      <c r="O1279" s="14">
        <f t="shared" si="62"/>
        <v>-5.5346208195949931E-3</v>
      </c>
      <c r="P1279" s="14">
        <f t="array" ref="P1279">MMULT(M1279:O1279,$I$9:$I$11)</f>
        <v>-2.1834789713094816E-3</v>
      </c>
    </row>
    <row r="1280" spans="2:16" x14ac:dyDescent="0.25">
      <c r="B1280" s="9">
        <v>37082</v>
      </c>
      <c r="C1280" s="10">
        <v>5.2723000000000006E-2</v>
      </c>
      <c r="D1280" s="11">
        <v>1181.52</v>
      </c>
      <c r="E1280" s="11">
        <v>1.168360789811894</v>
      </c>
      <c r="L1280" s="9">
        <v>37082</v>
      </c>
      <c r="M1280" s="14">
        <f t="shared" si="60"/>
        <v>-1.1326345003469074E-2</v>
      </c>
      <c r="N1280" s="14">
        <f t="shared" si="61"/>
        <v>-1.4397971270792009E-2</v>
      </c>
      <c r="O1280" s="14">
        <f t="shared" si="62"/>
        <v>-7.8280172917396529E-3</v>
      </c>
      <c r="P1280" s="14">
        <f t="array" ref="P1280">MMULT(M1280:O1280,$I$9:$I$11)</f>
        <v>-9.6016295397887939E-3</v>
      </c>
    </row>
    <row r="1281" spans="2:16" x14ac:dyDescent="0.25">
      <c r="B1281" s="9">
        <v>37083</v>
      </c>
      <c r="C1281" s="10">
        <v>5.2908999999999998E-2</v>
      </c>
      <c r="D1281" s="11">
        <v>1180.18</v>
      </c>
      <c r="E1281" s="11">
        <v>1.1610356437942646</v>
      </c>
      <c r="L1281" s="9">
        <v>37083</v>
      </c>
      <c r="M1281" s="14">
        <f t="shared" si="60"/>
        <v>3.5278720861862123E-3</v>
      </c>
      <c r="N1281" s="14">
        <f t="shared" si="61"/>
        <v>-1.1341323041504925E-3</v>
      </c>
      <c r="O1281" s="14">
        <f t="shared" si="62"/>
        <v>-6.2695924764889499E-3</v>
      </c>
      <c r="P1281" s="14">
        <f t="array" ref="P1281">MMULT(M1281:O1281,$I$9:$I$11)</f>
        <v>-4.8832334410879421E-3</v>
      </c>
    </row>
    <row r="1282" spans="2:16" x14ac:dyDescent="0.25">
      <c r="B1282" s="9">
        <v>37084</v>
      </c>
      <c r="C1282" s="10">
        <v>5.2427000000000001E-2</v>
      </c>
      <c r="D1282" s="11">
        <v>1208.1400000000001</v>
      </c>
      <c r="E1282" s="11">
        <v>1.1730893307525367</v>
      </c>
      <c r="L1282" s="9">
        <v>37084</v>
      </c>
      <c r="M1282" s="14">
        <f t="shared" si="60"/>
        <v>-9.109981288627611E-3</v>
      </c>
      <c r="N1282" s="14">
        <f t="shared" si="61"/>
        <v>2.3691301326916214E-2</v>
      </c>
      <c r="O1282" s="14">
        <f t="shared" si="62"/>
        <v>1.0381840577159851E-2</v>
      </c>
      <c r="P1282" s="14">
        <f t="array" ref="P1282">MMULT(M1282:O1282,$I$9:$I$11)</f>
        <v>1.3974837221575017E-2</v>
      </c>
    </row>
    <row r="1283" spans="2:16" x14ac:dyDescent="0.25">
      <c r="B1283" s="9">
        <v>37085</v>
      </c>
      <c r="C1283" s="10">
        <v>5.2278999999999999E-2</v>
      </c>
      <c r="D1283" s="11">
        <v>1215.68</v>
      </c>
      <c r="E1283" s="11">
        <v>1.1741912757588211</v>
      </c>
      <c r="L1283" s="9">
        <v>37085</v>
      </c>
      <c r="M1283" s="14">
        <f t="shared" si="60"/>
        <v>-2.8229728956453704E-3</v>
      </c>
      <c r="N1283" s="14">
        <f t="shared" si="61"/>
        <v>6.2409985597695616E-3</v>
      </c>
      <c r="O1283" s="14">
        <f t="shared" si="62"/>
        <v>9.3935302060699222E-4</v>
      </c>
      <c r="P1283" s="14">
        <f t="array" ref="P1283">MMULT(M1283:O1283,$I$9:$I$11)</f>
        <v>2.3705751407397291E-3</v>
      </c>
    </row>
    <row r="1284" spans="2:16" x14ac:dyDescent="0.25">
      <c r="B1284" s="9">
        <v>37088</v>
      </c>
      <c r="C1284" s="10">
        <v>5.1733000000000001E-2</v>
      </c>
      <c r="D1284" s="11">
        <v>1202.45</v>
      </c>
      <c r="E1284" s="11">
        <v>1.1695906432748537</v>
      </c>
      <c r="L1284" s="9">
        <v>37088</v>
      </c>
      <c r="M1284" s="14">
        <f t="shared" si="60"/>
        <v>-1.0443964115610438E-2</v>
      </c>
      <c r="N1284" s="14">
        <f t="shared" si="61"/>
        <v>-1.0882798104764446E-2</v>
      </c>
      <c r="O1284" s="14">
        <f t="shared" si="62"/>
        <v>-3.918128654970765E-3</v>
      </c>
      <c r="P1284" s="14">
        <f t="array" ref="P1284">MMULT(M1284:O1284,$I$9:$I$11)</f>
        <v>-5.7982975388248762E-3</v>
      </c>
    </row>
    <row r="1285" spans="2:16" x14ac:dyDescent="0.25">
      <c r="B1285" s="9">
        <v>37089</v>
      </c>
      <c r="C1285" s="10">
        <v>5.2091999999999999E-2</v>
      </c>
      <c r="D1285" s="11">
        <v>1214.44</v>
      </c>
      <c r="E1285" s="11">
        <v>1.1743981209630063</v>
      </c>
      <c r="L1285" s="9">
        <v>37089</v>
      </c>
      <c r="M1285" s="14">
        <f t="shared" si="60"/>
        <v>6.9394777028202181E-3</v>
      </c>
      <c r="N1285" s="14">
        <f t="shared" si="61"/>
        <v>9.9713085783192934E-3</v>
      </c>
      <c r="O1285" s="14">
        <f t="shared" si="62"/>
        <v>4.1103934233703843E-3</v>
      </c>
      <c r="P1285" s="14">
        <f t="array" ref="P1285">MMULT(M1285:O1285,$I$9:$I$11)</f>
        <v>5.6925949025188848E-3</v>
      </c>
    </row>
    <row r="1286" spans="2:16" x14ac:dyDescent="0.25">
      <c r="B1286" s="9">
        <v>37090</v>
      </c>
      <c r="C1286" s="10">
        <v>5.0957000000000002E-2</v>
      </c>
      <c r="D1286" s="11">
        <v>1207.71</v>
      </c>
      <c r="E1286" s="11">
        <v>1.1477761836441893</v>
      </c>
      <c r="L1286" s="9">
        <v>37090</v>
      </c>
      <c r="M1286" s="14">
        <f t="shared" si="60"/>
        <v>-2.1788374414497325E-2</v>
      </c>
      <c r="N1286" s="14">
        <f t="shared" si="61"/>
        <v>-5.5416488257962193E-3</v>
      </c>
      <c r="O1286" s="14">
        <f t="shared" si="62"/>
        <v>-2.2668579626972662E-2</v>
      </c>
      <c r="P1286" s="14">
        <f t="array" ref="P1286">MMULT(M1286:O1286,$I$9:$I$11)</f>
        <v>-1.8045026046946203E-2</v>
      </c>
    </row>
    <row r="1287" spans="2:16" x14ac:dyDescent="0.25">
      <c r="B1287" s="9">
        <v>37091</v>
      </c>
      <c r="C1287" s="10">
        <v>5.1098999999999999E-2</v>
      </c>
      <c r="D1287" s="11">
        <v>1215.02</v>
      </c>
      <c r="E1287" s="11">
        <v>1.1498217776244681</v>
      </c>
      <c r="L1287" s="9">
        <v>37091</v>
      </c>
      <c r="M1287" s="14">
        <f t="shared" si="60"/>
        <v>2.7866632651059042E-3</v>
      </c>
      <c r="N1287" s="14">
        <f t="shared" si="61"/>
        <v>6.0527775707743814E-3</v>
      </c>
      <c r="O1287" s="14">
        <f t="shared" si="62"/>
        <v>1.782223755318002E-3</v>
      </c>
      <c r="P1287" s="14">
        <f t="array" ref="P1287">MMULT(M1287:O1287,$I$9:$I$11)</f>
        <v>2.9350943198906531E-3</v>
      </c>
    </row>
    <row r="1288" spans="2:16" x14ac:dyDescent="0.25">
      <c r="B1288" s="9">
        <v>37092</v>
      </c>
      <c r="C1288" s="10">
        <v>5.1272999999999999E-2</v>
      </c>
      <c r="D1288" s="11">
        <v>1210.8499999999999</v>
      </c>
      <c r="E1288" s="11">
        <v>1.1456722231769489</v>
      </c>
      <c r="L1288" s="9">
        <v>37092</v>
      </c>
      <c r="M1288" s="14">
        <f t="shared" si="60"/>
        <v>3.4051546997004856E-3</v>
      </c>
      <c r="N1288" s="14">
        <f t="shared" si="61"/>
        <v>-3.432042270909208E-3</v>
      </c>
      <c r="O1288" s="14">
        <f t="shared" si="62"/>
        <v>-3.6088675030074846E-3</v>
      </c>
      <c r="P1288" s="14">
        <f t="array" ref="P1288">MMULT(M1288:O1288,$I$9:$I$11)</f>
        <v>-3.5611321005353243E-3</v>
      </c>
    </row>
    <row r="1289" spans="2:16" x14ac:dyDescent="0.25">
      <c r="B1289" s="9">
        <v>37095</v>
      </c>
      <c r="C1289" s="10">
        <v>5.1038E-2</v>
      </c>
      <c r="D1289" s="11">
        <v>1191.03</v>
      </c>
      <c r="E1289" s="11">
        <v>1.1520737327188941</v>
      </c>
      <c r="L1289" s="9">
        <v>37095</v>
      </c>
      <c r="M1289" s="14">
        <f t="shared" ref="M1289:M1352" si="63">C1289/C1288-1</f>
        <v>-4.5833089540303629E-3</v>
      </c>
      <c r="N1289" s="14">
        <f t="shared" ref="N1289:N1352" si="64">D1289/D1288-1</f>
        <v>-1.6368666639137719E-2</v>
      </c>
      <c r="O1289" s="14">
        <f t="shared" ref="O1289:O1352" si="65">E1289/E1288-1</f>
        <v>5.587557603686788E-3</v>
      </c>
      <c r="P1289" s="14">
        <f t="array" ref="P1289">MMULT(M1289:O1289,$I$9:$I$11)</f>
        <v>-3.3970282494774368E-4</v>
      </c>
    </row>
    <row r="1290" spans="2:16" x14ac:dyDescent="0.25">
      <c r="B1290" s="9">
        <v>37096</v>
      </c>
      <c r="C1290" s="10">
        <v>5.1143000000000001E-2</v>
      </c>
      <c r="D1290" s="11">
        <v>1171.6500000000001</v>
      </c>
      <c r="E1290" s="11">
        <v>1.1436413540713632</v>
      </c>
      <c r="L1290" s="9">
        <v>37096</v>
      </c>
      <c r="M1290" s="14">
        <f t="shared" si="63"/>
        <v>2.0572906461853169E-3</v>
      </c>
      <c r="N1290" s="14">
        <f t="shared" si="64"/>
        <v>-1.6271630437520335E-2</v>
      </c>
      <c r="O1290" s="14">
        <f t="shared" si="65"/>
        <v>-7.3193046660567918E-3</v>
      </c>
      <c r="P1290" s="14">
        <f t="array" ref="P1290">MMULT(M1290:O1290,$I$9:$I$11)</f>
        <v>-9.7360574602801588E-3</v>
      </c>
    </row>
    <row r="1291" spans="2:16" x14ac:dyDescent="0.25">
      <c r="B1291" s="9">
        <v>37097</v>
      </c>
      <c r="C1291" s="10">
        <v>5.1879999999999996E-2</v>
      </c>
      <c r="D1291" s="11">
        <v>1190.49</v>
      </c>
      <c r="E1291" s="11">
        <v>1.1374623215605983</v>
      </c>
      <c r="L1291" s="9">
        <v>37097</v>
      </c>
      <c r="M1291" s="14">
        <f t="shared" si="63"/>
        <v>1.4410574272138765E-2</v>
      </c>
      <c r="N1291" s="14">
        <f t="shared" si="64"/>
        <v>1.6079887338368959E-2</v>
      </c>
      <c r="O1291" s="14">
        <f t="shared" si="65"/>
        <v>-5.4029460274128693E-3</v>
      </c>
      <c r="P1291" s="14">
        <f t="array" ref="P1291">MMULT(M1291:O1291,$I$9:$I$11)</f>
        <v>3.9651870275640103E-4</v>
      </c>
    </row>
    <row r="1292" spans="2:16" x14ac:dyDescent="0.25">
      <c r="B1292" s="9">
        <v>37098</v>
      </c>
      <c r="C1292" s="10">
        <v>5.1338999999999996E-2</v>
      </c>
      <c r="D1292" s="11">
        <v>1202.93</v>
      </c>
      <c r="E1292" s="11">
        <v>1.1405759908753921</v>
      </c>
      <c r="L1292" s="9">
        <v>37098</v>
      </c>
      <c r="M1292" s="14">
        <f t="shared" si="63"/>
        <v>-1.0427910562837317E-2</v>
      </c>
      <c r="N1292" s="14">
        <f t="shared" si="64"/>
        <v>1.0449478786046074E-2</v>
      </c>
      <c r="O1292" s="14">
        <f t="shared" si="65"/>
        <v>2.7373823781009499E-3</v>
      </c>
      <c r="P1292" s="14">
        <f t="array" ref="P1292">MMULT(M1292:O1292,$I$9:$I$11)</f>
        <v>4.8193252183216049E-3</v>
      </c>
    </row>
    <row r="1293" spans="2:16" x14ac:dyDescent="0.25">
      <c r="B1293" s="9">
        <v>37099</v>
      </c>
      <c r="C1293" s="10">
        <v>5.0960999999999999E-2</v>
      </c>
      <c r="D1293" s="11">
        <v>1205.82</v>
      </c>
      <c r="E1293" s="11">
        <v>1.14501631648251</v>
      </c>
      <c r="L1293" s="9">
        <v>37099</v>
      </c>
      <c r="M1293" s="14">
        <f t="shared" si="63"/>
        <v>-7.3628235844094281E-3</v>
      </c>
      <c r="N1293" s="14">
        <f t="shared" si="64"/>
        <v>2.4024673089870774E-3</v>
      </c>
      <c r="O1293" s="14">
        <f t="shared" si="65"/>
        <v>3.8930554760405744E-3</v>
      </c>
      <c r="P1293" s="14">
        <f t="array" ref="P1293">MMULT(M1293:O1293,$I$9:$I$11)</f>
        <v>3.4906591368405655E-3</v>
      </c>
    </row>
    <row r="1294" spans="2:16" x14ac:dyDescent="0.25">
      <c r="B1294" s="9">
        <v>37102</v>
      </c>
      <c r="C1294" s="10">
        <v>5.0736999999999997E-2</v>
      </c>
      <c r="D1294" s="11">
        <v>1204.52</v>
      </c>
      <c r="E1294" s="11">
        <v>1.1426612580700453</v>
      </c>
      <c r="L1294" s="9">
        <v>37102</v>
      </c>
      <c r="M1294" s="14">
        <f t="shared" si="63"/>
        <v>-4.3955181413237732E-3</v>
      </c>
      <c r="N1294" s="14">
        <f t="shared" si="64"/>
        <v>-1.0781045263803524E-3</v>
      </c>
      <c r="O1294" s="14">
        <f t="shared" si="65"/>
        <v>-2.0567902645260983E-3</v>
      </c>
      <c r="P1294" s="14">
        <f t="array" ref="P1294">MMULT(M1294:O1294,$I$9:$I$11)</f>
        <v>-1.7925861288958088E-3</v>
      </c>
    </row>
    <row r="1295" spans="2:16" x14ac:dyDescent="0.25">
      <c r="B1295" s="9">
        <v>37103</v>
      </c>
      <c r="C1295" s="10">
        <v>5.0553999999999995E-2</v>
      </c>
      <c r="D1295" s="11">
        <v>1211.23</v>
      </c>
      <c r="E1295" s="11">
        <v>1.1429224527115835</v>
      </c>
      <c r="L1295" s="9">
        <v>37103</v>
      </c>
      <c r="M1295" s="14">
        <f t="shared" si="63"/>
        <v>-3.6068352484380783E-3</v>
      </c>
      <c r="N1295" s="14">
        <f t="shared" si="64"/>
        <v>5.5706837578455293E-3</v>
      </c>
      <c r="O1295" s="14">
        <f t="shared" si="65"/>
        <v>2.2858449054230512E-4</v>
      </c>
      <c r="P1295" s="14">
        <f t="array" ref="P1295">MMULT(M1295:O1295,$I$9:$I$11)</f>
        <v>1.6707274219833524E-3</v>
      </c>
    </row>
    <row r="1296" spans="2:16" x14ac:dyDescent="0.25">
      <c r="B1296" s="9">
        <v>37104</v>
      </c>
      <c r="C1296" s="10">
        <v>5.0721999999999996E-2</v>
      </c>
      <c r="D1296" s="11">
        <v>1215.93</v>
      </c>
      <c r="E1296" s="11">
        <v>1.1377211445474713</v>
      </c>
      <c r="L1296" s="9">
        <v>37104</v>
      </c>
      <c r="M1296" s="14">
        <f t="shared" si="63"/>
        <v>3.3231791747438955E-3</v>
      </c>
      <c r="N1296" s="14">
        <f t="shared" si="64"/>
        <v>3.8803530295650202E-3</v>
      </c>
      <c r="O1296" s="14">
        <f t="shared" si="65"/>
        <v>-4.5508845781899732E-3</v>
      </c>
      <c r="P1296" s="14">
        <f t="array" ref="P1296">MMULT(M1296:O1296,$I$9:$I$11)</f>
        <v>-2.274803750987024E-3</v>
      </c>
    </row>
    <row r="1297" spans="2:16" x14ac:dyDescent="0.25">
      <c r="B1297" s="9">
        <v>37105</v>
      </c>
      <c r="C1297" s="10">
        <v>5.1589000000000003E-2</v>
      </c>
      <c r="D1297" s="11">
        <v>1220.75</v>
      </c>
      <c r="E1297" s="11">
        <v>1.1339154099104207</v>
      </c>
      <c r="L1297" s="9">
        <v>37105</v>
      </c>
      <c r="M1297" s="14">
        <f t="shared" si="63"/>
        <v>1.7093174559362989E-2</v>
      </c>
      <c r="N1297" s="14">
        <f t="shared" si="64"/>
        <v>3.9640439827950402E-3</v>
      </c>
      <c r="O1297" s="14">
        <f t="shared" si="65"/>
        <v>-3.3450504592356101E-3</v>
      </c>
      <c r="P1297" s="14">
        <f t="array" ref="P1297">MMULT(M1297:O1297,$I$9:$I$11)</f>
        <v>-1.3719012612554888E-3</v>
      </c>
    </row>
    <row r="1298" spans="2:16" x14ac:dyDescent="0.25">
      <c r="B1298" s="9">
        <v>37106</v>
      </c>
      <c r="C1298" s="10">
        <v>5.1643000000000001E-2</v>
      </c>
      <c r="D1298" s="11">
        <v>1214.3499999999999</v>
      </c>
      <c r="E1298" s="11">
        <v>1.1290504685559444</v>
      </c>
      <c r="L1298" s="9">
        <v>37106</v>
      </c>
      <c r="M1298" s="14">
        <f t="shared" si="63"/>
        <v>1.0467347690399365E-3</v>
      </c>
      <c r="N1298" s="14">
        <f t="shared" si="64"/>
        <v>-5.2426786811387016E-3</v>
      </c>
      <c r="O1298" s="14">
        <f t="shared" si="65"/>
        <v>-4.2903917805127145E-3</v>
      </c>
      <c r="P1298" s="14">
        <f t="array" ref="P1298">MMULT(M1298:O1298,$I$9:$I$11)</f>
        <v>-4.5474693363056736E-3</v>
      </c>
    </row>
    <row r="1299" spans="2:16" x14ac:dyDescent="0.25">
      <c r="B1299" s="9">
        <v>37109</v>
      </c>
      <c r="C1299" s="10">
        <v>5.1550000000000006E-2</v>
      </c>
      <c r="D1299" s="11">
        <v>1200.58</v>
      </c>
      <c r="E1299" s="11">
        <v>1.1358473421172195</v>
      </c>
      <c r="L1299" s="9">
        <v>37109</v>
      </c>
      <c r="M1299" s="14">
        <f t="shared" si="63"/>
        <v>-1.800824893983588E-3</v>
      </c>
      <c r="N1299" s="14">
        <f t="shared" si="64"/>
        <v>-1.1339399678840567E-2</v>
      </c>
      <c r="O1299" s="14">
        <f t="shared" si="65"/>
        <v>6.0199909132214735E-3</v>
      </c>
      <c r="P1299" s="14">
        <f t="array" ref="P1299">MMULT(M1299:O1299,$I$9:$I$11)</f>
        <v>1.3336829313212394E-3</v>
      </c>
    </row>
    <row r="1300" spans="2:16" x14ac:dyDescent="0.25">
      <c r="B1300" s="9">
        <v>37110</v>
      </c>
      <c r="C1300" s="10">
        <v>5.1719999999999995E-2</v>
      </c>
      <c r="D1300" s="11">
        <v>1204.4000000000001</v>
      </c>
      <c r="E1300" s="11">
        <v>1.1405759908753921</v>
      </c>
      <c r="L1300" s="9">
        <v>37110</v>
      </c>
      <c r="M1300" s="14">
        <f t="shared" si="63"/>
        <v>3.2977691561588696E-3</v>
      </c>
      <c r="N1300" s="14">
        <f t="shared" si="64"/>
        <v>3.1817954655251057E-3</v>
      </c>
      <c r="O1300" s="14">
        <f t="shared" si="65"/>
        <v>4.1631023666950373E-3</v>
      </c>
      <c r="P1300" s="14">
        <f t="array" ref="P1300">MMULT(M1300:O1300,$I$9:$I$11)</f>
        <v>3.8981906268929908E-3</v>
      </c>
    </row>
    <row r="1301" spans="2:16" x14ac:dyDescent="0.25">
      <c r="B1301" s="9">
        <v>37111</v>
      </c>
      <c r="C1301" s="10">
        <v>5.0442000000000001E-2</v>
      </c>
      <c r="D1301" s="11">
        <v>1183.53</v>
      </c>
      <c r="E1301" s="11">
        <v>1.1410965938266675</v>
      </c>
      <c r="L1301" s="9">
        <v>37111</v>
      </c>
      <c r="M1301" s="14">
        <f t="shared" si="63"/>
        <v>-2.4709976798143796E-2</v>
      </c>
      <c r="N1301" s="14">
        <f t="shared" si="64"/>
        <v>-1.7328130189306012E-2</v>
      </c>
      <c r="O1301" s="14">
        <f t="shared" si="65"/>
        <v>4.5643863753075387E-4</v>
      </c>
      <c r="P1301" s="14">
        <f t="array" ref="P1301">MMULT(M1301:O1301,$I$9:$I$11)</f>
        <v>-4.3446496498639698E-3</v>
      </c>
    </row>
    <row r="1302" spans="2:16" x14ac:dyDescent="0.25">
      <c r="B1302" s="9">
        <v>37112</v>
      </c>
      <c r="C1302" s="10">
        <v>5.0346000000000002E-2</v>
      </c>
      <c r="D1302" s="11">
        <v>1183.43</v>
      </c>
      <c r="E1302" s="11">
        <v>1.1252391133115787</v>
      </c>
      <c r="L1302" s="9">
        <v>37112</v>
      </c>
      <c r="M1302" s="14">
        <f t="shared" si="63"/>
        <v>-1.903175924824474E-3</v>
      </c>
      <c r="N1302" s="14">
        <f t="shared" si="64"/>
        <v>-8.4492999754881559E-5</v>
      </c>
      <c r="O1302" s="14">
        <f t="shared" si="65"/>
        <v>-1.3896703049398051E-2</v>
      </c>
      <c r="P1302" s="14">
        <f t="array" ref="P1302">MMULT(M1302:O1302,$I$9:$I$11)</f>
        <v>-1.016798516266971E-2</v>
      </c>
    </row>
    <row r="1303" spans="2:16" x14ac:dyDescent="0.25">
      <c r="B1303" s="9">
        <v>37113</v>
      </c>
      <c r="C1303" s="10">
        <v>4.9845E-2</v>
      </c>
      <c r="D1303" s="11">
        <v>1190.1600000000001</v>
      </c>
      <c r="E1303" s="11">
        <v>1.1168816663874463</v>
      </c>
      <c r="L1303" s="9">
        <v>37113</v>
      </c>
      <c r="M1303" s="14">
        <f t="shared" si="63"/>
        <v>-9.9511381241806918E-3</v>
      </c>
      <c r="N1303" s="14">
        <f t="shared" si="64"/>
        <v>5.6868593833179215E-3</v>
      </c>
      <c r="O1303" s="14">
        <f t="shared" si="65"/>
        <v>-7.427263081476343E-3</v>
      </c>
      <c r="P1303" s="14">
        <f t="array" ref="P1303">MMULT(M1303:O1303,$I$9:$I$11)</f>
        <v>-3.8869995879822223E-3</v>
      </c>
    </row>
    <row r="1304" spans="2:16" x14ac:dyDescent="0.25">
      <c r="B1304" s="9">
        <v>37116</v>
      </c>
      <c r="C1304" s="10">
        <v>4.9720000000000007E-2</v>
      </c>
      <c r="D1304" s="11">
        <v>1191.29</v>
      </c>
      <c r="E1304" s="11">
        <v>1.1129660545353368</v>
      </c>
      <c r="L1304" s="9">
        <v>37116</v>
      </c>
      <c r="M1304" s="14">
        <f t="shared" si="63"/>
        <v>-2.507774099708926E-3</v>
      </c>
      <c r="N1304" s="14">
        <f t="shared" si="64"/>
        <v>9.4945217449748931E-4</v>
      </c>
      <c r="O1304" s="14">
        <f t="shared" si="65"/>
        <v>-3.5058430717862521E-3</v>
      </c>
      <c r="P1304" s="14">
        <f t="array" ref="P1304">MMULT(M1304:O1304,$I$9:$I$11)</f>
        <v>-2.3031000628278044E-3</v>
      </c>
    </row>
    <row r="1305" spans="2:16" x14ac:dyDescent="0.25">
      <c r="B1305" s="9">
        <v>37117</v>
      </c>
      <c r="C1305" s="10">
        <v>4.9720000000000007E-2</v>
      </c>
      <c r="D1305" s="11">
        <v>1186.73</v>
      </c>
      <c r="E1305" s="11">
        <v>1.1143302874972143</v>
      </c>
      <c r="L1305" s="9">
        <v>37117</v>
      </c>
      <c r="M1305" s="14">
        <f t="shared" si="63"/>
        <v>0</v>
      </c>
      <c r="N1305" s="14">
        <f t="shared" si="64"/>
        <v>-3.8277833273173689E-3</v>
      </c>
      <c r="O1305" s="14">
        <f t="shared" si="65"/>
        <v>1.2257633162469084E-3</v>
      </c>
      <c r="P1305" s="14">
        <f t="array" ref="P1305">MMULT(M1305:O1305,$I$9:$I$11)</f>
        <v>-1.3848249912576599E-4</v>
      </c>
    </row>
    <row r="1306" spans="2:16" x14ac:dyDescent="0.25">
      <c r="B1306" s="9">
        <v>37118</v>
      </c>
      <c r="C1306" s="10">
        <v>5.0039999999999994E-2</v>
      </c>
      <c r="D1306" s="11">
        <v>1178.02</v>
      </c>
      <c r="E1306" s="11">
        <v>1.0975743606629349</v>
      </c>
      <c r="L1306" s="9">
        <v>37118</v>
      </c>
      <c r="M1306" s="14">
        <f t="shared" si="63"/>
        <v>6.4360418342717107E-3</v>
      </c>
      <c r="N1306" s="14">
        <f t="shared" si="64"/>
        <v>-7.3394959257793158E-3</v>
      </c>
      <c r="O1306" s="14">
        <f t="shared" si="65"/>
        <v>-1.5036768741082285E-2</v>
      </c>
      <c r="P1306" s="14">
        <f t="array" ref="P1306">MMULT(M1306:O1306,$I$9:$I$11)</f>
        <v>-1.2958827649664445E-2</v>
      </c>
    </row>
    <row r="1307" spans="2:16" x14ac:dyDescent="0.25">
      <c r="B1307" s="9">
        <v>37119</v>
      </c>
      <c r="C1307" s="10">
        <v>4.9405000000000004E-2</v>
      </c>
      <c r="D1307" s="11">
        <v>1181.6600000000001</v>
      </c>
      <c r="E1307" s="11">
        <v>1.0955302366345312</v>
      </c>
      <c r="L1307" s="9">
        <v>37119</v>
      </c>
      <c r="M1307" s="14">
        <f t="shared" si="63"/>
        <v>-1.2689848121502645E-2</v>
      </c>
      <c r="N1307" s="14">
        <f t="shared" si="64"/>
        <v>3.0899305614506822E-3</v>
      </c>
      <c r="O1307" s="14">
        <f t="shared" si="65"/>
        <v>-1.8624014022786683E-3</v>
      </c>
      <c r="P1307" s="14">
        <f t="array" ref="P1307">MMULT(M1307:O1307,$I$9:$I$11)</f>
        <v>-5.2547930886964343E-4</v>
      </c>
    </row>
    <row r="1308" spans="2:16" x14ac:dyDescent="0.25">
      <c r="B1308" s="9">
        <v>37120</v>
      </c>
      <c r="C1308" s="10">
        <v>4.8467000000000003E-2</v>
      </c>
      <c r="D1308" s="11">
        <v>1161.97</v>
      </c>
      <c r="E1308" s="11">
        <v>1.0910479515574709</v>
      </c>
      <c r="L1308" s="9">
        <v>37120</v>
      </c>
      <c r="M1308" s="14">
        <f t="shared" si="63"/>
        <v>-1.8985932597915256E-2</v>
      </c>
      <c r="N1308" s="14">
        <f t="shared" si="64"/>
        <v>-1.6662999509165166E-2</v>
      </c>
      <c r="O1308" s="14">
        <f t="shared" si="65"/>
        <v>-4.0914298183406528E-3</v>
      </c>
      <c r="P1308" s="14">
        <f t="array" ref="P1308">MMULT(M1308:O1308,$I$9:$I$11)</f>
        <v>-7.4852267995587484E-3</v>
      </c>
    </row>
    <row r="1309" spans="2:16" x14ac:dyDescent="0.25">
      <c r="B1309" s="9">
        <v>37123</v>
      </c>
      <c r="C1309" s="10">
        <v>4.9085000000000004E-2</v>
      </c>
      <c r="D1309" s="11">
        <v>1171.4100000000001</v>
      </c>
      <c r="E1309" s="11">
        <v>1.095890410958904</v>
      </c>
      <c r="L1309" s="9">
        <v>37123</v>
      </c>
      <c r="M1309" s="14">
        <f t="shared" si="63"/>
        <v>1.2750943941238324E-2</v>
      </c>
      <c r="N1309" s="14">
        <f t="shared" si="64"/>
        <v>8.1241340137869766E-3</v>
      </c>
      <c r="O1309" s="14">
        <f t="shared" si="65"/>
        <v>4.4383561643834835E-3</v>
      </c>
      <c r="P1309" s="14">
        <f t="array" ref="P1309">MMULT(M1309:O1309,$I$9:$I$11)</f>
        <v>5.4333617242600489E-3</v>
      </c>
    </row>
    <row r="1310" spans="2:16" x14ac:dyDescent="0.25">
      <c r="B1310" s="9">
        <v>37124</v>
      </c>
      <c r="C1310" s="10">
        <v>4.8701999999999995E-2</v>
      </c>
      <c r="D1310" s="11">
        <v>1157.26</v>
      </c>
      <c r="E1310" s="11">
        <v>1.095830365459427</v>
      </c>
      <c r="L1310" s="9">
        <v>37124</v>
      </c>
      <c r="M1310" s="14">
        <f t="shared" si="63"/>
        <v>-7.8027910767038966E-3</v>
      </c>
      <c r="N1310" s="14">
        <f t="shared" si="64"/>
        <v>-1.2079459796313974E-2</v>
      </c>
      <c r="O1310" s="14">
        <f t="shared" si="65"/>
        <v>-5.4791518272812034E-5</v>
      </c>
      <c r="P1310" s="14">
        <f t="array" ref="P1310">MMULT(M1310:O1310,$I$9:$I$11)</f>
        <v>-3.3009480369731114E-3</v>
      </c>
    </row>
    <row r="1311" spans="2:16" x14ac:dyDescent="0.25">
      <c r="B1311" s="9">
        <v>37125</v>
      </c>
      <c r="C1311" s="10">
        <v>4.9023999999999998E-2</v>
      </c>
      <c r="D1311" s="11">
        <v>1165.31</v>
      </c>
      <c r="E1311" s="11">
        <v>1.0858352787882077</v>
      </c>
      <c r="L1311" s="9">
        <v>37125</v>
      </c>
      <c r="M1311" s="14">
        <f t="shared" si="63"/>
        <v>6.6116381257443901E-3</v>
      </c>
      <c r="N1311" s="14">
        <f t="shared" si="64"/>
        <v>6.9560859271036168E-3</v>
      </c>
      <c r="O1311" s="14">
        <f t="shared" si="65"/>
        <v>-9.1210163418211643E-3</v>
      </c>
      <c r="P1311" s="14">
        <f t="array" ref="P1311">MMULT(M1311:O1311,$I$9:$I$11)</f>
        <v>-4.7808724704608155E-3</v>
      </c>
    </row>
    <row r="1312" spans="2:16" x14ac:dyDescent="0.25">
      <c r="B1312" s="9">
        <v>37126</v>
      </c>
      <c r="C1312" s="10">
        <v>4.8840000000000001E-2</v>
      </c>
      <c r="D1312" s="11">
        <v>1162.0899999999999</v>
      </c>
      <c r="E1312" s="11">
        <v>1.0952302721647227</v>
      </c>
      <c r="L1312" s="9">
        <v>37126</v>
      </c>
      <c r="M1312" s="14">
        <f t="shared" si="63"/>
        <v>-3.7532637075717856E-3</v>
      </c>
      <c r="N1312" s="14">
        <f t="shared" si="64"/>
        <v>-2.7632132222327188E-3</v>
      </c>
      <c r="O1312" s="14">
        <f t="shared" si="65"/>
        <v>8.6523191501013397E-3</v>
      </c>
      <c r="P1312" s="14">
        <f t="array" ref="P1312">MMULT(M1312:O1312,$I$9:$I$11)</f>
        <v>5.5706037989546155E-3</v>
      </c>
    </row>
    <row r="1313" spans="2:16" x14ac:dyDescent="0.25">
      <c r="B1313" s="9">
        <v>37127</v>
      </c>
      <c r="C1313" s="10">
        <v>4.9278000000000002E-2</v>
      </c>
      <c r="D1313" s="11">
        <v>1184.93</v>
      </c>
      <c r="E1313" s="11">
        <v>1.095290251916758</v>
      </c>
      <c r="L1313" s="9">
        <v>37127</v>
      </c>
      <c r="M1313" s="14">
        <f t="shared" si="63"/>
        <v>8.9680589680589673E-3</v>
      </c>
      <c r="N1313" s="14">
        <f t="shared" si="64"/>
        <v>1.9654243647222014E-2</v>
      </c>
      <c r="O1313" s="14">
        <f t="shared" si="65"/>
        <v>5.4764512595895098E-5</v>
      </c>
      <c r="P1313" s="14">
        <f t="array" ref="P1313">MMULT(M1313:O1313,$I$9:$I$11)</f>
        <v>5.3458025258591897E-3</v>
      </c>
    </row>
    <row r="1314" spans="2:16" x14ac:dyDescent="0.25">
      <c r="B1314" s="9">
        <v>37130</v>
      </c>
      <c r="C1314" s="10">
        <v>4.9280999999999998E-2</v>
      </c>
      <c r="D1314" s="11">
        <v>1179.21</v>
      </c>
      <c r="E1314" s="11">
        <v>1.0995656715597339</v>
      </c>
      <c r="L1314" s="9">
        <v>37130</v>
      </c>
      <c r="M1314" s="14">
        <f t="shared" si="63"/>
        <v>6.0879094119004051E-5</v>
      </c>
      <c r="N1314" s="14">
        <f t="shared" si="64"/>
        <v>-4.8272893757437263E-3</v>
      </c>
      <c r="O1314" s="14">
        <f t="shared" si="65"/>
        <v>3.903458134037141E-3</v>
      </c>
      <c r="P1314" s="14">
        <f t="array" ref="P1314">MMULT(M1314:O1314,$I$9:$I$11)</f>
        <v>1.5465221848137316E-3</v>
      </c>
    </row>
    <row r="1315" spans="2:16" x14ac:dyDescent="0.25">
      <c r="B1315" s="9">
        <v>37131</v>
      </c>
      <c r="C1315" s="10">
        <v>4.8440999999999998E-2</v>
      </c>
      <c r="D1315" s="11">
        <v>1161.51</v>
      </c>
      <c r="E1315" s="11">
        <v>1.0996865893220433</v>
      </c>
      <c r="L1315" s="9">
        <v>37131</v>
      </c>
      <c r="M1315" s="14">
        <f t="shared" si="63"/>
        <v>-1.7045108662567698E-2</v>
      </c>
      <c r="N1315" s="14">
        <f t="shared" si="64"/>
        <v>-1.5010049100669165E-2</v>
      </c>
      <c r="O1315" s="14">
        <f t="shared" si="65"/>
        <v>1.0996865893231345E-4</v>
      </c>
      <c r="P1315" s="14">
        <f t="array" ref="P1315">MMULT(M1315:O1315,$I$9:$I$11)</f>
        <v>-3.9718025033396286E-3</v>
      </c>
    </row>
    <row r="1316" spans="2:16" x14ac:dyDescent="0.25">
      <c r="B1316" s="9">
        <v>37132</v>
      </c>
      <c r="C1316" s="10">
        <v>4.7656000000000004E-2</v>
      </c>
      <c r="D1316" s="11">
        <v>1148.56</v>
      </c>
      <c r="E1316" s="11">
        <v>1.0985992859104641</v>
      </c>
      <c r="L1316" s="9">
        <v>37132</v>
      </c>
      <c r="M1316" s="14">
        <f t="shared" si="63"/>
        <v>-1.6205280650688381E-2</v>
      </c>
      <c r="N1316" s="14">
        <f t="shared" si="64"/>
        <v>-1.1149279816790258E-2</v>
      </c>
      <c r="O1316" s="14">
        <f t="shared" si="65"/>
        <v>-9.8873935731957907E-4</v>
      </c>
      <c r="P1316" s="14">
        <f t="array" ref="P1316">MMULT(M1316:O1316,$I$9:$I$11)</f>
        <v>-3.7316594847928847E-3</v>
      </c>
    </row>
    <row r="1317" spans="2:16" x14ac:dyDescent="0.25">
      <c r="B1317" s="9">
        <v>37133</v>
      </c>
      <c r="C1317" s="10">
        <v>4.8122999999999999E-2</v>
      </c>
      <c r="D1317" s="11">
        <v>1129.03</v>
      </c>
      <c r="E1317" s="11">
        <v>1.0999285046471978</v>
      </c>
      <c r="L1317" s="9">
        <v>37133</v>
      </c>
      <c r="M1317" s="14">
        <f t="shared" si="63"/>
        <v>9.7993956689608197E-3</v>
      </c>
      <c r="N1317" s="14">
        <f t="shared" si="64"/>
        <v>-1.7003900536323724E-2</v>
      </c>
      <c r="O1317" s="14">
        <f t="shared" si="65"/>
        <v>1.2099213551119981E-3</v>
      </c>
      <c r="P1317" s="14">
        <f t="array" ref="P1317">MMULT(M1317:O1317,$I$9:$I$11)</f>
        <v>-3.7070472710663389E-3</v>
      </c>
    </row>
    <row r="1318" spans="2:16" x14ac:dyDescent="0.25">
      <c r="B1318" s="9">
        <v>37134</v>
      </c>
      <c r="C1318" s="10">
        <v>4.8399999999999999E-2</v>
      </c>
      <c r="D1318" s="11">
        <v>1133.58</v>
      </c>
      <c r="E1318" s="11">
        <v>1.1008972312434635</v>
      </c>
      <c r="L1318" s="9">
        <v>37134</v>
      </c>
      <c r="M1318" s="14">
        <f t="shared" si="63"/>
        <v>5.7560833696985725E-3</v>
      </c>
      <c r="N1318" s="14">
        <f t="shared" si="64"/>
        <v>4.0300080600161881E-3</v>
      </c>
      <c r="O1318" s="14">
        <f t="shared" si="65"/>
        <v>8.8071778499498876E-4</v>
      </c>
      <c r="P1318" s="14">
        <f t="array" ref="P1318">MMULT(M1318:O1318,$I$9:$I$11)</f>
        <v>1.7308941823105314E-3</v>
      </c>
    </row>
    <row r="1319" spans="2:16" x14ac:dyDescent="0.25">
      <c r="B1319" s="9">
        <v>37137</v>
      </c>
      <c r="C1319" s="10">
        <v>4.8399999999999999E-2</v>
      </c>
      <c r="D1319" s="11">
        <v>1133.58</v>
      </c>
      <c r="E1319" s="11">
        <v>1.1032656663724625</v>
      </c>
      <c r="L1319" s="9">
        <v>37137</v>
      </c>
      <c r="M1319" s="14">
        <f t="shared" si="63"/>
        <v>0</v>
      </c>
      <c r="N1319" s="14">
        <f t="shared" si="64"/>
        <v>0</v>
      </c>
      <c r="O1319" s="14">
        <f t="shared" si="65"/>
        <v>2.1513680494262832E-3</v>
      </c>
      <c r="P1319" s="14">
        <f t="array" ref="P1319">MMULT(M1319:O1319,$I$9:$I$11)</f>
        <v>1.5705888332110706E-3</v>
      </c>
    </row>
    <row r="1320" spans="2:16" x14ac:dyDescent="0.25">
      <c r="B1320" s="9">
        <v>37138</v>
      </c>
      <c r="C1320" s="10">
        <v>4.9579000000000005E-2</v>
      </c>
      <c r="D1320" s="11">
        <v>1132.94</v>
      </c>
      <c r="E1320" s="11">
        <v>1.1226494527083917</v>
      </c>
      <c r="L1320" s="9">
        <v>37138</v>
      </c>
      <c r="M1320" s="14">
        <f t="shared" si="63"/>
        <v>2.4359504132231535E-2</v>
      </c>
      <c r="N1320" s="14">
        <f t="shared" si="64"/>
        <v>-5.6458300252282267E-4</v>
      </c>
      <c r="O1320" s="14">
        <f t="shared" si="65"/>
        <v>1.7569463934886231E-2</v>
      </c>
      <c r="P1320" s="14">
        <f t="array" ref="P1320">MMULT(M1320:O1320,$I$9:$I$11)</f>
        <v>1.2674031203175401E-2</v>
      </c>
    </row>
    <row r="1321" spans="2:16" x14ac:dyDescent="0.25">
      <c r="B1321" s="9">
        <v>37139</v>
      </c>
      <c r="C1321" s="10">
        <v>4.9429999999999995E-2</v>
      </c>
      <c r="D1321" s="11">
        <v>1131.74</v>
      </c>
      <c r="E1321" s="11">
        <v>1.1255557431481795</v>
      </c>
      <c r="L1321" s="9">
        <v>37139</v>
      </c>
      <c r="M1321" s="14">
        <f t="shared" si="63"/>
        <v>-3.0053046652819271E-3</v>
      </c>
      <c r="N1321" s="14">
        <f t="shared" si="64"/>
        <v>-1.059191131039583E-3</v>
      </c>
      <c r="O1321" s="14">
        <f t="shared" si="65"/>
        <v>2.5887782092410827E-3</v>
      </c>
      <c r="P1321" s="14">
        <f t="array" ref="P1321">MMULT(M1321:O1321,$I$9:$I$11)</f>
        <v>1.6039793623908996E-3</v>
      </c>
    </row>
    <row r="1322" spans="2:16" x14ac:dyDescent="0.25">
      <c r="B1322" s="9">
        <v>37140</v>
      </c>
      <c r="C1322" s="10">
        <v>4.8710000000000003E-2</v>
      </c>
      <c r="D1322" s="11">
        <v>1106.4000000000001</v>
      </c>
      <c r="E1322" s="11">
        <v>1.1222714774704001</v>
      </c>
      <c r="L1322" s="9">
        <v>37140</v>
      </c>
      <c r="M1322" s="14">
        <f t="shared" si="63"/>
        <v>-1.4566053004248292E-2</v>
      </c>
      <c r="N1322" s="14">
        <f t="shared" si="64"/>
        <v>-2.2390301659391709E-2</v>
      </c>
      <c r="O1322" s="14">
        <f t="shared" si="65"/>
        <v>-2.9179058414231518E-3</v>
      </c>
      <c r="P1322" s="14">
        <f t="array" ref="P1322">MMULT(M1322:O1322,$I$9:$I$11)</f>
        <v>-8.1746366848546321E-3</v>
      </c>
    </row>
    <row r="1323" spans="2:16" x14ac:dyDescent="0.25">
      <c r="B1323" s="9">
        <v>37141</v>
      </c>
      <c r="C1323" s="10">
        <v>4.7880000000000006E-2</v>
      </c>
      <c r="D1323" s="11">
        <v>1085.78</v>
      </c>
      <c r="E1323" s="11">
        <v>1.1069293779056897</v>
      </c>
      <c r="L1323" s="9">
        <v>37141</v>
      </c>
      <c r="M1323" s="14">
        <f t="shared" si="63"/>
        <v>-1.7039622254157227E-2</v>
      </c>
      <c r="N1323" s="14">
        <f t="shared" si="64"/>
        <v>-1.8637020968908291E-2</v>
      </c>
      <c r="O1323" s="14">
        <f t="shared" si="65"/>
        <v>-1.367057781713521E-2</v>
      </c>
      <c r="P1323" s="14">
        <f t="array" ref="P1323">MMULT(M1323:O1323,$I$9:$I$11)</f>
        <v>-1.501130933996013E-2</v>
      </c>
    </row>
    <row r="1324" spans="2:16" x14ac:dyDescent="0.25">
      <c r="B1324" s="9">
        <v>37144</v>
      </c>
      <c r="C1324" s="10">
        <v>4.8423999999999995E-2</v>
      </c>
      <c r="D1324" s="11">
        <v>1092.54</v>
      </c>
      <c r="E1324" s="11">
        <v>1.1119141602268305</v>
      </c>
      <c r="L1324" s="9">
        <v>37144</v>
      </c>
      <c r="M1324" s="14">
        <f t="shared" si="63"/>
        <v>1.1361737677527017E-2</v>
      </c>
      <c r="N1324" s="14">
        <f t="shared" si="64"/>
        <v>6.2259389563263934E-3</v>
      </c>
      <c r="O1324" s="14">
        <f t="shared" si="65"/>
        <v>4.5032523489185738E-3</v>
      </c>
      <c r="P1324" s="14">
        <f t="array" ref="P1324">MMULT(M1324:O1324,$I$9:$I$11)</f>
        <v>4.9683055404919855E-3</v>
      </c>
    </row>
    <row r="1325" spans="2:16" x14ac:dyDescent="0.25">
      <c r="B1325" s="9">
        <v>37145</v>
      </c>
      <c r="C1325" s="10">
        <v>4.8189209999999996E-2</v>
      </c>
      <c r="D1325" s="11">
        <v>1092.54</v>
      </c>
      <c r="E1325" s="11">
        <v>1.1020498126515319</v>
      </c>
      <c r="L1325" s="9">
        <v>37145</v>
      </c>
      <c r="M1325" s="14">
        <f t="shared" si="63"/>
        <v>-4.8486287791177363E-3</v>
      </c>
      <c r="N1325" s="14">
        <f t="shared" si="64"/>
        <v>0</v>
      </c>
      <c r="O1325" s="14">
        <f t="shared" si="65"/>
        <v>-8.8715009918448606E-3</v>
      </c>
      <c r="P1325" s="14">
        <f t="array" ref="P1325">MMULT(M1325:O1325,$I$9:$I$11)</f>
        <v>-6.4765675010039266E-3</v>
      </c>
    </row>
    <row r="1326" spans="2:16" x14ac:dyDescent="0.25">
      <c r="B1326" s="9">
        <v>37146</v>
      </c>
      <c r="C1326" s="10">
        <v>4.9009539999999997E-2</v>
      </c>
      <c r="D1326" s="11">
        <v>1092.54</v>
      </c>
      <c r="E1326" s="11">
        <v>1.1041793187213604</v>
      </c>
      <c r="L1326" s="9">
        <v>37146</v>
      </c>
      <c r="M1326" s="14">
        <f t="shared" si="63"/>
        <v>1.7023105379814218E-2</v>
      </c>
      <c r="N1326" s="14">
        <f t="shared" si="64"/>
        <v>0</v>
      </c>
      <c r="O1326" s="14">
        <f t="shared" si="65"/>
        <v>1.9323138077624868E-3</v>
      </c>
      <c r="P1326" s="14">
        <f t="array" ref="P1326">MMULT(M1326:O1326,$I$9:$I$11)</f>
        <v>1.4106700569159472E-3</v>
      </c>
    </row>
    <row r="1327" spans="2:16" x14ac:dyDescent="0.25">
      <c r="B1327" s="9">
        <v>37147</v>
      </c>
      <c r="C1327" s="10">
        <v>4.6440000000000002E-2</v>
      </c>
      <c r="D1327" s="11">
        <v>1092.54</v>
      </c>
      <c r="E1327" s="11">
        <v>1.1009578333149841</v>
      </c>
      <c r="L1327" s="9">
        <v>37147</v>
      </c>
      <c r="M1327" s="14">
        <f t="shared" si="63"/>
        <v>-5.2429384156635561E-2</v>
      </c>
      <c r="N1327" s="14">
        <f t="shared" si="64"/>
        <v>0</v>
      </c>
      <c r="O1327" s="14">
        <f t="shared" si="65"/>
        <v>-2.9175382582847798E-3</v>
      </c>
      <c r="P1327" s="14">
        <f t="array" ref="P1327">MMULT(M1327:O1327,$I$9:$I$11)</f>
        <v>-2.1299251934833396E-3</v>
      </c>
    </row>
    <row r="1328" spans="2:16" x14ac:dyDescent="0.25">
      <c r="B1328" s="9">
        <v>37148</v>
      </c>
      <c r="C1328" s="10">
        <v>4.5599999999999995E-2</v>
      </c>
      <c r="D1328" s="11">
        <v>1092.54</v>
      </c>
      <c r="E1328" s="11">
        <v>1.0862480990658268</v>
      </c>
      <c r="L1328" s="9">
        <v>37148</v>
      </c>
      <c r="M1328" s="14">
        <f t="shared" si="63"/>
        <v>-1.8087855297157729E-2</v>
      </c>
      <c r="N1328" s="14">
        <f t="shared" si="64"/>
        <v>0</v>
      </c>
      <c r="O1328" s="14">
        <f t="shared" si="65"/>
        <v>-1.3360851618509639E-2</v>
      </c>
      <c r="P1328" s="14">
        <f t="array" ref="P1328">MMULT(M1328:O1328,$I$9:$I$11)</f>
        <v>-9.7539815931622312E-3</v>
      </c>
    </row>
    <row r="1329" spans="2:16" x14ac:dyDescent="0.25">
      <c r="B1329" s="9">
        <v>37151</v>
      </c>
      <c r="C1329" s="10">
        <v>4.6219999999999997E-2</v>
      </c>
      <c r="D1329" s="11">
        <v>1038.74</v>
      </c>
      <c r="E1329" s="11">
        <v>1.0876067214095384</v>
      </c>
      <c r="L1329" s="9">
        <v>37151</v>
      </c>
      <c r="M1329" s="14">
        <f t="shared" si="63"/>
        <v>1.3596491228070162E-2</v>
      </c>
      <c r="N1329" s="14">
        <f t="shared" si="64"/>
        <v>-4.9243048309444037E-2</v>
      </c>
      <c r="O1329" s="14">
        <f t="shared" si="65"/>
        <v>1.2507477296208602E-3</v>
      </c>
      <c r="P1329" s="14">
        <f t="array" ref="P1329">MMULT(M1329:O1329,$I$9:$I$11)</f>
        <v>-1.2380461163306305E-2</v>
      </c>
    </row>
    <row r="1330" spans="2:16" x14ac:dyDescent="0.25">
      <c r="B1330" s="9">
        <v>37152</v>
      </c>
      <c r="C1330" s="10">
        <v>4.7243000000000007E-2</v>
      </c>
      <c r="D1330" s="11">
        <v>1031.95</v>
      </c>
      <c r="E1330" s="11">
        <v>1.0848928668294007</v>
      </c>
      <c r="L1330" s="9">
        <v>37152</v>
      </c>
      <c r="M1330" s="14">
        <f t="shared" si="63"/>
        <v>2.2133275638251959E-2</v>
      </c>
      <c r="N1330" s="14">
        <f t="shared" si="64"/>
        <v>-6.5367656969019805E-3</v>
      </c>
      <c r="O1330" s="14">
        <f t="shared" si="65"/>
        <v>-2.4952535937076137E-3</v>
      </c>
      <c r="P1330" s="14">
        <f t="array" ref="P1330">MMULT(M1330:O1330,$I$9:$I$11)</f>
        <v>-3.5862924943938384E-3</v>
      </c>
    </row>
    <row r="1331" spans="2:16" x14ac:dyDescent="0.25">
      <c r="B1331" s="9">
        <v>37153</v>
      </c>
      <c r="C1331" s="10">
        <v>4.6967000000000002E-2</v>
      </c>
      <c r="D1331" s="11">
        <v>1015.35</v>
      </c>
      <c r="E1331" s="11">
        <v>1.0759051051697239</v>
      </c>
      <c r="L1331" s="9">
        <v>37153</v>
      </c>
      <c r="M1331" s="14">
        <f t="shared" si="63"/>
        <v>-5.8421353428022016E-3</v>
      </c>
      <c r="N1331" s="14">
        <f t="shared" si="64"/>
        <v>-1.6086050680750086E-2</v>
      </c>
      <c r="O1331" s="14">
        <f t="shared" si="65"/>
        <v>-8.2844693098070854E-3</v>
      </c>
      <c r="P1331" s="14">
        <f t="array" ref="P1331">MMULT(M1331:O1331,$I$9:$I$11)</f>
        <v>-1.0390569340001262E-2</v>
      </c>
    </row>
    <row r="1332" spans="2:16" x14ac:dyDescent="0.25">
      <c r="B1332" s="9">
        <v>37154</v>
      </c>
      <c r="C1332" s="10">
        <v>4.7459000000000001E-2</v>
      </c>
      <c r="D1332" s="11">
        <v>983.79</v>
      </c>
      <c r="E1332" s="11">
        <v>1.0786322942508899</v>
      </c>
      <c r="L1332" s="9">
        <v>37154</v>
      </c>
      <c r="M1332" s="14">
        <f t="shared" si="63"/>
        <v>1.0475440202695419E-2</v>
      </c>
      <c r="N1332" s="14">
        <f t="shared" si="64"/>
        <v>-3.1082877825380439E-2</v>
      </c>
      <c r="O1332" s="14">
        <f t="shared" si="65"/>
        <v>2.5347858914896992E-3</v>
      </c>
      <c r="P1332" s="14">
        <f t="array" ref="P1332">MMULT(M1332:O1332,$I$9:$I$11)</f>
        <v>-6.5405745005534567E-3</v>
      </c>
    </row>
    <row r="1333" spans="2:16" x14ac:dyDescent="0.25">
      <c r="B1333" s="9">
        <v>37155</v>
      </c>
      <c r="C1333" s="10">
        <v>4.6905000000000002E-2</v>
      </c>
      <c r="D1333" s="11">
        <v>965.03</v>
      </c>
      <c r="E1333" s="11">
        <v>1.091762650799716</v>
      </c>
      <c r="L1333" s="9">
        <v>37155</v>
      </c>
      <c r="M1333" s="14">
        <f t="shared" si="63"/>
        <v>-1.1673233738595412E-2</v>
      </c>
      <c r="N1333" s="14">
        <f t="shared" si="64"/>
        <v>-1.9069110277599832E-2</v>
      </c>
      <c r="O1333" s="14">
        <f t="shared" si="65"/>
        <v>1.2173153556416683E-2</v>
      </c>
      <c r="P1333" s="14">
        <f t="array" ref="P1333">MMULT(M1333:O1333,$I$9:$I$11)</f>
        <v>3.7390515871382124E-3</v>
      </c>
    </row>
    <row r="1334" spans="2:16" x14ac:dyDescent="0.25">
      <c r="B1334" s="9">
        <v>37158</v>
      </c>
      <c r="C1334" s="10">
        <v>4.7199999999999999E-2</v>
      </c>
      <c r="D1334" s="11">
        <v>1002.72</v>
      </c>
      <c r="E1334" s="11">
        <v>1.0927767457108513</v>
      </c>
      <c r="L1334" s="9">
        <v>37158</v>
      </c>
      <c r="M1334" s="14">
        <f t="shared" si="63"/>
        <v>6.2893081761006275E-3</v>
      </c>
      <c r="N1334" s="14">
        <f t="shared" si="64"/>
        <v>3.9055780649306371E-2</v>
      </c>
      <c r="O1334" s="14">
        <f t="shared" si="65"/>
        <v>9.2886023385441163E-4</v>
      </c>
      <c r="P1334" s="14">
        <f t="array" ref="P1334">MMULT(M1334:O1334,$I$9:$I$11)</f>
        <v>1.1221530965620209E-2</v>
      </c>
    </row>
    <row r="1335" spans="2:16" x14ac:dyDescent="0.25">
      <c r="B1335" s="9">
        <v>37159</v>
      </c>
      <c r="C1335" s="10">
        <v>4.7100000000000003E-2</v>
      </c>
      <c r="D1335" s="11">
        <v>1011.55</v>
      </c>
      <c r="E1335" s="11">
        <v>1.0828370330265296</v>
      </c>
      <c r="L1335" s="9">
        <v>37159</v>
      </c>
      <c r="M1335" s="14">
        <f t="shared" si="63"/>
        <v>-2.1186440677964935E-3</v>
      </c>
      <c r="N1335" s="14">
        <f t="shared" si="64"/>
        <v>8.806047550662166E-3</v>
      </c>
      <c r="O1335" s="14">
        <f t="shared" si="65"/>
        <v>-9.0958310774227336E-3</v>
      </c>
      <c r="P1335" s="14">
        <f t="array" ref="P1335">MMULT(M1335:O1335,$I$9:$I$11)</f>
        <v>-4.2630740597791698E-3</v>
      </c>
    </row>
    <row r="1336" spans="2:16" x14ac:dyDescent="0.25">
      <c r="B1336" s="9">
        <v>37160</v>
      </c>
      <c r="C1336" s="10">
        <v>4.6353999999999999E-2</v>
      </c>
      <c r="D1336" s="11">
        <v>1006.33</v>
      </c>
      <c r="E1336" s="11">
        <v>1.0855405992184108</v>
      </c>
      <c r="L1336" s="9">
        <v>37160</v>
      </c>
      <c r="M1336" s="14">
        <f t="shared" si="63"/>
        <v>-1.5838641188959723E-2</v>
      </c>
      <c r="N1336" s="14">
        <f t="shared" si="64"/>
        <v>-5.1603974099153627E-3</v>
      </c>
      <c r="O1336" s="14">
        <f t="shared" si="65"/>
        <v>2.4967433782023818E-3</v>
      </c>
      <c r="P1336" s="14">
        <f t="array" ref="P1336">MMULT(M1336:O1336,$I$9:$I$11)</f>
        <v>4.2963625231637022E-4</v>
      </c>
    </row>
    <row r="1337" spans="2:16" x14ac:dyDescent="0.25">
      <c r="B1337" s="9">
        <v>37161</v>
      </c>
      <c r="C1337" s="10">
        <v>4.5594000000000003E-2</v>
      </c>
      <c r="D1337" s="11">
        <v>1017.86</v>
      </c>
      <c r="E1337" s="11">
        <v>1.086484137331595</v>
      </c>
      <c r="L1337" s="9">
        <v>37161</v>
      </c>
      <c r="M1337" s="14">
        <f t="shared" si="63"/>
        <v>-1.639556456832203E-2</v>
      </c>
      <c r="N1337" s="14">
        <f t="shared" si="64"/>
        <v>1.1457474188387495E-2</v>
      </c>
      <c r="O1337" s="14">
        <f t="shared" si="65"/>
        <v>8.6918730986518256E-4</v>
      </c>
      <c r="P1337" s="14">
        <f t="array" ref="P1337">MMULT(M1337:O1337,$I$9:$I$11)</f>
        <v>3.7275810449631441E-3</v>
      </c>
    </row>
    <row r="1338" spans="2:16" x14ac:dyDescent="0.25">
      <c r="B1338" s="9">
        <v>37162</v>
      </c>
      <c r="C1338" s="10">
        <v>4.5902000000000005E-2</v>
      </c>
      <c r="D1338" s="11">
        <v>1040.17</v>
      </c>
      <c r="E1338" s="11">
        <v>1.0980564401010213</v>
      </c>
      <c r="L1338" s="9">
        <v>37162</v>
      </c>
      <c r="M1338" s="14">
        <f t="shared" si="63"/>
        <v>6.7552748168620003E-3</v>
      </c>
      <c r="N1338" s="14">
        <f t="shared" si="64"/>
        <v>2.191853496551599E-2</v>
      </c>
      <c r="O1338" s="14">
        <f t="shared" si="65"/>
        <v>1.0651147468980104E-2</v>
      </c>
      <c r="P1338" s="14">
        <f t="array" ref="P1338">MMULT(M1338:O1338,$I$9:$I$11)</f>
        <v>1.3692869911951351E-2</v>
      </c>
    </row>
    <row r="1339" spans="2:16" x14ac:dyDescent="0.25">
      <c r="B1339" s="9">
        <v>37165</v>
      </c>
      <c r="C1339" s="10">
        <v>4.5415000000000004E-2</v>
      </c>
      <c r="D1339" s="11">
        <v>1037.79</v>
      </c>
      <c r="E1339" s="11">
        <v>1.0920607185759528</v>
      </c>
      <c r="L1339" s="9">
        <v>37165</v>
      </c>
      <c r="M1339" s="14">
        <f t="shared" si="63"/>
        <v>-1.0609559496318255E-2</v>
      </c>
      <c r="N1339" s="14">
        <f t="shared" si="64"/>
        <v>-2.2880875241547693E-3</v>
      </c>
      <c r="O1339" s="14">
        <f t="shared" si="65"/>
        <v>-5.460303592879967E-3</v>
      </c>
      <c r="P1339" s="14">
        <f t="array" ref="P1339">MMULT(M1339:O1339,$I$9:$I$11)</f>
        <v>-4.6039381920129066E-3</v>
      </c>
    </row>
    <row r="1340" spans="2:16" x14ac:dyDescent="0.25">
      <c r="B1340" s="9">
        <v>37166</v>
      </c>
      <c r="C1340" s="10">
        <v>4.5083999999999999E-2</v>
      </c>
      <c r="D1340" s="11">
        <v>1050.57</v>
      </c>
      <c r="E1340" s="11">
        <v>1.0915838882218099</v>
      </c>
      <c r="L1340" s="9">
        <v>37166</v>
      </c>
      <c r="M1340" s="14">
        <f t="shared" si="63"/>
        <v>-7.2883408565452834E-3</v>
      </c>
      <c r="N1340" s="14">
        <f t="shared" si="64"/>
        <v>1.2314630127482351E-2</v>
      </c>
      <c r="O1340" s="14">
        <f t="shared" si="65"/>
        <v>-4.3663355528866798E-4</v>
      </c>
      <c r="P1340" s="14">
        <f t="array" ref="P1340">MMULT(M1340:O1340,$I$9:$I$11)</f>
        <v>3.005673273339826E-3</v>
      </c>
    </row>
    <row r="1341" spans="2:16" x14ac:dyDescent="0.25">
      <c r="B1341" s="9">
        <v>37167</v>
      </c>
      <c r="C1341" s="10">
        <v>4.4696999999999994E-2</v>
      </c>
      <c r="D1341" s="11">
        <v>1071.51</v>
      </c>
      <c r="E1341" s="11">
        <v>1.0865431629271474</v>
      </c>
      <c r="L1341" s="9">
        <v>37167</v>
      </c>
      <c r="M1341" s="14">
        <f t="shared" si="63"/>
        <v>-8.5839765770562293E-3</v>
      </c>
      <c r="N1341" s="14">
        <f t="shared" si="64"/>
        <v>1.9932036894257488E-2</v>
      </c>
      <c r="O1341" s="14">
        <f t="shared" si="65"/>
        <v>-4.6178084424403076E-3</v>
      </c>
      <c r="P1341" s="14">
        <f t="array" ref="P1341">MMULT(M1341:O1341,$I$9:$I$11)</f>
        <v>2.0096209909633844E-3</v>
      </c>
    </row>
    <row r="1342" spans="2:16" x14ac:dyDescent="0.25">
      <c r="B1342" s="9">
        <v>37168</v>
      </c>
      <c r="C1342" s="10">
        <v>4.5043E-2</v>
      </c>
      <c r="D1342" s="11">
        <v>1068.8499999999999</v>
      </c>
      <c r="E1342" s="11">
        <v>1.0949304719150335</v>
      </c>
      <c r="L1342" s="9">
        <v>37168</v>
      </c>
      <c r="M1342" s="14">
        <f t="shared" si="63"/>
        <v>7.7410117010090485E-3</v>
      </c>
      <c r="N1342" s="14">
        <f t="shared" si="64"/>
        <v>-2.4824779983388945E-3</v>
      </c>
      <c r="O1342" s="14">
        <f t="shared" si="65"/>
        <v>7.7192598270010571E-3</v>
      </c>
      <c r="P1342" s="14">
        <f t="array" ref="P1342">MMULT(M1342:O1342,$I$9:$I$11)</f>
        <v>4.9652181371962539E-3</v>
      </c>
    </row>
    <row r="1343" spans="2:16" x14ac:dyDescent="0.25">
      <c r="B1343" s="9">
        <v>37169</v>
      </c>
      <c r="C1343" s="10">
        <v>4.5077999999999993E-2</v>
      </c>
      <c r="D1343" s="11">
        <v>1070.5999999999999</v>
      </c>
      <c r="E1343" s="11">
        <v>1.0883169178864887</v>
      </c>
      <c r="L1343" s="9">
        <v>37169</v>
      </c>
      <c r="M1343" s="14">
        <f t="shared" si="63"/>
        <v>7.7703527740147216E-4</v>
      </c>
      <c r="N1343" s="14">
        <f t="shared" si="64"/>
        <v>1.6372737053842457E-3</v>
      </c>
      <c r="O1343" s="14">
        <f t="shared" si="65"/>
        <v>-6.0401588942700091E-3</v>
      </c>
      <c r="P1343" s="14">
        <f t="array" ref="P1343">MMULT(M1343:O1343,$I$9:$I$11)</f>
        <v>-3.9675738296357189E-3</v>
      </c>
    </row>
    <row r="1344" spans="2:16" x14ac:dyDescent="0.25">
      <c r="B1344" s="9">
        <v>37172</v>
      </c>
      <c r="C1344" s="10">
        <v>4.5077999999999993E-2</v>
      </c>
      <c r="D1344" s="11">
        <v>1061.6600000000001</v>
      </c>
      <c r="E1344" s="11">
        <v>1.088139281828074</v>
      </c>
      <c r="L1344" s="9">
        <v>37172</v>
      </c>
      <c r="M1344" s="14">
        <f t="shared" si="63"/>
        <v>0</v>
      </c>
      <c r="N1344" s="14">
        <f t="shared" si="64"/>
        <v>-8.3504576872780456E-3</v>
      </c>
      <c r="O1344" s="14">
        <f t="shared" si="65"/>
        <v>-1.6322089227438497E-4</v>
      </c>
      <c r="P1344" s="14">
        <f t="array" ref="P1344">MMULT(M1344:O1344,$I$9:$I$11)</f>
        <v>-2.3734317253480707E-3</v>
      </c>
    </row>
    <row r="1345" spans="2:16" x14ac:dyDescent="0.25">
      <c r="B1345" s="9">
        <v>37173</v>
      </c>
      <c r="C1345" s="10">
        <v>4.5952E-2</v>
      </c>
      <c r="D1345" s="11">
        <v>1055.96</v>
      </c>
      <c r="E1345" s="11">
        <v>1.0890873448050533</v>
      </c>
      <c r="L1345" s="9">
        <v>37173</v>
      </c>
      <c r="M1345" s="14">
        <f t="shared" si="63"/>
        <v>1.9388615289054778E-2</v>
      </c>
      <c r="N1345" s="14">
        <f t="shared" si="64"/>
        <v>-5.3689505114632441E-3</v>
      </c>
      <c r="O1345" s="14">
        <f t="shared" si="65"/>
        <v>8.7126987584396076E-4</v>
      </c>
      <c r="P1345" s="14">
        <f t="array" ref="P1345">MMULT(M1345:O1345,$I$9:$I$11)</f>
        <v>-8.1332812054115387E-4</v>
      </c>
    </row>
    <row r="1346" spans="2:16" x14ac:dyDescent="0.25">
      <c r="B1346" s="9">
        <v>37174</v>
      </c>
      <c r="C1346" s="10">
        <v>4.6029E-2</v>
      </c>
      <c r="D1346" s="11">
        <v>1080.18</v>
      </c>
      <c r="E1346" s="11">
        <v>1.0972732759093653</v>
      </c>
      <c r="L1346" s="9">
        <v>37174</v>
      </c>
      <c r="M1346" s="14">
        <f t="shared" si="63"/>
        <v>1.6756615598885194E-3</v>
      </c>
      <c r="N1346" s="14">
        <f t="shared" si="64"/>
        <v>2.2936474866472212E-2</v>
      </c>
      <c r="O1346" s="14">
        <f t="shared" si="65"/>
        <v>7.5163219399791981E-3</v>
      </c>
      <c r="P1346" s="14">
        <f t="array" ref="P1346">MMULT(M1346:O1346,$I$9:$I$11)</f>
        <v>1.1679117019582429E-2</v>
      </c>
    </row>
    <row r="1347" spans="2:16" x14ac:dyDescent="0.25">
      <c r="B1347" s="9">
        <v>37175</v>
      </c>
      <c r="C1347" s="10">
        <v>4.6675000000000001E-2</v>
      </c>
      <c r="D1347" s="11">
        <v>1096.6199999999999</v>
      </c>
      <c r="E1347" s="11">
        <v>1.1087703736556158</v>
      </c>
      <c r="L1347" s="9">
        <v>37175</v>
      </c>
      <c r="M1347" s="14">
        <f t="shared" si="63"/>
        <v>1.4034630341741128E-2</v>
      </c>
      <c r="N1347" s="14">
        <f t="shared" si="64"/>
        <v>1.5219685607954059E-2</v>
      </c>
      <c r="O1347" s="14">
        <f t="shared" si="65"/>
        <v>1.0477880031045439E-2</v>
      </c>
      <c r="P1347" s="14">
        <f t="array" ref="P1347">MMULT(M1347:O1347,$I$9:$I$11)</f>
        <v>1.17579688225176E-2</v>
      </c>
    </row>
    <row r="1348" spans="2:16" x14ac:dyDescent="0.25">
      <c r="B1348" s="9">
        <v>37176</v>
      </c>
      <c r="C1348" s="10">
        <v>4.6752000000000002E-2</v>
      </c>
      <c r="D1348" s="11">
        <v>1090.8399999999999</v>
      </c>
      <c r="E1348" s="11">
        <v>1.1038745998454575</v>
      </c>
      <c r="L1348" s="9">
        <v>37176</v>
      </c>
      <c r="M1348" s="14">
        <f t="shared" si="63"/>
        <v>1.6497054097481811E-3</v>
      </c>
      <c r="N1348" s="14">
        <f t="shared" si="64"/>
        <v>-5.2707410041764602E-3</v>
      </c>
      <c r="O1348" s="14">
        <f t="shared" si="65"/>
        <v>-4.4154983993817121E-3</v>
      </c>
      <c r="P1348" s="14">
        <f t="array" ref="P1348">MMULT(M1348:O1348,$I$9:$I$11)</f>
        <v>-4.6463780621242221E-3</v>
      </c>
    </row>
    <row r="1349" spans="2:16" x14ac:dyDescent="0.25">
      <c r="B1349" s="9">
        <v>37179</v>
      </c>
      <c r="C1349" s="10">
        <v>4.6044000000000002E-2</v>
      </c>
      <c r="D1349" s="11">
        <v>1089.18</v>
      </c>
      <c r="E1349" s="11">
        <v>1.1021105416873314</v>
      </c>
      <c r="L1349" s="9">
        <v>37179</v>
      </c>
      <c r="M1349" s="14">
        <f t="shared" si="63"/>
        <v>-1.5143737166324445E-2</v>
      </c>
      <c r="N1349" s="14">
        <f t="shared" si="64"/>
        <v>-1.5217630449927411E-3</v>
      </c>
      <c r="O1349" s="14">
        <f t="shared" si="65"/>
        <v>-1.598060285446512E-3</v>
      </c>
      <c r="P1349" s="14">
        <f t="array" ref="P1349">MMULT(M1349:O1349,$I$9:$I$11)</f>
        <v>-1.5774632279035494E-3</v>
      </c>
    </row>
    <row r="1350" spans="2:16" x14ac:dyDescent="0.25">
      <c r="B1350" s="9">
        <v>37180</v>
      </c>
      <c r="C1350" s="10">
        <v>4.5651999999999998E-2</v>
      </c>
      <c r="D1350" s="11">
        <v>1096.74</v>
      </c>
      <c r="E1350" s="11">
        <v>1.1002310485201892</v>
      </c>
      <c r="L1350" s="9">
        <v>37180</v>
      </c>
      <c r="M1350" s="14">
        <f t="shared" si="63"/>
        <v>-8.5135956910781241E-3</v>
      </c>
      <c r="N1350" s="14">
        <f t="shared" si="64"/>
        <v>6.9410014873574344E-3</v>
      </c>
      <c r="O1350" s="14">
        <f t="shared" si="65"/>
        <v>-1.7053581252064465E-3</v>
      </c>
      <c r="P1350" s="14">
        <f t="array" ref="P1350">MMULT(M1350:O1350,$I$9:$I$11)</f>
        <v>6.2879662820214117E-4</v>
      </c>
    </row>
    <row r="1351" spans="2:16" x14ac:dyDescent="0.25">
      <c r="B1351" s="9">
        <v>37181</v>
      </c>
      <c r="C1351" s="10">
        <v>4.5690000000000001E-2</v>
      </c>
      <c r="D1351" s="11">
        <v>1076.28</v>
      </c>
      <c r="E1351" s="11">
        <v>1.1029006286533585</v>
      </c>
      <c r="L1351" s="9">
        <v>37181</v>
      </c>
      <c r="M1351" s="14">
        <f t="shared" si="63"/>
        <v>8.3238412336816836E-4</v>
      </c>
      <c r="N1351" s="14">
        <f t="shared" si="64"/>
        <v>-1.8655287488374639E-2</v>
      </c>
      <c r="O1351" s="14">
        <f t="shared" si="65"/>
        <v>2.4263813830376346E-3</v>
      </c>
      <c r="P1351" s="14">
        <f t="array" ref="P1351">MMULT(M1351:O1351,$I$9:$I$11)</f>
        <v>-3.2647857452055245E-3</v>
      </c>
    </row>
    <row r="1352" spans="2:16" x14ac:dyDescent="0.25">
      <c r="B1352" s="9">
        <v>37182</v>
      </c>
      <c r="C1352" s="10">
        <v>4.5766999999999995E-2</v>
      </c>
      <c r="D1352" s="11">
        <v>1067.8399999999999</v>
      </c>
      <c r="E1352" s="11">
        <v>1.1076036993963558</v>
      </c>
      <c r="L1352" s="9">
        <v>37182</v>
      </c>
      <c r="M1352" s="14">
        <f t="shared" si="63"/>
        <v>1.685270299846664E-3</v>
      </c>
      <c r="N1352" s="14">
        <f t="shared" si="64"/>
        <v>-7.8418255472554321E-3</v>
      </c>
      <c r="O1352" s="14">
        <f t="shared" si="65"/>
        <v>4.2642742426757252E-3</v>
      </c>
      <c r="P1352" s="14">
        <f t="array" ref="P1352">MMULT(M1352:O1352,$I$9:$I$11)</f>
        <v>9.9613462830599672E-4</v>
      </c>
    </row>
    <row r="1353" spans="2:16" x14ac:dyDescent="0.25">
      <c r="B1353" s="9">
        <v>37183</v>
      </c>
      <c r="C1353" s="10">
        <v>4.6195000000000007E-2</v>
      </c>
      <c r="D1353" s="11">
        <v>1072.71</v>
      </c>
      <c r="E1353" s="11">
        <v>1.1143923775561375</v>
      </c>
      <c r="L1353" s="9">
        <v>37183</v>
      </c>
      <c r="M1353" s="14">
        <f t="shared" ref="M1353:M1383" si="66">C1353/C1352-1</f>
        <v>9.351716302139268E-3</v>
      </c>
      <c r="N1353" s="14">
        <f t="shared" ref="N1353:N1383" si="67">D1353/D1352-1</f>
        <v>4.5606083308362688E-3</v>
      </c>
      <c r="O1353" s="14">
        <f t="shared" ref="O1353:O1383" si="68">E1353/E1352-1</f>
        <v>6.1291580765587828E-3</v>
      </c>
      <c r="P1353" s="14">
        <f t="array" ref="P1353">MMULT(M1353:O1353,$I$9:$I$11)</f>
        <v>5.7057153782449216E-3</v>
      </c>
    </row>
    <row r="1354" spans="2:16" x14ac:dyDescent="0.25">
      <c r="B1354" s="9">
        <v>37186</v>
      </c>
      <c r="C1354" s="10">
        <v>4.6411000000000001E-2</v>
      </c>
      <c r="D1354" s="11">
        <v>1089.1199999999999</v>
      </c>
      <c r="E1354" s="11">
        <v>1.1213905242500701</v>
      </c>
      <c r="L1354" s="9">
        <v>37186</v>
      </c>
      <c r="M1354" s="14">
        <f t="shared" si="66"/>
        <v>4.6758307176100189E-3</v>
      </c>
      <c r="N1354" s="14">
        <f t="shared" si="67"/>
        <v>1.5297703946080432E-2</v>
      </c>
      <c r="O1354" s="14">
        <f t="shared" si="68"/>
        <v>6.2797869358004466E-3</v>
      </c>
      <c r="P1354" s="14">
        <f t="array" ref="P1354">MMULT(M1354:O1354,$I$9:$I$11)</f>
        <v>8.7142466157798595E-3</v>
      </c>
    </row>
    <row r="1355" spans="2:16" x14ac:dyDescent="0.25">
      <c r="B1355" s="9">
        <v>37187</v>
      </c>
      <c r="C1355" s="10">
        <v>4.6487999999999995E-2</v>
      </c>
      <c r="D1355" s="11">
        <v>1084</v>
      </c>
      <c r="E1355" s="11">
        <v>1.1257458065968704</v>
      </c>
      <c r="L1355" s="9">
        <v>37187</v>
      </c>
      <c r="M1355" s="14">
        <f t="shared" si="66"/>
        <v>1.6590894400032585E-3</v>
      </c>
      <c r="N1355" s="14">
        <f t="shared" si="67"/>
        <v>-4.7010430439252682E-3</v>
      </c>
      <c r="O1355" s="14">
        <f t="shared" si="68"/>
        <v>3.8838230327591372E-3</v>
      </c>
      <c r="P1355" s="14">
        <f t="array" ref="P1355">MMULT(M1355:O1355,$I$9:$I$11)</f>
        <v>1.566268957035573E-3</v>
      </c>
    </row>
    <row r="1356" spans="2:16" x14ac:dyDescent="0.25">
      <c r="B1356" s="9">
        <v>37188</v>
      </c>
      <c r="C1356" s="10">
        <v>4.5956999999999998E-2</v>
      </c>
      <c r="D1356" s="11">
        <v>1084.4100000000001</v>
      </c>
      <c r="E1356" s="11">
        <v>1.1214534036110799</v>
      </c>
      <c r="L1356" s="9">
        <v>37188</v>
      </c>
      <c r="M1356" s="14">
        <f t="shared" si="66"/>
        <v>-1.1422302529685013E-2</v>
      </c>
      <c r="N1356" s="14">
        <f t="shared" si="67"/>
        <v>3.7822878228799262E-4</v>
      </c>
      <c r="O1356" s="14">
        <f t="shared" si="68"/>
        <v>-3.8129415722776283E-3</v>
      </c>
      <c r="P1356" s="14">
        <f t="array" ref="P1356">MMULT(M1356:O1356,$I$9:$I$11)</f>
        <v>-2.681501215432047E-3</v>
      </c>
    </row>
    <row r="1357" spans="2:16" x14ac:dyDescent="0.25">
      <c r="B1357" s="9">
        <v>37189</v>
      </c>
      <c r="C1357" s="10">
        <v>4.5487E-2</v>
      </c>
      <c r="D1357" s="11">
        <v>1099.29</v>
      </c>
      <c r="E1357" s="11">
        <v>1.1158223610801161</v>
      </c>
      <c r="L1357" s="9">
        <v>37189</v>
      </c>
      <c r="M1357" s="14">
        <f t="shared" si="66"/>
        <v>-1.0226951280544849E-2</v>
      </c>
      <c r="N1357" s="14">
        <f t="shared" si="67"/>
        <v>1.3721747309596743E-2</v>
      </c>
      <c r="O1357" s="14">
        <f t="shared" si="68"/>
        <v>-5.0212006248604446E-3</v>
      </c>
      <c r="P1357" s="14">
        <f t="array" ref="P1357">MMULT(M1357:O1357,$I$9:$I$11)</f>
        <v>3.8609858910327623E-5</v>
      </c>
    </row>
    <row r="1358" spans="2:16" x14ac:dyDescent="0.25">
      <c r="B1358" s="9">
        <v>37190</v>
      </c>
      <c r="C1358" s="10">
        <v>4.5210999999999994E-2</v>
      </c>
      <c r="D1358" s="11">
        <v>1103.79</v>
      </c>
      <c r="E1358" s="11">
        <v>1.1207621182404035</v>
      </c>
      <c r="L1358" s="9">
        <v>37190</v>
      </c>
      <c r="M1358" s="14">
        <f t="shared" si="66"/>
        <v>-6.0676676852727818E-3</v>
      </c>
      <c r="N1358" s="14">
        <f t="shared" si="67"/>
        <v>4.0935512921977946E-3</v>
      </c>
      <c r="O1358" s="14">
        <f t="shared" si="68"/>
        <v>4.4270103670496219E-3</v>
      </c>
      <c r="P1358" s="14">
        <f t="array" ref="P1358">MMULT(M1358:O1358,$I$9:$I$11)</f>
        <v>4.3369903910701795E-3</v>
      </c>
    </row>
    <row r="1359" spans="2:16" x14ac:dyDescent="0.25">
      <c r="B1359" s="9">
        <v>37193</v>
      </c>
      <c r="C1359" s="10">
        <v>4.4859999999999997E-2</v>
      </c>
      <c r="D1359" s="11">
        <v>1077.48</v>
      </c>
      <c r="E1359" s="11">
        <v>1.1058277120424638</v>
      </c>
      <c r="L1359" s="9">
        <v>37193</v>
      </c>
      <c r="M1359" s="14">
        <f t="shared" si="66"/>
        <v>-7.7635973546260617E-3</v>
      </c>
      <c r="N1359" s="14">
        <f t="shared" si="67"/>
        <v>-2.3836055771478182E-2</v>
      </c>
      <c r="O1359" s="14">
        <f t="shared" si="68"/>
        <v>-1.3325223930111707E-2</v>
      </c>
      <c r="P1359" s="14">
        <f t="array" ref="P1359">MMULT(M1359:O1359,$I$9:$I$11)</f>
        <v>-1.61627080510768E-2</v>
      </c>
    </row>
    <row r="1360" spans="2:16" x14ac:dyDescent="0.25">
      <c r="B1360" s="9">
        <v>37194</v>
      </c>
      <c r="C1360" s="10">
        <v>4.4162E-2</v>
      </c>
      <c r="D1360" s="11">
        <v>1059.01</v>
      </c>
      <c r="E1360" s="11">
        <v>1.1003521126760563</v>
      </c>
      <c r="L1360" s="9">
        <v>37194</v>
      </c>
      <c r="M1360" s="14">
        <f t="shared" si="66"/>
        <v>-1.5559518502006209E-2</v>
      </c>
      <c r="N1360" s="14">
        <f t="shared" si="67"/>
        <v>-1.7141849500686868E-2</v>
      </c>
      <c r="O1360" s="14">
        <f t="shared" si="68"/>
        <v>-4.9515845070423614E-3</v>
      </c>
      <c r="P1360" s="14">
        <f t="array" ref="P1360">MMULT(M1360:O1360,$I$9:$I$11)</f>
        <v>-8.2424451993133203E-3</v>
      </c>
    </row>
    <row r="1361" spans="2:16" x14ac:dyDescent="0.25">
      <c r="B1361" s="9">
        <v>37195</v>
      </c>
      <c r="C1361" s="10">
        <v>4.2436999999999996E-2</v>
      </c>
      <c r="D1361" s="11">
        <v>1059.01</v>
      </c>
      <c r="E1361" s="11">
        <v>1.1102475852115021</v>
      </c>
      <c r="L1361" s="9">
        <v>37195</v>
      </c>
      <c r="M1361" s="14">
        <f t="shared" si="66"/>
        <v>-3.9060730945156608E-2</v>
      </c>
      <c r="N1361" s="14">
        <f t="shared" si="67"/>
        <v>0</v>
      </c>
      <c r="O1361" s="14">
        <f t="shared" si="68"/>
        <v>8.9930054402131976E-3</v>
      </c>
      <c r="P1361" s="14">
        <f t="array" ref="P1361">MMULT(M1361:O1361,$I$9:$I$11)</f>
        <v>6.5652708401855563E-3</v>
      </c>
    </row>
    <row r="1362" spans="2:16" x14ac:dyDescent="0.25">
      <c r="B1362" s="9">
        <v>37196</v>
      </c>
      <c r="C1362" s="10">
        <v>4.2359000000000001E-2</v>
      </c>
      <c r="D1362" s="11">
        <v>1084.0999999999999</v>
      </c>
      <c r="E1362" s="11">
        <v>1.1032048099729714</v>
      </c>
      <c r="L1362" s="9">
        <v>37196</v>
      </c>
      <c r="M1362" s="14">
        <f t="shared" si="66"/>
        <v>-1.8380187100878187E-3</v>
      </c>
      <c r="N1362" s="14">
        <f t="shared" si="67"/>
        <v>2.3691938697462556E-2</v>
      </c>
      <c r="O1362" s="14">
        <f t="shared" si="68"/>
        <v>-6.3434276573446358E-3</v>
      </c>
      <c r="P1362" s="14">
        <f t="array" ref="P1362">MMULT(M1362:O1362,$I$9:$I$11)</f>
        <v>1.7648625698591901E-3</v>
      </c>
    </row>
    <row r="1363" spans="2:16" x14ac:dyDescent="0.25">
      <c r="B1363" s="9">
        <v>37197</v>
      </c>
      <c r="C1363" s="10">
        <v>4.3635E-2</v>
      </c>
      <c r="D1363" s="11">
        <v>1087.2</v>
      </c>
      <c r="E1363" s="11">
        <v>1.1060111707128242</v>
      </c>
      <c r="L1363" s="9">
        <v>37197</v>
      </c>
      <c r="M1363" s="14">
        <f t="shared" si="66"/>
        <v>3.0123468448263635E-2</v>
      </c>
      <c r="N1363" s="14">
        <f t="shared" si="67"/>
        <v>2.8595148049073149E-3</v>
      </c>
      <c r="O1363" s="14">
        <f t="shared" si="68"/>
        <v>2.5438256926395564E-3</v>
      </c>
      <c r="P1363" s="14">
        <f t="array" ref="P1363">MMULT(M1363:O1363,$I$9:$I$11)</f>
        <v>2.6290485234050495E-3</v>
      </c>
    </row>
    <row r="1364" spans="2:16" x14ac:dyDescent="0.25">
      <c r="B1364" s="9">
        <v>37200</v>
      </c>
      <c r="C1364" s="10">
        <v>4.3105999999999998E-2</v>
      </c>
      <c r="D1364" s="11">
        <v>1102.76</v>
      </c>
      <c r="E1364" s="11">
        <v>1.1151379983272929</v>
      </c>
      <c r="L1364" s="9">
        <v>37200</v>
      </c>
      <c r="M1364" s="14">
        <f t="shared" si="66"/>
        <v>-1.2123295519651744E-2</v>
      </c>
      <c r="N1364" s="14">
        <f t="shared" si="67"/>
        <v>1.4311994113318516E-2</v>
      </c>
      <c r="O1364" s="14">
        <f t="shared" si="68"/>
        <v>8.2520211876218053E-3</v>
      </c>
      <c r="P1364" s="14">
        <f t="array" ref="P1364">MMULT(M1364:O1364,$I$9:$I$11)</f>
        <v>9.8879599229814326E-3</v>
      </c>
    </row>
    <row r="1365" spans="2:16" x14ac:dyDescent="0.25">
      <c r="B1365" s="9">
        <v>37201</v>
      </c>
      <c r="C1365" s="10">
        <v>4.2626999999999998E-2</v>
      </c>
      <c r="D1365" s="11">
        <v>1118.77</v>
      </c>
      <c r="E1365" s="11">
        <v>1.1151379983272929</v>
      </c>
      <c r="L1365" s="9">
        <v>37201</v>
      </c>
      <c r="M1365" s="14">
        <f t="shared" si="66"/>
        <v>-1.1112142161184058E-2</v>
      </c>
      <c r="N1365" s="14">
        <f t="shared" si="67"/>
        <v>1.4518118176212402E-2</v>
      </c>
      <c r="O1365" s="14">
        <f t="shared" si="68"/>
        <v>0</v>
      </c>
      <c r="P1365" s="14">
        <f t="array" ref="P1365">MMULT(M1365:O1365,$I$9:$I$11)</f>
        <v>3.9192834984925198E-3</v>
      </c>
    </row>
    <row r="1366" spans="2:16" x14ac:dyDescent="0.25">
      <c r="B1366" s="9">
        <v>37202</v>
      </c>
      <c r="C1366" s="10">
        <v>4.1866E-2</v>
      </c>
      <c r="D1366" s="11">
        <v>1115.71</v>
      </c>
      <c r="E1366" s="11">
        <v>1.1114198388441232</v>
      </c>
      <c r="L1366" s="9">
        <v>37202</v>
      </c>
      <c r="M1366" s="14">
        <f t="shared" si="66"/>
        <v>-1.7852534778426743E-2</v>
      </c>
      <c r="N1366" s="14">
        <f t="shared" si="67"/>
        <v>-2.7351466342501185E-3</v>
      </c>
      <c r="O1366" s="14">
        <f t="shared" si="68"/>
        <v>-3.334259516532434E-3</v>
      </c>
      <c r="P1366" s="14">
        <f t="array" ref="P1366">MMULT(M1366:O1366,$I$9:$I$11)</f>
        <v>-3.1725241452698781E-3</v>
      </c>
    </row>
    <row r="1367" spans="2:16" x14ac:dyDescent="0.25">
      <c r="B1367" s="9">
        <v>37203</v>
      </c>
      <c r="C1367" s="10">
        <v>4.2900999999999995E-2</v>
      </c>
      <c r="D1367" s="11">
        <v>1118.54</v>
      </c>
      <c r="E1367" s="11">
        <v>1.1206993163734171</v>
      </c>
      <c r="L1367" s="9">
        <v>37203</v>
      </c>
      <c r="M1367" s="14">
        <f t="shared" si="66"/>
        <v>2.4721731237758338E-2</v>
      </c>
      <c r="N1367" s="14">
        <f t="shared" si="67"/>
        <v>2.5365014206200076E-3</v>
      </c>
      <c r="O1367" s="14">
        <f t="shared" si="68"/>
        <v>8.3492099069821801E-3</v>
      </c>
      <c r="P1367" s="14">
        <f t="array" ref="P1367">MMULT(M1367:O1367,$I$9:$I$11)</f>
        <v>6.7800222081608619E-3</v>
      </c>
    </row>
    <row r="1368" spans="2:16" x14ac:dyDescent="0.25">
      <c r="B1368" s="9">
        <v>37204</v>
      </c>
      <c r="C1368" s="10">
        <v>4.3105999999999998E-2</v>
      </c>
      <c r="D1368" s="11">
        <v>1120.31</v>
      </c>
      <c r="E1368" s="11">
        <v>1.119256813475852</v>
      </c>
      <c r="L1368" s="9">
        <v>37204</v>
      </c>
      <c r="M1368" s="14">
        <f t="shared" si="66"/>
        <v>4.7784433929281001E-3</v>
      </c>
      <c r="N1368" s="14">
        <f t="shared" si="67"/>
        <v>1.5824199402791894E-3</v>
      </c>
      <c r="O1368" s="14">
        <f t="shared" si="68"/>
        <v>-1.2871453354973417E-3</v>
      </c>
      <c r="P1368" s="14">
        <f t="array" ref="P1368">MMULT(M1368:O1368,$I$9:$I$11)</f>
        <v>-5.1248296557494691E-4</v>
      </c>
    </row>
    <row r="1369" spans="2:16" x14ac:dyDescent="0.25">
      <c r="B1369" s="9">
        <v>37207</v>
      </c>
      <c r="C1369" s="10">
        <v>4.3105999999999998E-2</v>
      </c>
      <c r="D1369" s="11">
        <v>1118.33</v>
      </c>
      <c r="E1369" s="11">
        <v>1.1180054782268434</v>
      </c>
      <c r="L1369" s="9">
        <v>37207</v>
      </c>
      <c r="M1369" s="14">
        <f t="shared" si="66"/>
        <v>0</v>
      </c>
      <c r="N1369" s="14">
        <f t="shared" si="67"/>
        <v>-1.7673679606537984E-3</v>
      </c>
      <c r="O1369" s="14">
        <f t="shared" si="68"/>
        <v>-1.1180054782268245E-3</v>
      </c>
      <c r="P1369" s="14">
        <f t="array" ref="P1369">MMULT(M1369:O1369,$I$9:$I$11)</f>
        <v>-1.2933061357243065E-3</v>
      </c>
    </row>
    <row r="1370" spans="2:16" x14ac:dyDescent="0.25">
      <c r="B1370" s="9">
        <v>37208</v>
      </c>
      <c r="C1370" s="10">
        <v>4.3815E-2</v>
      </c>
      <c r="D1370" s="11">
        <v>1139.0899999999999</v>
      </c>
      <c r="E1370" s="11">
        <v>1.1339154099104207</v>
      </c>
      <c r="L1370" s="9">
        <v>37208</v>
      </c>
      <c r="M1370" s="14">
        <f t="shared" si="66"/>
        <v>1.6447826288683798E-2</v>
      </c>
      <c r="N1370" s="14">
        <f t="shared" si="67"/>
        <v>1.8563393631575664E-2</v>
      </c>
      <c r="O1370" s="14">
        <f t="shared" si="68"/>
        <v>1.4230638394375772E-2</v>
      </c>
      <c r="P1370" s="14">
        <f t="array" ref="P1370">MMULT(M1370:O1370,$I$9:$I$11)</f>
        <v>1.5400300736151446E-2</v>
      </c>
    </row>
    <row r="1371" spans="2:16" x14ac:dyDescent="0.25">
      <c r="B1371" s="9">
        <v>37209</v>
      </c>
      <c r="C1371" s="10">
        <v>4.5281000000000002E-2</v>
      </c>
      <c r="D1371" s="11">
        <v>1141.21</v>
      </c>
      <c r="E1371" s="11">
        <v>1.1316057485572026</v>
      </c>
      <c r="L1371" s="9">
        <v>37209</v>
      </c>
      <c r="M1371" s="14">
        <f t="shared" si="66"/>
        <v>3.3458861120620798E-2</v>
      </c>
      <c r="N1371" s="14">
        <f t="shared" si="67"/>
        <v>1.8611347654708954E-3</v>
      </c>
      <c r="O1371" s="14">
        <f t="shared" si="68"/>
        <v>-2.0368903474030642E-3</v>
      </c>
      <c r="P1371" s="14">
        <f t="array" ref="P1371">MMULT(M1371:O1371,$I$9:$I$11)</f>
        <v>-9.845869210107841E-4</v>
      </c>
    </row>
    <row r="1372" spans="2:16" x14ac:dyDescent="0.25">
      <c r="B1372" s="9">
        <v>37210</v>
      </c>
      <c r="C1372" s="10">
        <v>4.7839E-2</v>
      </c>
      <c r="D1372" s="11">
        <v>1142.24</v>
      </c>
      <c r="E1372" s="11">
        <v>1.1349449551696742</v>
      </c>
      <c r="L1372" s="9">
        <v>37210</v>
      </c>
      <c r="M1372" s="14">
        <f t="shared" si="66"/>
        <v>5.6491685254300927E-2</v>
      </c>
      <c r="N1372" s="14">
        <f t="shared" si="67"/>
        <v>9.0255080134249432E-4</v>
      </c>
      <c r="O1372" s="14">
        <f t="shared" si="68"/>
        <v>2.9508568834410998E-3</v>
      </c>
      <c r="P1372" s="14">
        <f t="array" ref="P1372">MMULT(M1372:O1372,$I$9:$I$11)</f>
        <v>2.3979000793985178E-3</v>
      </c>
    </row>
    <row r="1373" spans="2:16" x14ac:dyDescent="0.25">
      <c r="B1373" s="9">
        <v>37211</v>
      </c>
      <c r="C1373" s="10">
        <v>4.8482000000000004E-2</v>
      </c>
      <c r="D1373" s="11">
        <v>1138.6500000000001</v>
      </c>
      <c r="E1373" s="11">
        <v>1.1295606009262398</v>
      </c>
      <c r="L1373" s="9">
        <v>37211</v>
      </c>
      <c r="M1373" s="14">
        <f t="shared" si="66"/>
        <v>1.3440916407115644E-2</v>
      </c>
      <c r="N1373" s="14">
        <f t="shared" si="67"/>
        <v>-3.1429471914833362E-3</v>
      </c>
      <c r="O1373" s="14">
        <f t="shared" si="68"/>
        <v>-4.7441545238900984E-3</v>
      </c>
      <c r="P1373" s="14">
        <f t="array" ref="P1373">MMULT(M1373:O1373,$I$9:$I$11)</f>
        <v>-4.3118956457491664E-3</v>
      </c>
    </row>
    <row r="1374" spans="2:16" x14ac:dyDescent="0.25">
      <c r="B1374" s="9">
        <v>37214</v>
      </c>
      <c r="C1374" s="10">
        <v>4.8042999999999995E-2</v>
      </c>
      <c r="D1374" s="11">
        <v>1151.06</v>
      </c>
      <c r="E1374" s="11">
        <v>1.1373329542223487</v>
      </c>
      <c r="L1374" s="9">
        <v>37214</v>
      </c>
      <c r="M1374" s="14">
        <f t="shared" si="66"/>
        <v>-9.0549069757850376E-3</v>
      </c>
      <c r="N1374" s="14">
        <f t="shared" si="67"/>
        <v>1.089887147060109E-2</v>
      </c>
      <c r="O1374" s="14">
        <f t="shared" si="68"/>
        <v>6.8808643730451369E-3</v>
      </c>
      <c r="P1374" s="14">
        <f t="array" ref="P1374">MMULT(M1374:O1374,$I$9:$I$11)</f>
        <v>7.9655579072305197E-3</v>
      </c>
    </row>
    <row r="1375" spans="2:16" x14ac:dyDescent="0.25">
      <c r="B1375" s="9">
        <v>37215</v>
      </c>
      <c r="C1375" s="10">
        <v>4.8728E-2</v>
      </c>
      <c r="D1375" s="11">
        <v>1142.6600000000001</v>
      </c>
      <c r="E1375" s="11">
        <v>1.1326311020500623</v>
      </c>
      <c r="L1375" s="9">
        <v>37215</v>
      </c>
      <c r="M1375" s="14">
        <f t="shared" si="66"/>
        <v>1.4258060487480018E-2</v>
      </c>
      <c r="N1375" s="14">
        <f t="shared" si="67"/>
        <v>-7.2976213229544173E-3</v>
      </c>
      <c r="O1375" s="14">
        <f t="shared" si="68"/>
        <v>-4.1341035224827793E-3</v>
      </c>
      <c r="P1375" s="14">
        <f t="array" ref="P1375">MMULT(M1375:O1375,$I$9:$I$11)</f>
        <v>-4.9881207554386912E-3</v>
      </c>
    </row>
    <row r="1376" spans="2:16" x14ac:dyDescent="0.25">
      <c r="B1376" s="9">
        <v>37216</v>
      </c>
      <c r="C1376" s="10">
        <v>4.9621999999999999E-2</v>
      </c>
      <c r="D1376" s="11">
        <v>1137.03</v>
      </c>
      <c r="E1376" s="11">
        <v>1.1412919424788861</v>
      </c>
      <c r="L1376" s="9">
        <v>37216</v>
      </c>
      <c r="M1376" s="14">
        <f t="shared" si="66"/>
        <v>1.8346741093416385E-2</v>
      </c>
      <c r="N1376" s="14">
        <f t="shared" si="67"/>
        <v>-4.9270999247371661E-3</v>
      </c>
      <c r="O1376" s="14">
        <f t="shared" si="68"/>
        <v>7.646656014608455E-3</v>
      </c>
      <c r="P1376" s="14">
        <f t="array" ref="P1376">MMULT(M1376:O1376,$I$9:$I$11)</f>
        <v>4.2522688379085212E-3</v>
      </c>
    </row>
    <row r="1377" spans="2:16" x14ac:dyDescent="0.25">
      <c r="B1377" s="9">
        <v>37217</v>
      </c>
      <c r="C1377" s="10">
        <v>4.9621999999999999E-2</v>
      </c>
      <c r="D1377" s="11">
        <v>1137.03</v>
      </c>
      <c r="E1377" s="11">
        <v>1.1374623215605983</v>
      </c>
      <c r="L1377" s="9">
        <v>37217</v>
      </c>
      <c r="M1377" s="14">
        <f t="shared" si="66"/>
        <v>0</v>
      </c>
      <c r="N1377" s="14">
        <f t="shared" si="67"/>
        <v>0</v>
      </c>
      <c r="O1377" s="14">
        <f t="shared" si="68"/>
        <v>-3.355513848603775E-3</v>
      </c>
      <c r="P1377" s="14">
        <f t="array" ref="P1377">MMULT(M1377:O1377,$I$9:$I$11)</f>
        <v>-2.4496657286081783E-3</v>
      </c>
    </row>
    <row r="1378" spans="2:16" x14ac:dyDescent="0.25">
      <c r="B1378" s="9">
        <v>37218</v>
      </c>
      <c r="C1378" s="10">
        <v>5.0113000000000005E-2</v>
      </c>
      <c r="D1378" s="11">
        <v>1150.3399999999999</v>
      </c>
      <c r="E1378" s="11">
        <v>1.1407711613050422</v>
      </c>
      <c r="L1378" s="9">
        <v>37218</v>
      </c>
      <c r="M1378" s="14">
        <f t="shared" si="66"/>
        <v>9.8948047237112924E-3</v>
      </c>
      <c r="N1378" s="14">
        <f t="shared" si="67"/>
        <v>1.170593563934097E-2</v>
      </c>
      <c r="O1378" s="14">
        <f t="shared" si="68"/>
        <v>2.9089664613277666E-3</v>
      </c>
      <c r="P1378" s="14">
        <f t="array" ref="P1378">MMULT(M1378:O1378,$I$9:$I$11)</f>
        <v>5.2837794858301805E-3</v>
      </c>
    </row>
    <row r="1379" spans="2:16" x14ac:dyDescent="0.25">
      <c r="B1379" s="9">
        <v>37221</v>
      </c>
      <c r="C1379" s="10">
        <v>5.0159000000000002E-2</v>
      </c>
      <c r="D1379" s="11">
        <v>1157.42</v>
      </c>
      <c r="E1379" s="11">
        <v>1.1373976342129208</v>
      </c>
      <c r="L1379" s="9">
        <v>37221</v>
      </c>
      <c r="M1379" s="14">
        <f t="shared" si="66"/>
        <v>9.1792548839619847E-4</v>
      </c>
      <c r="N1379" s="14">
        <f t="shared" si="67"/>
        <v>6.1547020880783343E-3</v>
      </c>
      <c r="O1379" s="14">
        <f t="shared" si="68"/>
        <v>-2.9572338489536332E-3</v>
      </c>
      <c r="P1379" s="14">
        <f t="array" ref="P1379">MMULT(M1379:O1379,$I$9:$I$11)</f>
        <v>-4.9739299879138091E-4</v>
      </c>
    </row>
    <row r="1380" spans="2:16" x14ac:dyDescent="0.25">
      <c r="B1380" s="9">
        <v>37222</v>
      </c>
      <c r="C1380" s="10">
        <v>4.9255000000000007E-2</v>
      </c>
      <c r="D1380" s="11">
        <v>1149.5</v>
      </c>
      <c r="E1380" s="11">
        <v>1.1341726210729273</v>
      </c>
      <c r="L1380" s="9">
        <v>37222</v>
      </c>
      <c r="M1380" s="14">
        <f t="shared" si="66"/>
        <v>-1.8022687852628505E-2</v>
      </c>
      <c r="N1380" s="14">
        <f t="shared" si="67"/>
        <v>-6.8428055502757212E-3</v>
      </c>
      <c r="O1380" s="14">
        <f t="shared" si="68"/>
        <v>-2.8354315526823992E-3</v>
      </c>
      <c r="P1380" s="14">
        <f t="array" ref="P1380">MMULT(M1380:O1380,$I$9:$I$11)</f>
        <v>-3.917254595477951E-3</v>
      </c>
    </row>
    <row r="1381" spans="2:16" x14ac:dyDescent="0.25">
      <c r="B1381" s="9">
        <v>37223</v>
      </c>
      <c r="C1381" s="10">
        <v>4.929E-2</v>
      </c>
      <c r="D1381" s="11">
        <v>1128.52</v>
      </c>
      <c r="E1381" s="11">
        <v>1.1288592876897894</v>
      </c>
      <c r="L1381" s="9">
        <v>37223</v>
      </c>
      <c r="M1381" s="14">
        <f t="shared" si="66"/>
        <v>7.1058775758792159E-4</v>
      </c>
      <c r="N1381" s="14">
        <f t="shared" si="67"/>
        <v>-1.8251413658112225E-2</v>
      </c>
      <c r="O1381" s="14">
        <f t="shared" si="68"/>
        <v>-4.6847660439126582E-3</v>
      </c>
      <c r="P1381" s="14">
        <f t="array" ref="P1381">MMULT(M1381:O1381,$I$9:$I$11)</f>
        <v>-8.3471923638275616E-3</v>
      </c>
    </row>
    <row r="1382" spans="2:16" x14ac:dyDescent="0.25">
      <c r="B1382" s="9">
        <v>37224</v>
      </c>
      <c r="C1382" s="10">
        <v>4.7647000000000002E-2</v>
      </c>
      <c r="D1382" s="11">
        <v>1140.2</v>
      </c>
      <c r="E1382" s="11">
        <v>1.1279043537108053</v>
      </c>
      <c r="L1382" s="9">
        <v>37224</v>
      </c>
      <c r="M1382" s="14">
        <f t="shared" si="66"/>
        <v>-3.3333333333333326E-2</v>
      </c>
      <c r="N1382" s="14">
        <f t="shared" si="67"/>
        <v>1.0349838726828153E-2</v>
      </c>
      <c r="O1382" s="14">
        <f t="shared" si="68"/>
        <v>-8.4592826528306908E-4</v>
      </c>
      <c r="P1382" s="14">
        <f t="array" ref="P1382">MMULT(M1382:O1382,$I$9:$I$11)</f>
        <v>2.1764596428856422E-3</v>
      </c>
    </row>
    <row r="1383" spans="2:16" x14ac:dyDescent="0.25">
      <c r="B1383" s="9">
        <v>37225</v>
      </c>
      <c r="C1383" s="10">
        <v>4.7567000000000005E-2</v>
      </c>
      <c r="D1383" s="11">
        <v>1137.8800000000001</v>
      </c>
      <c r="E1383" s="11">
        <v>1.1168816663874463</v>
      </c>
      <c r="L1383" s="9">
        <v>37225</v>
      </c>
      <c r="M1383" s="14">
        <f t="shared" si="66"/>
        <v>-1.6790144185362399E-3</v>
      </c>
      <c r="N1383" s="14">
        <f t="shared" si="67"/>
        <v>-2.034730748991298E-3</v>
      </c>
      <c r="O1383" s="14">
        <f t="shared" si="68"/>
        <v>-9.7727145808900184E-3</v>
      </c>
      <c r="P1383" s="14">
        <f t="array" ref="P1383">MMULT(M1383:O1383,$I$9:$I$11)</f>
        <v>-7.6837832210631483E-3</v>
      </c>
    </row>
  </sheetData>
  <sheetProtection formatCells="0" selectLockedCells="1"/>
  <mergeCells count="7">
    <mergeCell ref="I7:J7"/>
    <mergeCell ref="M7:P7"/>
    <mergeCell ref="B2:I3"/>
    <mergeCell ref="B5:B6"/>
    <mergeCell ref="C5:E5"/>
    <mergeCell ref="L5:L6"/>
    <mergeCell ref="M5:O5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2:U1384"/>
  <sheetViews>
    <sheetView showGridLines="0" zoomScaleNormal="100" workbookViewId="0">
      <selection activeCell="E12" sqref="E12"/>
    </sheetView>
  </sheetViews>
  <sheetFormatPr baseColWidth="10" defaultColWidth="11.42578125" defaultRowHeight="15" x14ac:dyDescent="0.25"/>
  <cols>
    <col min="1" max="9" width="11.42578125" style="23"/>
    <col min="10" max="10" width="11.42578125" style="23" customWidth="1"/>
    <col min="11" max="11" width="16.28515625" style="23" customWidth="1"/>
    <col min="12" max="12" width="13.42578125" style="23" bestFit="1" customWidth="1"/>
    <col min="13" max="15" width="11.42578125" style="23" customWidth="1"/>
    <col min="16" max="16" width="11.42578125" style="23"/>
    <col min="17" max="17" width="22.5703125" style="23" bestFit="1" customWidth="1"/>
    <col min="18" max="18" width="13" style="23" customWidth="1"/>
    <col min="19" max="21" width="11.42578125" style="23"/>
    <col min="22" max="22" width="6" style="23" customWidth="1"/>
    <col min="23" max="16384" width="11.42578125" style="23"/>
  </cols>
  <sheetData>
    <row r="2" spans="1:21" x14ac:dyDescent="0.25">
      <c r="B2" s="78" t="s">
        <v>19</v>
      </c>
      <c r="C2" s="79"/>
      <c r="D2" s="79"/>
      <c r="E2" s="79"/>
      <c r="F2" s="79"/>
      <c r="G2" s="79"/>
      <c r="H2" s="79"/>
      <c r="I2" s="80"/>
      <c r="N2" s="23" t="s">
        <v>43</v>
      </c>
      <c r="O2" s="66">
        <v>0.2</v>
      </c>
    </row>
    <row r="3" spans="1:21" x14ac:dyDescent="0.25">
      <c r="B3" s="81"/>
      <c r="C3" s="82"/>
      <c r="D3" s="82"/>
      <c r="E3" s="82"/>
      <c r="F3" s="82"/>
      <c r="G3" s="82"/>
      <c r="H3" s="82"/>
      <c r="I3" s="83"/>
      <c r="N3" s="23" t="s">
        <v>44</v>
      </c>
      <c r="O3" s="66">
        <v>0.3</v>
      </c>
    </row>
    <row r="4" spans="1:21" x14ac:dyDescent="0.25">
      <c r="J4" s="23">
        <v>-500</v>
      </c>
      <c r="K4" s="23" t="s">
        <v>106</v>
      </c>
      <c r="N4" s="23" t="s">
        <v>101</v>
      </c>
      <c r="O4" s="66">
        <v>0.01</v>
      </c>
    </row>
    <row r="5" spans="1:21" x14ac:dyDescent="0.25">
      <c r="A5" s="24"/>
      <c r="J5" s="23">
        <v>-300</v>
      </c>
      <c r="K5" s="23" t="s">
        <v>105</v>
      </c>
    </row>
    <row r="6" spans="1:21" x14ac:dyDescent="0.25">
      <c r="A6" s="24"/>
      <c r="D6" s="84" t="s">
        <v>1</v>
      </c>
      <c r="E6" s="85" t="s">
        <v>41</v>
      </c>
      <c r="F6" s="86"/>
      <c r="G6" s="87"/>
      <c r="H6" s="1"/>
      <c r="N6" s="23" t="s">
        <v>102</v>
      </c>
      <c r="P6" s="23" t="s">
        <v>104</v>
      </c>
      <c r="Q6" s="67">
        <f>O2+O3*NORMSINV(O4)</f>
        <v>-0.49790436221225215</v>
      </c>
      <c r="T6" s="64"/>
    </row>
    <row r="7" spans="1:21" x14ac:dyDescent="0.25">
      <c r="A7" s="24"/>
      <c r="B7" s="25" t="s">
        <v>20</v>
      </c>
      <c r="C7" s="26" t="s">
        <v>21</v>
      </c>
      <c r="D7" s="84"/>
      <c r="E7" s="7" t="s">
        <v>4</v>
      </c>
      <c r="F7" s="8" t="s">
        <v>5</v>
      </c>
      <c r="G7" s="8" t="s">
        <v>6</v>
      </c>
      <c r="H7" s="8" t="s">
        <v>7</v>
      </c>
      <c r="J7" s="5" t="s">
        <v>22</v>
      </c>
      <c r="K7" s="27">
        <v>0.01</v>
      </c>
      <c r="N7" s="23" t="s">
        <v>103</v>
      </c>
      <c r="P7" s="23" t="s">
        <v>104</v>
      </c>
      <c r="Q7" s="67">
        <f>NORMINV(O4,O2,O3)</f>
        <v>-0.49790436221225215</v>
      </c>
      <c r="T7" s="64"/>
    </row>
    <row r="8" spans="1:21" x14ac:dyDescent="0.25">
      <c r="A8" s="24"/>
      <c r="B8" s="88"/>
      <c r="C8" s="89"/>
      <c r="D8" s="28">
        <f>Ejercicio1!L7</f>
        <v>35299</v>
      </c>
      <c r="E8" s="75"/>
      <c r="F8" s="76"/>
      <c r="G8" s="76"/>
      <c r="H8" s="77"/>
      <c r="T8" s="64"/>
    </row>
    <row r="9" spans="1:21" x14ac:dyDescent="0.25">
      <c r="A9" s="24"/>
      <c r="B9" s="29">
        <v>1</v>
      </c>
      <c r="C9" s="30">
        <v>7.2674418604651162E-4</v>
      </c>
      <c r="D9" s="28">
        <v>35300</v>
      </c>
      <c r="E9" s="14">
        <v>-5.2429384156635561E-2</v>
      </c>
      <c r="F9" s="14">
        <v>-6.8667431290089564E-2</v>
      </c>
      <c r="G9" s="14">
        <v>-3.2664171486900373E-2</v>
      </c>
      <c r="H9" s="14">
        <v>-3.529313377487886E-2</v>
      </c>
      <c r="M9" s="31"/>
      <c r="N9" s="31"/>
      <c r="T9" s="64"/>
    </row>
    <row r="10" spans="1:21" x14ac:dyDescent="0.25">
      <c r="A10" s="24"/>
      <c r="B10" s="29">
        <v>2</v>
      </c>
      <c r="C10" s="30">
        <v>1.4534883720930232E-3</v>
      </c>
      <c r="D10" s="28">
        <v>35303</v>
      </c>
      <c r="E10" s="14">
        <v>-3.9060730945156608E-2</v>
      </c>
      <c r="F10" s="14">
        <v>-6.8014097396654871E-2</v>
      </c>
      <c r="G10" s="14">
        <v>-2.2670509125840344E-2</v>
      </c>
      <c r="H10" s="14">
        <v>-3.5031843184825266E-2</v>
      </c>
      <c r="J10" s="84" t="s">
        <v>4</v>
      </c>
      <c r="K10" s="32" t="s">
        <v>23</v>
      </c>
      <c r="L10" s="14">
        <f>-PERCENTILE(E9:E1384,K7)</f>
        <v>2.4919339148812253E-2</v>
      </c>
      <c r="N10" s="31"/>
      <c r="S10" s="64"/>
      <c r="T10" s="64"/>
    </row>
    <row r="11" spans="1:21" x14ac:dyDescent="0.25">
      <c r="A11" s="24"/>
      <c r="B11" s="29">
        <v>3</v>
      </c>
      <c r="C11" s="30">
        <v>2.1802325581395349E-3</v>
      </c>
      <c r="D11" s="28">
        <v>35304</v>
      </c>
      <c r="E11" s="14">
        <v>-3.7189920964081691E-2</v>
      </c>
      <c r="F11" s="14">
        <v>-5.827797099638321E-2</v>
      </c>
      <c r="G11" s="14">
        <v>-2.2668579626972662E-2</v>
      </c>
      <c r="H11" s="14">
        <v>-2.8606244196511678E-2</v>
      </c>
      <c r="J11" s="84"/>
      <c r="K11" s="32" t="s">
        <v>24</v>
      </c>
      <c r="L11" s="33">
        <f>L10*Ejercicio1!I9*Ejercicio1!I7</f>
        <v>0</v>
      </c>
      <c r="S11" s="64"/>
      <c r="T11" s="64"/>
    </row>
    <row r="12" spans="1:21" x14ac:dyDescent="0.25">
      <c r="A12" s="24"/>
      <c r="B12" s="29">
        <v>4</v>
      </c>
      <c r="C12" s="30">
        <v>2.9069767441860465E-3</v>
      </c>
      <c r="D12" s="28">
        <v>35305</v>
      </c>
      <c r="E12" s="14">
        <v>-3.63277419786876E-2</v>
      </c>
      <c r="F12" s="14">
        <v>-4.9243048309444037E-2</v>
      </c>
      <c r="G12" s="14">
        <v>-2.0780363778603594E-2</v>
      </c>
      <c r="H12" s="14">
        <v>-2.819161760058091E-2</v>
      </c>
      <c r="N12" s="23">
        <v>1</v>
      </c>
      <c r="O12" s="68">
        <v>20</v>
      </c>
      <c r="S12" s="64"/>
      <c r="T12" s="64"/>
      <c r="U12" s="64"/>
    </row>
    <row r="13" spans="1:21" x14ac:dyDescent="0.25">
      <c r="A13" s="24"/>
      <c r="B13" s="29">
        <v>5</v>
      </c>
      <c r="C13" s="30">
        <v>3.6337209302325581E-3</v>
      </c>
      <c r="D13" s="28">
        <v>35306</v>
      </c>
      <c r="E13" s="14">
        <v>-3.3333333333333326E-2</v>
      </c>
      <c r="F13" s="14">
        <v>-4.3185651271406278E-2</v>
      </c>
      <c r="G13" s="14">
        <v>-2.0574576088130403E-2</v>
      </c>
      <c r="H13" s="14">
        <v>-2.7904140663284817E-2</v>
      </c>
      <c r="J13" s="84" t="s">
        <v>5</v>
      </c>
      <c r="K13" s="32" t="s">
        <v>23</v>
      </c>
      <c r="L13" s="14">
        <f>-PERCENTILE(F9:F1384,K7)</f>
        <v>2.9774756690714832E-2</v>
      </c>
      <c r="N13" s="23">
        <v>2</v>
      </c>
      <c r="O13" s="68">
        <v>19.899999999999999</v>
      </c>
      <c r="S13" s="64"/>
      <c r="T13" s="64"/>
      <c r="U13" s="64"/>
    </row>
    <row r="14" spans="1:21" x14ac:dyDescent="0.25">
      <c r="A14" s="24"/>
      <c r="B14" s="29">
        <v>6</v>
      </c>
      <c r="C14" s="30">
        <v>4.3604651162790697E-3</v>
      </c>
      <c r="D14" s="28">
        <v>35307</v>
      </c>
      <c r="E14" s="14">
        <v>-3.2537462889379198E-2</v>
      </c>
      <c r="F14" s="14">
        <v>-3.8369658454698974E-2</v>
      </c>
      <c r="G14" s="14">
        <v>-1.9943928252952769E-2</v>
      </c>
      <c r="H14" s="14">
        <v>-2.7479039140248608E-2</v>
      </c>
      <c r="J14" s="84"/>
      <c r="K14" s="32" t="s">
        <v>24</v>
      </c>
      <c r="L14" s="33">
        <f>L13*Ejercicio1!I10*Ejercicio1!I7</f>
        <v>803793.65392376808</v>
      </c>
      <c r="N14" s="23">
        <v>3</v>
      </c>
      <c r="O14" s="68"/>
    </row>
    <row r="15" spans="1:21" x14ac:dyDescent="0.25">
      <c r="A15" s="24"/>
      <c r="B15" s="29">
        <v>7</v>
      </c>
      <c r="C15" s="30">
        <v>5.0872093023255818E-3</v>
      </c>
      <c r="D15" s="28">
        <v>35310</v>
      </c>
      <c r="E15" s="14">
        <v>-3.1779581603253337E-2</v>
      </c>
      <c r="F15" s="14">
        <v>-3.8344717637195713E-2</v>
      </c>
      <c r="G15" s="14">
        <v>-1.981132075471681E-2</v>
      </c>
      <c r="H15" s="14">
        <v>-2.6007242907270103E-2</v>
      </c>
      <c r="N15" s="23">
        <v>4</v>
      </c>
      <c r="O15" s="68"/>
      <c r="S15" s="1" t="s">
        <v>105</v>
      </c>
      <c r="T15" s="1" t="s">
        <v>106</v>
      </c>
      <c r="U15" s="1" t="s">
        <v>107</v>
      </c>
    </row>
    <row r="16" spans="1:21" x14ac:dyDescent="0.25">
      <c r="A16" s="24"/>
      <c r="B16" s="29">
        <v>8</v>
      </c>
      <c r="C16" s="30">
        <v>5.8139534883720929E-3</v>
      </c>
      <c r="D16" s="28">
        <v>35311</v>
      </c>
      <c r="E16" s="14">
        <v>-2.871725731895225E-2</v>
      </c>
      <c r="F16" s="14">
        <v>-3.624465139692945E-2</v>
      </c>
      <c r="G16" s="14">
        <v>-1.8676273697812995E-2</v>
      </c>
      <c r="H16" s="14">
        <v>-2.556683386220664E-2</v>
      </c>
      <c r="J16" s="84" t="s">
        <v>6</v>
      </c>
      <c r="K16" s="32" t="s">
        <v>23</v>
      </c>
      <c r="L16" s="14">
        <f>-PERCENTILE(G9:G1384,K7)</f>
        <v>1.6717930507018169E-2</v>
      </c>
      <c r="N16" s="23">
        <v>5</v>
      </c>
      <c r="O16" s="68"/>
      <c r="P16" s="23" t="s">
        <v>112</v>
      </c>
    </row>
    <row r="17" spans="1:19" x14ac:dyDescent="0.25">
      <c r="A17" s="24"/>
      <c r="B17" s="29">
        <v>9</v>
      </c>
      <c r="C17" s="30">
        <v>6.540697674418605E-3</v>
      </c>
      <c r="D17" s="28">
        <v>35312</v>
      </c>
      <c r="E17" s="14">
        <v>-2.8201916179864783E-2</v>
      </c>
      <c r="F17" s="14">
        <v>-3.4393081239582068E-2</v>
      </c>
      <c r="G17" s="14">
        <v>-1.8440434024849406E-2</v>
      </c>
      <c r="H17" s="14">
        <v>-2.4003050793325695E-2</v>
      </c>
      <c r="J17" s="84"/>
      <c r="K17" s="32" t="s">
        <v>24</v>
      </c>
      <c r="L17" s="33">
        <f>L16*Ejercicio1!I11*Ejercicio1!I7</f>
        <v>1220478.9866486825</v>
      </c>
      <c r="N17" s="23">
        <v>6</v>
      </c>
      <c r="O17" s="68"/>
    </row>
    <row r="18" spans="1:19" ht="26.25" x14ac:dyDescent="0.4">
      <c r="A18" s="24"/>
      <c r="B18" s="29">
        <v>10</v>
      </c>
      <c r="C18" s="30">
        <v>7.2674418604651162E-3</v>
      </c>
      <c r="D18" s="28">
        <v>35313</v>
      </c>
      <c r="E18" s="14">
        <v>-2.7409618410538239E-2</v>
      </c>
      <c r="F18" s="14">
        <v>-3.1295955882352899E-2</v>
      </c>
      <c r="G18" s="14">
        <v>-1.8223747117385725E-2</v>
      </c>
      <c r="H18" s="14">
        <v>-2.375214766520466E-2</v>
      </c>
      <c r="N18" s="23">
        <v>7</v>
      </c>
      <c r="O18" s="68"/>
      <c r="S18" s="72" t="s">
        <v>118</v>
      </c>
    </row>
    <row r="19" spans="1:19" x14ac:dyDescent="0.25">
      <c r="A19" s="24"/>
      <c r="B19" s="29">
        <v>11</v>
      </c>
      <c r="C19" s="30">
        <v>7.9941860465116282E-3</v>
      </c>
      <c r="D19" s="28">
        <v>35314</v>
      </c>
      <c r="E19" s="14">
        <v>-2.6976181340602978E-2</v>
      </c>
      <c r="F19" s="14">
        <v>-3.1082877825380439E-2</v>
      </c>
      <c r="G19" s="14">
        <v>-1.7833407177669569E-2</v>
      </c>
      <c r="H19" s="14">
        <v>-2.155526131431118E-2</v>
      </c>
      <c r="J19" s="84" t="s">
        <v>7</v>
      </c>
      <c r="K19" s="34" t="s">
        <v>23</v>
      </c>
      <c r="L19" s="14">
        <f>-PERCENTILE(H9:H1384,K7)</f>
        <v>1.9283922272380793E-2</v>
      </c>
      <c r="N19" s="23">
        <v>8</v>
      </c>
      <c r="O19" s="68"/>
    </row>
    <row r="20" spans="1:19" x14ac:dyDescent="0.25">
      <c r="A20" s="24"/>
      <c r="B20" s="29">
        <v>12</v>
      </c>
      <c r="C20" s="30">
        <v>8.7209302325581394E-3</v>
      </c>
      <c r="D20" s="28">
        <v>35317</v>
      </c>
      <c r="E20" s="14">
        <v>-2.6695889040769472E-2</v>
      </c>
      <c r="F20" s="14">
        <v>-3.0514194200301215E-2</v>
      </c>
      <c r="G20" s="14">
        <v>-1.7828657220606225E-2</v>
      </c>
      <c r="H20" s="14">
        <v>-2.1037044257724347E-2</v>
      </c>
      <c r="J20" s="84"/>
      <c r="K20" s="34" t="s">
        <v>25</v>
      </c>
      <c r="L20" s="33">
        <f>L19*Ejercicio1!$I$7</f>
        <v>1928392.2272380793</v>
      </c>
      <c r="N20" s="23">
        <v>9</v>
      </c>
      <c r="O20" s="68"/>
    </row>
    <row r="21" spans="1:19" x14ac:dyDescent="0.25">
      <c r="A21" s="24"/>
      <c r="B21" s="29">
        <v>13</v>
      </c>
      <c r="C21" s="30">
        <v>9.4476744186046506E-3</v>
      </c>
      <c r="D21" s="28">
        <v>35318</v>
      </c>
      <c r="E21" s="14">
        <v>-2.5566501630645999E-2</v>
      </c>
      <c r="F21" s="14">
        <v>-3.0376154322677373E-2</v>
      </c>
      <c r="G21" s="14">
        <v>-1.7368769298632736E-2</v>
      </c>
      <c r="H21" s="14">
        <v>-2.0105237927511198E-2</v>
      </c>
      <c r="J21" s="84"/>
      <c r="K21" s="34" t="s">
        <v>26</v>
      </c>
      <c r="L21" s="35">
        <f>L11+L14+L17</f>
        <v>2024272.6405724506</v>
      </c>
      <c r="N21" s="62">
        <v>10</v>
      </c>
      <c r="O21" s="69">
        <v>18.5</v>
      </c>
      <c r="P21" s="62" t="s">
        <v>110</v>
      </c>
    </row>
    <row r="22" spans="1:19" x14ac:dyDescent="0.25">
      <c r="A22" s="24"/>
      <c r="B22" s="29">
        <v>14</v>
      </c>
      <c r="C22" s="30">
        <v>1.0174418604651164E-2</v>
      </c>
      <c r="D22" s="28">
        <v>35319</v>
      </c>
      <c r="E22" s="14">
        <v>-2.5547426200817624E-2</v>
      </c>
      <c r="F22" s="14">
        <v>-3.0107865212731455E-2</v>
      </c>
      <c r="G22" s="14">
        <v>-1.7259599441531548E-2</v>
      </c>
      <c r="H22" s="14">
        <v>-1.9339279225726869E-2</v>
      </c>
      <c r="J22" s="84"/>
      <c r="K22" s="34" t="s">
        <v>27</v>
      </c>
      <c r="L22" s="35">
        <f>+L21-L20</f>
        <v>95880.413334371289</v>
      </c>
    </row>
    <row r="23" spans="1:19" x14ac:dyDescent="0.25">
      <c r="A23" s="24"/>
      <c r="B23" s="29">
        <v>15</v>
      </c>
      <c r="C23" s="30">
        <v>1.0901162790697675E-2</v>
      </c>
      <c r="D23" s="28">
        <v>35320</v>
      </c>
      <c r="E23" s="14">
        <v>-2.4709976798143796E-2</v>
      </c>
      <c r="F23" s="14">
        <v>-2.9663720516709291E-2</v>
      </c>
      <c r="G23" s="14">
        <v>-1.653737419551371E-2</v>
      </c>
      <c r="H23" s="14">
        <v>-1.9265469954598768E-2</v>
      </c>
      <c r="N23" s="5" t="s">
        <v>108</v>
      </c>
    </row>
    <row r="24" spans="1:19" x14ac:dyDescent="0.25">
      <c r="A24" s="24"/>
      <c r="B24" s="29">
        <v>16</v>
      </c>
      <c r="C24" s="30">
        <v>1.1627906976744186E-2</v>
      </c>
      <c r="D24" s="28">
        <v>35321</v>
      </c>
      <c r="E24" s="14">
        <v>-2.4656112120425511E-2</v>
      </c>
      <c r="F24" s="14">
        <v>-2.8057845444203755E-2</v>
      </c>
      <c r="G24" s="14">
        <v>-1.6316601400261144E-2</v>
      </c>
      <c r="H24" s="14">
        <v>-1.871367779849473E-2</v>
      </c>
      <c r="N24" s="5" t="s">
        <v>108</v>
      </c>
    </row>
    <row r="25" spans="1:19" x14ac:dyDescent="0.25">
      <c r="A25" s="24"/>
      <c r="B25" s="29">
        <v>17</v>
      </c>
      <c r="C25" s="30">
        <v>1.2354651162790697E-2</v>
      </c>
      <c r="D25" s="28">
        <v>35324</v>
      </c>
      <c r="E25" s="14">
        <v>-2.454311328730796E-2</v>
      </c>
      <c r="F25" s="14">
        <v>-2.8031932620353306E-2</v>
      </c>
      <c r="G25" s="14">
        <v>-1.552894239632252E-2</v>
      </c>
      <c r="H25" s="14">
        <v>-1.7733104250274453E-2</v>
      </c>
      <c r="N25" s="5" t="s">
        <v>108</v>
      </c>
    </row>
    <row r="26" spans="1:19" x14ac:dyDescent="0.25">
      <c r="A26" s="24"/>
      <c r="B26" s="29">
        <v>18</v>
      </c>
      <c r="C26" s="30">
        <v>1.308139534883721E-2</v>
      </c>
      <c r="D26" s="28">
        <v>35325</v>
      </c>
      <c r="E26" s="14">
        <v>-2.3793497820659759E-2</v>
      </c>
      <c r="F26" s="14">
        <v>-2.7633623799744655E-2</v>
      </c>
      <c r="G26" s="14">
        <v>-1.5189430744336541E-2</v>
      </c>
      <c r="H26" s="14">
        <v>-1.7624067366221043E-2</v>
      </c>
      <c r="J26" s="23" t="s">
        <v>105</v>
      </c>
      <c r="K26" s="23" t="s">
        <v>115</v>
      </c>
      <c r="N26" s="5" t="s">
        <v>108</v>
      </c>
    </row>
    <row r="27" spans="1:19" x14ac:dyDescent="0.25">
      <c r="A27" s="24"/>
      <c r="B27" s="29">
        <v>19</v>
      </c>
      <c r="C27" s="30">
        <v>1.3808139534883721E-2</v>
      </c>
      <c r="D27" s="28">
        <v>35326</v>
      </c>
      <c r="E27" s="14">
        <v>-2.3354592910868388E-2</v>
      </c>
      <c r="F27" s="14">
        <v>-2.7456812721656454E-2</v>
      </c>
      <c r="G27" s="14">
        <v>-1.5079946497645769E-2</v>
      </c>
      <c r="H27" s="14">
        <v>-1.7161827687755048E-2</v>
      </c>
      <c r="J27" s="23" t="s">
        <v>117</v>
      </c>
      <c r="K27" s="23" t="s">
        <v>116</v>
      </c>
    </row>
    <row r="28" spans="1:19" x14ac:dyDescent="0.25">
      <c r="A28" s="24"/>
      <c r="B28" s="29">
        <v>20</v>
      </c>
      <c r="C28" s="30">
        <v>1.4534883720930232E-2</v>
      </c>
      <c r="D28" s="28">
        <v>35327</v>
      </c>
      <c r="E28" s="14">
        <v>-2.3122376285326984E-2</v>
      </c>
      <c r="F28" s="14">
        <v>-2.7283276630535203E-2</v>
      </c>
      <c r="G28" s="14">
        <v>-1.505917127711609E-2</v>
      </c>
      <c r="H28" s="14">
        <v>-1.7004772852653251E-2</v>
      </c>
      <c r="N28" s="62">
        <v>91</v>
      </c>
      <c r="O28" s="71">
        <v>3.5</v>
      </c>
      <c r="P28" s="62" t="s">
        <v>111</v>
      </c>
      <c r="S28" s="70" t="s">
        <v>109</v>
      </c>
    </row>
    <row r="29" spans="1:19" x14ac:dyDescent="0.25">
      <c r="B29" s="29">
        <v>21</v>
      </c>
      <c r="C29" s="30">
        <v>1.5261627906976744E-2</v>
      </c>
      <c r="D29" s="28">
        <v>35328</v>
      </c>
      <c r="E29" s="14">
        <v>-2.2930775100925338E-2</v>
      </c>
      <c r="F29" s="14">
        <v>-2.6884912221185608E-2</v>
      </c>
      <c r="G29" s="14">
        <v>-1.5036768741082285E-2</v>
      </c>
      <c r="H29" s="14">
        <v>-1.6791214475007421E-2</v>
      </c>
      <c r="N29" s="23">
        <v>92</v>
      </c>
      <c r="O29" s="68"/>
    </row>
    <row r="30" spans="1:19" x14ac:dyDescent="0.25">
      <c r="B30" s="29">
        <v>22</v>
      </c>
      <c r="C30" s="30">
        <v>1.5988372093023256E-2</v>
      </c>
      <c r="D30" s="28">
        <v>35331</v>
      </c>
      <c r="E30" s="14">
        <v>-2.2910099719923527E-2</v>
      </c>
      <c r="F30" s="14">
        <v>-2.6242368788156112E-2</v>
      </c>
      <c r="G30" s="14">
        <v>-1.501720721660238E-2</v>
      </c>
      <c r="H30" s="14">
        <v>-1.6723955067473772E-2</v>
      </c>
      <c r="N30" s="23">
        <v>93</v>
      </c>
      <c r="O30" s="68"/>
    </row>
    <row r="31" spans="1:19" x14ac:dyDescent="0.25">
      <c r="B31" s="29">
        <v>23</v>
      </c>
      <c r="C31" s="30">
        <v>1.6715116279069766E-2</v>
      </c>
      <c r="D31" s="28">
        <v>35332</v>
      </c>
      <c r="E31" s="14">
        <v>-2.2862534475250218E-2</v>
      </c>
      <c r="F31" s="14">
        <v>-2.5958953292253395E-2</v>
      </c>
      <c r="G31" s="14">
        <v>-1.4928533615669481E-2</v>
      </c>
      <c r="H31" s="14">
        <v>-1.6662861114053486E-2</v>
      </c>
      <c r="N31" s="23">
        <v>94</v>
      </c>
      <c r="O31" s="68"/>
      <c r="Q31" s="23" t="s">
        <v>114</v>
      </c>
    </row>
    <row r="32" spans="1:19" x14ac:dyDescent="0.25">
      <c r="B32" s="29">
        <v>24</v>
      </c>
      <c r="C32" s="30">
        <v>1.7441860465116279E-2</v>
      </c>
      <c r="D32" s="28">
        <v>35333</v>
      </c>
      <c r="E32" s="14">
        <v>-2.2673829506567045E-2</v>
      </c>
      <c r="F32" s="14">
        <v>-2.5909144976588805E-2</v>
      </c>
      <c r="G32" s="14">
        <v>-1.4511745292176248E-2</v>
      </c>
      <c r="H32" s="14">
        <v>-1.6466651722866921E-2</v>
      </c>
      <c r="N32" s="23">
        <v>95</v>
      </c>
      <c r="O32" s="68"/>
    </row>
    <row r="33" spans="2:16" x14ac:dyDescent="0.25">
      <c r="B33" s="29">
        <v>25</v>
      </c>
      <c r="C33" s="30">
        <v>1.8168604651162792E-2</v>
      </c>
      <c r="D33" s="28">
        <v>35334</v>
      </c>
      <c r="E33" s="14">
        <v>-2.2646148964860724E-2</v>
      </c>
      <c r="F33" s="14">
        <v>-2.5849731663685094E-2</v>
      </c>
      <c r="G33" s="14">
        <v>-1.424291537743716E-2</v>
      </c>
      <c r="H33" s="14">
        <v>-1.6142681618765975E-2</v>
      </c>
      <c r="N33" s="23">
        <v>96</v>
      </c>
      <c r="O33" s="68"/>
      <c r="P33" s="23" t="s">
        <v>113</v>
      </c>
    </row>
    <row r="34" spans="2:16" x14ac:dyDescent="0.25">
      <c r="B34" s="29">
        <v>26</v>
      </c>
      <c r="C34" s="30">
        <v>1.8895348837209301E-2</v>
      </c>
      <c r="D34" s="28">
        <v>35335</v>
      </c>
      <c r="E34" s="14">
        <v>-2.2248357612654868E-2</v>
      </c>
      <c r="F34" s="14">
        <v>-2.5631073543787131E-2</v>
      </c>
      <c r="G34" s="14">
        <v>-1.4006497310539379E-2</v>
      </c>
      <c r="H34" s="14">
        <v>-1.6118575952264447E-2</v>
      </c>
      <c r="N34" s="23">
        <v>97</v>
      </c>
      <c r="O34" s="68"/>
    </row>
    <row r="35" spans="2:16" x14ac:dyDescent="0.25">
      <c r="B35" s="29">
        <v>27</v>
      </c>
      <c r="C35" s="30">
        <v>1.9622093023255814E-2</v>
      </c>
      <c r="D35" s="28">
        <v>35338</v>
      </c>
      <c r="E35" s="14">
        <v>-2.1873043444646689E-2</v>
      </c>
      <c r="F35" s="14">
        <v>-2.5509493694076624E-2</v>
      </c>
      <c r="G35" s="14">
        <v>-1.3896703049398051E-2</v>
      </c>
      <c r="H35" s="14">
        <v>-1.6007599561470645E-2</v>
      </c>
      <c r="N35" s="23">
        <v>98</v>
      </c>
      <c r="O35" s="68"/>
    </row>
    <row r="36" spans="2:16" x14ac:dyDescent="0.25">
      <c r="B36" s="29">
        <v>28</v>
      </c>
      <c r="C36" s="30">
        <v>2.0348837209302327E-2</v>
      </c>
      <c r="D36" s="28">
        <v>35339</v>
      </c>
      <c r="E36" s="14">
        <v>-2.1788374414497325E-2</v>
      </c>
      <c r="F36" s="14">
        <v>-2.5452423767073462E-2</v>
      </c>
      <c r="G36" s="14">
        <v>-1.3874913943758949E-2</v>
      </c>
      <c r="H36" s="14">
        <v>-1.5963339695838675E-2</v>
      </c>
      <c r="N36" s="23">
        <v>99</v>
      </c>
      <c r="O36" s="68">
        <v>1</v>
      </c>
    </row>
    <row r="37" spans="2:16" x14ac:dyDescent="0.25">
      <c r="B37" s="29">
        <v>29</v>
      </c>
      <c r="C37" s="30">
        <v>2.1075581395348836E-2</v>
      </c>
      <c r="D37" s="28">
        <v>35340</v>
      </c>
      <c r="E37" s="14">
        <v>-2.1591295477728645E-2</v>
      </c>
      <c r="F37" s="14">
        <v>-2.4766724656017702E-2</v>
      </c>
      <c r="G37" s="14">
        <v>-1.367057781713521E-2</v>
      </c>
      <c r="H37" s="14">
        <v>-1.5728502973472034E-2</v>
      </c>
      <c r="N37" s="23">
        <v>100</v>
      </c>
      <c r="O37" s="68">
        <v>0</v>
      </c>
    </row>
    <row r="38" spans="2:16" x14ac:dyDescent="0.25">
      <c r="B38" s="29">
        <v>30</v>
      </c>
      <c r="C38" s="30">
        <v>2.1802325581395349E-2</v>
      </c>
      <c r="D38" s="28">
        <v>35341</v>
      </c>
      <c r="E38" s="14">
        <v>-2.1556491200838246E-2</v>
      </c>
      <c r="F38" s="14">
        <v>-2.4437902857432969E-2</v>
      </c>
      <c r="G38" s="14">
        <v>-1.3571099836935829E-2</v>
      </c>
      <c r="H38" s="14">
        <v>-1.5478114118759214E-2</v>
      </c>
    </row>
    <row r="39" spans="2:16" x14ac:dyDescent="0.25">
      <c r="B39" s="29">
        <v>31</v>
      </c>
      <c r="C39" s="30">
        <v>2.2529069767441859E-2</v>
      </c>
      <c r="D39" s="28">
        <v>35342</v>
      </c>
      <c r="E39" s="14">
        <v>-2.1516153738043831E-2</v>
      </c>
      <c r="F39" s="14">
        <v>-2.4390592302143466E-2</v>
      </c>
      <c r="G39" s="14">
        <v>-1.3538256672030013E-2</v>
      </c>
      <c r="H39" s="14">
        <v>-1.5465725221511951E-2</v>
      </c>
    </row>
    <row r="40" spans="2:16" x14ac:dyDescent="0.25">
      <c r="B40" s="29">
        <v>32</v>
      </c>
      <c r="C40" s="30">
        <v>2.3255813953488372E-2</v>
      </c>
      <c r="D40" s="28">
        <v>35345</v>
      </c>
      <c r="E40" s="14">
        <v>-2.1443945600490677E-2</v>
      </c>
      <c r="F40" s="14">
        <v>-2.4077348160675083E-2</v>
      </c>
      <c r="G40" s="14">
        <v>-1.3409896957855771E-2</v>
      </c>
      <c r="H40" s="14">
        <v>-1.5366123033740632E-2</v>
      </c>
    </row>
    <row r="41" spans="2:16" x14ac:dyDescent="0.25">
      <c r="B41" s="29">
        <v>33</v>
      </c>
      <c r="C41" s="30">
        <v>2.3982558139534885E-2</v>
      </c>
      <c r="D41" s="28">
        <v>35346</v>
      </c>
      <c r="E41" s="14">
        <v>-2.1417571729615781E-2</v>
      </c>
      <c r="F41" s="14">
        <v>-2.4070517390319623E-2</v>
      </c>
      <c r="G41" s="14">
        <v>-1.3360851618509639E-2</v>
      </c>
      <c r="H41" s="14">
        <v>-1.5332759549220309E-2</v>
      </c>
    </row>
    <row r="42" spans="2:16" x14ac:dyDescent="0.25">
      <c r="B42" s="29">
        <v>34</v>
      </c>
      <c r="C42" s="30">
        <v>2.4709302325581394E-2</v>
      </c>
      <c r="D42" s="28">
        <v>35347</v>
      </c>
      <c r="E42" s="14">
        <v>-2.0997886361970752E-2</v>
      </c>
      <c r="F42" s="14">
        <v>-2.3836055771478182E-2</v>
      </c>
      <c r="G42" s="14">
        <v>-1.3353617308992538E-2</v>
      </c>
      <c r="H42" s="14">
        <v>-1.5304906036464038E-2</v>
      </c>
    </row>
    <row r="43" spans="2:16" x14ac:dyDescent="0.25">
      <c r="B43" s="29">
        <v>35</v>
      </c>
      <c r="C43" s="30">
        <v>2.5436046511627907E-2</v>
      </c>
      <c r="D43" s="28">
        <v>35348</v>
      </c>
      <c r="E43" s="14">
        <v>-2.0957705834610985E-2</v>
      </c>
      <c r="F43" s="14">
        <v>-2.3767630818527619E-2</v>
      </c>
      <c r="G43" s="14">
        <v>-1.3325223930111707E-2</v>
      </c>
      <c r="H43" s="14">
        <v>-1.50778588065003E-2</v>
      </c>
    </row>
    <row r="44" spans="2:16" x14ac:dyDescent="0.25">
      <c r="B44" s="29">
        <v>36</v>
      </c>
      <c r="C44" s="30">
        <v>2.616279069767442E-2</v>
      </c>
      <c r="D44" s="28">
        <v>35349</v>
      </c>
      <c r="E44" s="14">
        <v>-2.0306258322236981E-2</v>
      </c>
      <c r="F44" s="14">
        <v>-2.3498244808241253E-2</v>
      </c>
      <c r="G44" s="14">
        <v>-1.3290629134498078E-2</v>
      </c>
      <c r="H44" s="14">
        <v>-1.5028123481540367E-2</v>
      </c>
    </row>
    <row r="45" spans="2:16" x14ac:dyDescent="0.25">
      <c r="B45" s="29">
        <v>37</v>
      </c>
      <c r="C45" s="30">
        <v>2.6889534883720929E-2</v>
      </c>
      <c r="D45" s="28">
        <v>35352</v>
      </c>
      <c r="E45" s="14">
        <v>-2.0024099737026679E-2</v>
      </c>
      <c r="F45" s="14">
        <v>-2.2968157434891667E-2</v>
      </c>
      <c r="G45" s="14">
        <v>-1.3267813267813233E-2</v>
      </c>
      <c r="H45" s="14">
        <v>-1.4934386026672099E-2</v>
      </c>
    </row>
    <row r="46" spans="2:16" x14ac:dyDescent="0.25">
      <c r="B46" s="29">
        <v>38</v>
      </c>
      <c r="C46" s="30">
        <v>2.7616279069767442E-2</v>
      </c>
      <c r="D46" s="28">
        <v>35353</v>
      </c>
      <c r="E46" s="14">
        <v>-1.997860532942819E-2</v>
      </c>
      <c r="F46" s="14">
        <v>-2.2390301659391709E-2</v>
      </c>
      <c r="G46" s="14">
        <v>-1.3200848958400457E-2</v>
      </c>
      <c r="H46" s="14">
        <v>-1.4922793378550247E-2</v>
      </c>
    </row>
    <row r="47" spans="2:16" x14ac:dyDescent="0.25">
      <c r="B47" s="29">
        <v>39</v>
      </c>
      <c r="C47" s="30">
        <v>2.8343023255813952E-2</v>
      </c>
      <c r="D47" s="28">
        <v>35354</v>
      </c>
      <c r="E47" s="14">
        <v>-1.9923708623365899E-2</v>
      </c>
      <c r="F47" s="14">
        <v>-2.2380591357088697E-2</v>
      </c>
      <c r="G47" s="14">
        <v>-1.2706229992612617E-2</v>
      </c>
      <c r="H47" s="14">
        <v>-1.4829932675245528E-2</v>
      </c>
    </row>
    <row r="48" spans="2:16" x14ac:dyDescent="0.25">
      <c r="B48" s="29">
        <v>40</v>
      </c>
      <c r="C48" s="30">
        <v>2.9069767441860465E-2</v>
      </c>
      <c r="D48" s="28">
        <v>35355</v>
      </c>
      <c r="E48" s="14">
        <v>-1.978021978021971E-2</v>
      </c>
      <c r="F48" s="14">
        <v>-2.2343384889284557E-2</v>
      </c>
      <c r="G48" s="14">
        <v>-1.268345769870971E-2</v>
      </c>
      <c r="H48" s="14">
        <v>-1.4448254057059896E-2</v>
      </c>
    </row>
    <row r="49" spans="2:8" x14ac:dyDescent="0.25">
      <c r="B49" s="29">
        <v>41</v>
      </c>
      <c r="C49" s="30">
        <v>2.9796511627906978E-2</v>
      </c>
      <c r="D49" s="28">
        <v>35356</v>
      </c>
      <c r="E49" s="14">
        <v>-1.9315589353612106E-2</v>
      </c>
      <c r="F49" s="14">
        <v>-2.2271239978941537E-2</v>
      </c>
      <c r="G49" s="14">
        <v>-1.262403165949566E-2</v>
      </c>
      <c r="H49" s="14">
        <v>-1.4286067638099366E-2</v>
      </c>
    </row>
    <row r="50" spans="2:8" x14ac:dyDescent="0.25">
      <c r="B50" s="29">
        <v>42</v>
      </c>
      <c r="C50" s="30">
        <v>3.0523255813953487E-2</v>
      </c>
      <c r="D50" s="28">
        <v>35359</v>
      </c>
      <c r="E50" s="14">
        <v>-1.9306228469318065E-2</v>
      </c>
      <c r="F50" s="14">
        <v>-2.2214718155285862E-2</v>
      </c>
      <c r="G50" s="14">
        <v>-1.2420221353047767E-2</v>
      </c>
      <c r="H50" s="14">
        <v>-1.4207154052604466E-2</v>
      </c>
    </row>
    <row r="51" spans="2:8" x14ac:dyDescent="0.25">
      <c r="B51" s="29">
        <v>43</v>
      </c>
      <c r="C51" s="30">
        <v>3.125E-2</v>
      </c>
      <c r="D51" s="28">
        <v>35360</v>
      </c>
      <c r="E51" s="14">
        <v>-1.9175244727694496E-2</v>
      </c>
      <c r="F51" s="14">
        <v>-2.192122616289427E-2</v>
      </c>
      <c r="G51" s="14">
        <v>-1.2390065822224683E-2</v>
      </c>
      <c r="H51" s="14">
        <v>-1.4169707184837697E-2</v>
      </c>
    </row>
    <row r="52" spans="2:8" x14ac:dyDescent="0.25">
      <c r="B52" s="29">
        <v>44</v>
      </c>
      <c r="C52" s="30">
        <v>3.1976744186046513E-2</v>
      </c>
      <c r="D52" s="28">
        <v>35361</v>
      </c>
      <c r="E52" s="14">
        <v>-1.9126820934314837E-2</v>
      </c>
      <c r="F52" s="14">
        <v>-2.1761385240866904E-2</v>
      </c>
      <c r="G52" s="14">
        <v>-1.2323265665401317E-2</v>
      </c>
      <c r="H52" s="14">
        <v>-1.4127046209548612E-2</v>
      </c>
    </row>
    <row r="53" spans="2:8" x14ac:dyDescent="0.25">
      <c r="B53" s="29">
        <v>45</v>
      </c>
      <c r="C53" s="30">
        <v>3.2703488372093026E-2</v>
      </c>
      <c r="D53" s="28">
        <v>35362</v>
      </c>
      <c r="E53" s="14">
        <v>-1.8985932597915256E-2</v>
      </c>
      <c r="F53" s="14">
        <v>-2.17028380634392E-2</v>
      </c>
      <c r="G53" s="14">
        <v>-1.2229102167182759E-2</v>
      </c>
      <c r="H53" s="14">
        <v>-1.4070864102485703E-2</v>
      </c>
    </row>
    <row r="54" spans="2:8" x14ac:dyDescent="0.25">
      <c r="B54" s="29">
        <v>46</v>
      </c>
      <c r="C54" s="30">
        <v>3.3430232558139532E-2</v>
      </c>
      <c r="D54" s="28">
        <v>35363</v>
      </c>
      <c r="E54" s="14">
        <v>-1.8967966024064586E-2</v>
      </c>
      <c r="F54" s="14">
        <v>-2.1657104460639842E-2</v>
      </c>
      <c r="G54" s="14">
        <v>-1.2205370672259019E-2</v>
      </c>
      <c r="H54" s="14">
        <v>-1.4012533776008019E-2</v>
      </c>
    </row>
    <row r="55" spans="2:8" x14ac:dyDescent="0.25">
      <c r="B55" s="29">
        <v>47</v>
      </c>
      <c r="C55" s="30">
        <v>3.4156976744186045E-2</v>
      </c>
      <c r="D55" s="28">
        <v>35366</v>
      </c>
      <c r="E55" s="14">
        <v>-1.8509949097639922E-2</v>
      </c>
      <c r="F55" s="14">
        <v>-2.1655264646880279E-2</v>
      </c>
      <c r="G55" s="14">
        <v>-1.2193263222069817E-2</v>
      </c>
      <c r="H55" s="14">
        <v>-1.400847328662538E-2</v>
      </c>
    </row>
    <row r="56" spans="2:8" x14ac:dyDescent="0.25">
      <c r="B56" s="29">
        <v>48</v>
      </c>
      <c r="C56" s="30">
        <v>3.4883720930232558E-2</v>
      </c>
      <c r="D56" s="28">
        <v>35367</v>
      </c>
      <c r="E56" s="14">
        <v>-1.8409588369126428E-2</v>
      </c>
      <c r="F56" s="14">
        <v>-2.1565522820457872E-2</v>
      </c>
      <c r="G56" s="14">
        <v>-1.2111783987999392E-2</v>
      </c>
      <c r="H56" s="14">
        <v>-1.398256968091607E-2</v>
      </c>
    </row>
    <row r="57" spans="2:8" x14ac:dyDescent="0.25">
      <c r="B57" s="29">
        <v>49</v>
      </c>
      <c r="C57" s="30">
        <v>3.5610465116279071E-2</v>
      </c>
      <c r="D57" s="28">
        <v>35368</v>
      </c>
      <c r="E57" s="14">
        <v>-1.8384879725085956E-2</v>
      </c>
      <c r="F57" s="14">
        <v>-2.1462716174595275E-2</v>
      </c>
      <c r="G57" s="14">
        <v>-1.2058257827808783E-2</v>
      </c>
      <c r="H57" s="14">
        <v>-1.3921154919278478E-2</v>
      </c>
    </row>
    <row r="58" spans="2:8" x14ac:dyDescent="0.25">
      <c r="B58" s="29">
        <v>50</v>
      </c>
      <c r="C58" s="30">
        <v>3.6337209302325583E-2</v>
      </c>
      <c r="D58" s="28">
        <v>35369</v>
      </c>
      <c r="E58" s="14">
        <v>-1.8269048603352211E-2</v>
      </c>
      <c r="F58" s="14">
        <v>-2.1054682335914676E-2</v>
      </c>
      <c r="G58" s="14">
        <v>-1.2004595060310153E-2</v>
      </c>
      <c r="H58" s="14">
        <v>-1.3825691290020004E-2</v>
      </c>
    </row>
    <row r="59" spans="2:8" x14ac:dyDescent="0.25">
      <c r="B59" s="29">
        <v>51</v>
      </c>
      <c r="C59" s="30">
        <v>3.7063953488372096E-2</v>
      </c>
      <c r="D59" s="28">
        <v>35370</v>
      </c>
      <c r="E59" s="14">
        <v>-1.8087855297157729E-2</v>
      </c>
      <c r="F59" s="14">
        <v>-2.1024667931688779E-2</v>
      </c>
      <c r="G59" s="14">
        <v>-1.1960505659998288E-2</v>
      </c>
      <c r="H59" s="14">
        <v>-1.3759246620353105E-2</v>
      </c>
    </row>
    <row r="60" spans="2:8" x14ac:dyDescent="0.25">
      <c r="B60" s="29">
        <v>52</v>
      </c>
      <c r="C60" s="30">
        <v>3.7790697674418602E-2</v>
      </c>
      <c r="D60" s="28">
        <v>35373</v>
      </c>
      <c r="E60" s="14">
        <v>-1.8022687852628505E-2</v>
      </c>
      <c r="F60" s="14">
        <v>-2.0969347063515054E-2</v>
      </c>
      <c r="G60" s="14">
        <v>-1.1800745838165705E-2</v>
      </c>
      <c r="H60" s="14">
        <v>-1.3638751145628181E-2</v>
      </c>
    </row>
    <row r="61" spans="2:8" x14ac:dyDescent="0.25">
      <c r="B61" s="29">
        <v>53</v>
      </c>
      <c r="C61" s="30">
        <v>3.8517441860465115E-2</v>
      </c>
      <c r="D61" s="28">
        <v>35374</v>
      </c>
      <c r="E61" s="14">
        <v>-1.7852534778426743E-2</v>
      </c>
      <c r="F61" s="14">
        <v>-2.0936148175226932E-2</v>
      </c>
      <c r="G61" s="14">
        <v>-1.1660447761193904E-2</v>
      </c>
      <c r="H61" s="14">
        <v>-1.3267542722285719E-2</v>
      </c>
    </row>
    <row r="62" spans="2:8" x14ac:dyDescent="0.25">
      <c r="B62" s="29">
        <v>54</v>
      </c>
      <c r="C62" s="30">
        <v>3.9244186046511628E-2</v>
      </c>
      <c r="D62" s="28">
        <v>35375</v>
      </c>
      <c r="E62" s="14">
        <v>-1.7839830607713658E-2</v>
      </c>
      <c r="F62" s="14">
        <v>-2.0928021085262039E-2</v>
      </c>
      <c r="G62" s="14">
        <v>-1.1465664896959216E-2</v>
      </c>
      <c r="H62" s="14">
        <v>-1.3110593554770976E-2</v>
      </c>
    </row>
    <row r="63" spans="2:8" x14ac:dyDescent="0.25">
      <c r="B63" s="29">
        <v>55</v>
      </c>
      <c r="C63" s="30">
        <v>3.9970930232558141E-2</v>
      </c>
      <c r="D63" s="28">
        <v>35376</v>
      </c>
      <c r="E63" s="14">
        <v>-1.7821436644057775E-2</v>
      </c>
      <c r="F63" s="14">
        <v>-2.0900625386571337E-2</v>
      </c>
      <c r="G63" s="14">
        <v>-1.1391290840366608E-2</v>
      </c>
      <c r="H63" s="14">
        <v>-1.3063297045097323E-2</v>
      </c>
    </row>
    <row r="64" spans="2:8" x14ac:dyDescent="0.25">
      <c r="B64" s="29">
        <v>56</v>
      </c>
      <c r="C64" s="30">
        <v>4.0697674418604654E-2</v>
      </c>
      <c r="D64" s="28">
        <v>35377</v>
      </c>
      <c r="E64" s="14">
        <v>-1.7489674652000242E-2</v>
      </c>
      <c r="F64" s="14">
        <v>-2.0822351080653667E-2</v>
      </c>
      <c r="G64" s="14">
        <v>-1.1198395453785759E-2</v>
      </c>
      <c r="H64" s="14">
        <v>-1.2876792397340676E-2</v>
      </c>
    </row>
    <row r="65" spans="2:8" x14ac:dyDescent="0.25">
      <c r="B65" s="29">
        <v>57</v>
      </c>
      <c r="C65" s="30">
        <v>4.142441860465116E-2</v>
      </c>
      <c r="D65" s="28">
        <v>35380</v>
      </c>
      <c r="E65" s="14">
        <v>-1.7400389800879879E-2</v>
      </c>
      <c r="F65" s="14">
        <v>-2.0599940515812931E-2</v>
      </c>
      <c r="G65" s="14">
        <v>-1.1191629455144514E-2</v>
      </c>
      <c r="H65" s="14">
        <v>-1.2840248428872237E-2</v>
      </c>
    </row>
    <row r="66" spans="2:8" x14ac:dyDescent="0.25">
      <c r="B66" s="29">
        <v>58</v>
      </c>
      <c r="C66" s="30">
        <v>4.2151162790697673E-2</v>
      </c>
      <c r="D66" s="28">
        <v>35381</v>
      </c>
      <c r="E66" s="14">
        <v>-1.7280904343410453E-2</v>
      </c>
      <c r="F66" s="14">
        <v>-2.0508823001890053E-2</v>
      </c>
      <c r="G66" s="14">
        <v>-1.0954533368784936E-2</v>
      </c>
      <c r="H66" s="14">
        <v>-1.2800069373508284E-2</v>
      </c>
    </row>
    <row r="67" spans="2:8" x14ac:dyDescent="0.25">
      <c r="B67" s="29">
        <v>59</v>
      </c>
      <c r="C67" s="30">
        <v>4.2877906976744186E-2</v>
      </c>
      <c r="D67" s="28">
        <v>35382</v>
      </c>
      <c r="E67" s="14">
        <v>-1.7209484836594124E-2</v>
      </c>
      <c r="F67" s="14">
        <v>-2.0112672697736089E-2</v>
      </c>
      <c r="G67" s="14">
        <v>-1.0887573964496911E-2</v>
      </c>
      <c r="H67" s="14">
        <v>-1.2705427524377533E-2</v>
      </c>
    </row>
    <row r="68" spans="2:8" x14ac:dyDescent="0.25">
      <c r="B68" s="29">
        <v>60</v>
      </c>
      <c r="C68" s="30">
        <v>4.3604651162790699E-2</v>
      </c>
      <c r="D68" s="28">
        <v>35383</v>
      </c>
      <c r="E68" s="14">
        <v>-1.7165377449917085E-2</v>
      </c>
      <c r="F68" s="14">
        <v>-1.9983672618634096E-2</v>
      </c>
      <c r="G68" s="14">
        <v>-1.0863719479402012E-2</v>
      </c>
      <c r="H68" s="14">
        <v>-1.2589483012973624E-2</v>
      </c>
    </row>
    <row r="69" spans="2:8" x14ac:dyDescent="0.25">
      <c r="B69" s="29">
        <v>61</v>
      </c>
      <c r="C69" s="30">
        <v>4.4331395348837212E-2</v>
      </c>
      <c r="D69" s="28">
        <v>35384</v>
      </c>
      <c r="E69" s="14">
        <v>-1.7045108662567698E-2</v>
      </c>
      <c r="F69" s="14">
        <v>-1.9866404572094098E-2</v>
      </c>
      <c r="G69" s="14">
        <v>-1.0822908332590586E-2</v>
      </c>
      <c r="H69" s="14">
        <v>-1.251385439857886E-2</v>
      </c>
    </row>
    <row r="70" spans="2:8" x14ac:dyDescent="0.25">
      <c r="B70" s="29">
        <v>62</v>
      </c>
      <c r="C70" s="30">
        <v>4.5058139534883718E-2</v>
      </c>
      <c r="D70" s="28">
        <v>35387</v>
      </c>
      <c r="E70" s="14">
        <v>-1.7039622254157227E-2</v>
      </c>
      <c r="F70" s="14">
        <v>-1.9617869134666122E-2</v>
      </c>
      <c r="G70" s="14">
        <v>-1.0784817218357556E-2</v>
      </c>
      <c r="H70" s="14">
        <v>-1.2490934010259825E-2</v>
      </c>
    </row>
    <row r="71" spans="2:8" x14ac:dyDescent="0.25">
      <c r="B71" s="29">
        <v>63</v>
      </c>
      <c r="C71" s="30">
        <v>4.5784883720930231E-2</v>
      </c>
      <c r="D71" s="28">
        <v>35388</v>
      </c>
      <c r="E71" s="14">
        <v>-1.6942371932070377E-2</v>
      </c>
      <c r="F71" s="14">
        <v>-1.9493416159936938E-2</v>
      </c>
      <c r="G71" s="14">
        <v>-1.0783259660444466E-2</v>
      </c>
      <c r="H71" s="14">
        <v>-1.2489761360143636E-2</v>
      </c>
    </row>
    <row r="72" spans="2:8" x14ac:dyDescent="0.25">
      <c r="B72" s="29">
        <v>64</v>
      </c>
      <c r="C72" s="30">
        <v>4.6511627906976744E-2</v>
      </c>
      <c r="D72" s="28">
        <v>35389</v>
      </c>
      <c r="E72" s="14">
        <v>-1.6875923190546649E-2</v>
      </c>
      <c r="F72" s="14">
        <v>-1.9290307216003777E-2</v>
      </c>
      <c r="G72" s="14">
        <v>-1.0729239297477267E-2</v>
      </c>
      <c r="H72" s="14">
        <v>-1.2281978872507104E-2</v>
      </c>
    </row>
    <row r="73" spans="2:8" x14ac:dyDescent="0.25">
      <c r="B73" s="29">
        <v>65</v>
      </c>
      <c r="C73" s="30">
        <v>4.7238372093023256E-2</v>
      </c>
      <c r="D73" s="28">
        <v>35390</v>
      </c>
      <c r="E73" s="14">
        <v>-1.6758997265361453E-2</v>
      </c>
      <c r="F73" s="14">
        <v>-1.928189385068213E-2</v>
      </c>
      <c r="G73" s="14">
        <v>-1.0719754977029039E-2</v>
      </c>
      <c r="H73" s="14">
        <v>-1.2078333063137416E-2</v>
      </c>
    </row>
    <row r="74" spans="2:8" x14ac:dyDescent="0.25">
      <c r="B74" s="29">
        <v>66</v>
      </c>
      <c r="C74" s="30">
        <v>4.7965116279069769E-2</v>
      </c>
      <c r="D74" s="28">
        <v>35391</v>
      </c>
      <c r="E74" s="14">
        <v>-1.6746031746031842E-2</v>
      </c>
      <c r="F74" s="14">
        <v>-1.9279718386136069E-2</v>
      </c>
      <c r="G74" s="14">
        <v>-1.0621193466833656E-2</v>
      </c>
      <c r="H74" s="14">
        <v>-1.1923128087939008E-2</v>
      </c>
    </row>
    <row r="75" spans="2:8" x14ac:dyDescent="0.25">
      <c r="B75" s="29">
        <v>67</v>
      </c>
      <c r="C75" s="30">
        <v>4.8691860465116282E-2</v>
      </c>
      <c r="D75" s="28">
        <v>35394</v>
      </c>
      <c r="E75" s="14">
        <v>-1.6611842105263119E-2</v>
      </c>
      <c r="F75" s="14">
        <v>-1.917585241875619E-2</v>
      </c>
      <c r="G75" s="14">
        <v>-1.0587711209689044E-2</v>
      </c>
      <c r="H75" s="14">
        <v>-1.1855329968052365E-2</v>
      </c>
    </row>
    <row r="76" spans="2:8" x14ac:dyDescent="0.25">
      <c r="B76" s="29">
        <v>68</v>
      </c>
      <c r="C76" s="30">
        <v>4.9418604651162788E-2</v>
      </c>
      <c r="D76" s="28">
        <v>35395</v>
      </c>
      <c r="E76" s="14">
        <v>-1.6587699140713785E-2</v>
      </c>
      <c r="F76" s="14">
        <v>-1.9069110277599832E-2</v>
      </c>
      <c r="G76" s="14">
        <v>-1.0581121934833626E-2</v>
      </c>
      <c r="H76" s="14">
        <v>-1.175424735786579E-2</v>
      </c>
    </row>
    <row r="77" spans="2:8" x14ac:dyDescent="0.25">
      <c r="B77" s="29">
        <v>69</v>
      </c>
      <c r="C77" s="30">
        <v>5.0145348837209301E-2</v>
      </c>
      <c r="D77" s="28">
        <v>35396</v>
      </c>
      <c r="E77" s="14">
        <v>-1.6425435030086311E-2</v>
      </c>
      <c r="F77" s="14">
        <v>-1.9066377468023199E-2</v>
      </c>
      <c r="G77" s="14">
        <v>-1.0530910678234418E-2</v>
      </c>
      <c r="H77" s="14">
        <v>-1.1728421079418606E-2</v>
      </c>
    </row>
    <row r="78" spans="2:8" x14ac:dyDescent="0.25">
      <c r="B78" s="29">
        <v>70</v>
      </c>
      <c r="C78" s="30">
        <v>5.0872093023255814E-2</v>
      </c>
      <c r="D78" s="28">
        <v>35397</v>
      </c>
      <c r="E78" s="14">
        <v>-1.639556456832203E-2</v>
      </c>
      <c r="F78" s="14">
        <v>-1.9000473445289212E-2</v>
      </c>
      <c r="G78" s="14">
        <v>-1.0346379827033458E-2</v>
      </c>
      <c r="H78" s="14">
        <v>-1.1717740921394682E-2</v>
      </c>
    </row>
    <row r="79" spans="2:8" x14ac:dyDescent="0.25">
      <c r="B79" s="29">
        <v>71</v>
      </c>
      <c r="C79" s="30">
        <v>5.1598837209302327E-2</v>
      </c>
      <c r="D79" s="28">
        <v>35398</v>
      </c>
      <c r="E79" s="14">
        <v>-1.639346397569752E-2</v>
      </c>
      <c r="F79" s="14">
        <v>-1.8907325457793944E-2</v>
      </c>
      <c r="G79" s="14">
        <v>-1.0335759465880723E-2</v>
      </c>
      <c r="H79" s="14">
        <v>-1.170618589249748E-2</v>
      </c>
    </row>
    <row r="80" spans="2:8" x14ac:dyDescent="0.25">
      <c r="B80" s="29">
        <v>72</v>
      </c>
      <c r="C80" s="30">
        <v>5.232558139534884E-2</v>
      </c>
      <c r="D80" s="28">
        <v>35401</v>
      </c>
      <c r="E80" s="14">
        <v>-1.6205280650688381E-2</v>
      </c>
      <c r="F80" s="14">
        <v>-1.8655287488374639E-2</v>
      </c>
      <c r="G80" s="14">
        <v>-1.0301719479365423E-2</v>
      </c>
      <c r="H80" s="14">
        <v>-1.1647688496863396E-2</v>
      </c>
    </row>
    <row r="81" spans="2:8" x14ac:dyDescent="0.25">
      <c r="B81" s="29">
        <v>73</v>
      </c>
      <c r="C81" s="30">
        <v>5.3052325581395346E-2</v>
      </c>
      <c r="D81" s="28">
        <v>35402</v>
      </c>
      <c r="E81" s="14">
        <v>-1.6110697087009962E-2</v>
      </c>
      <c r="F81" s="14">
        <v>-1.8637020968908291E-2</v>
      </c>
      <c r="G81" s="14">
        <v>-1.0228129713424017E-2</v>
      </c>
      <c r="H81" s="14">
        <v>-1.1569870002496298E-2</v>
      </c>
    </row>
    <row r="82" spans="2:8" x14ac:dyDescent="0.25">
      <c r="B82" s="29">
        <v>74</v>
      </c>
      <c r="C82" s="30">
        <v>5.3779069767441859E-2</v>
      </c>
      <c r="D82" s="28">
        <v>35403</v>
      </c>
      <c r="E82" s="14">
        <v>-1.609616876983111E-2</v>
      </c>
      <c r="F82" s="14">
        <v>-1.8555703907736754E-2</v>
      </c>
      <c r="G82" s="14">
        <v>-1.0179219232226977E-2</v>
      </c>
      <c r="H82" s="14">
        <v>-1.1528747415931618E-2</v>
      </c>
    </row>
    <row r="83" spans="2:8" x14ac:dyDescent="0.25">
      <c r="B83" s="29">
        <v>75</v>
      </c>
      <c r="C83" s="30">
        <v>5.4505813953488372E-2</v>
      </c>
      <c r="D83" s="28">
        <v>35404</v>
      </c>
      <c r="E83" s="14">
        <v>-1.6004259413054722E-2</v>
      </c>
      <c r="F83" s="14">
        <v>-1.8554941180836448E-2</v>
      </c>
      <c r="G83" s="14">
        <v>-1.002016298281716E-2</v>
      </c>
      <c r="H83" s="14">
        <v>-1.119110424097918E-2</v>
      </c>
    </row>
    <row r="84" spans="2:8" x14ac:dyDescent="0.25">
      <c r="B84" s="29">
        <v>76</v>
      </c>
      <c r="C84" s="30">
        <v>5.5232558139534885E-2</v>
      </c>
      <c r="D84" s="28">
        <v>35405</v>
      </c>
      <c r="E84" s="14">
        <v>-1.5991069017563864E-2</v>
      </c>
      <c r="F84" s="14">
        <v>-1.8536715746774846E-2</v>
      </c>
      <c r="G84" s="14">
        <v>-1.0019710906701729E-2</v>
      </c>
      <c r="H84" s="14">
        <v>-1.1139572058455373E-2</v>
      </c>
    </row>
    <row r="85" spans="2:8" x14ac:dyDescent="0.25">
      <c r="B85" s="29">
        <v>77</v>
      </c>
      <c r="C85" s="30">
        <v>5.5959302325581398E-2</v>
      </c>
      <c r="D85" s="28">
        <v>35408</v>
      </c>
      <c r="E85" s="14">
        <v>-1.5897802528597182E-2</v>
      </c>
      <c r="F85" s="14">
        <v>-1.8509540193931695E-2</v>
      </c>
      <c r="G85" s="14">
        <v>-9.8494599585874365E-3</v>
      </c>
      <c r="H85" s="14">
        <v>-1.1061577268132084E-2</v>
      </c>
    </row>
    <row r="86" spans="2:8" x14ac:dyDescent="0.25">
      <c r="B86" s="29">
        <v>78</v>
      </c>
      <c r="C86" s="30">
        <v>5.6686046511627904E-2</v>
      </c>
      <c r="D86" s="28">
        <v>35409</v>
      </c>
      <c r="E86" s="14">
        <v>-1.5838641188959723E-2</v>
      </c>
      <c r="F86" s="14">
        <v>-1.8379126268727508E-2</v>
      </c>
      <c r="G86" s="14">
        <v>-9.8033785654942918E-3</v>
      </c>
      <c r="H86" s="14">
        <v>-1.1026043685949815E-2</v>
      </c>
    </row>
    <row r="87" spans="2:8" x14ac:dyDescent="0.25">
      <c r="B87" s="29">
        <v>79</v>
      </c>
      <c r="C87" s="30">
        <v>5.7412790697674417E-2</v>
      </c>
      <c r="D87" s="28">
        <v>35410</v>
      </c>
      <c r="E87" s="14">
        <v>-1.5771792973865661E-2</v>
      </c>
      <c r="F87" s="14">
        <v>-1.8351843592574579E-2</v>
      </c>
      <c r="G87" s="14">
        <v>-9.7969847058182458E-3</v>
      </c>
      <c r="H87" s="14">
        <v>-1.099387903317286E-2</v>
      </c>
    </row>
    <row r="88" spans="2:8" x14ac:dyDescent="0.25">
      <c r="B88" s="29">
        <v>80</v>
      </c>
      <c r="C88" s="30">
        <v>5.8139534883720929E-2</v>
      </c>
      <c r="D88" s="28">
        <v>35411</v>
      </c>
      <c r="E88" s="14">
        <v>-1.5766199239198753E-2</v>
      </c>
      <c r="F88" s="14">
        <v>-1.8277671399796191E-2</v>
      </c>
      <c r="G88" s="14">
        <v>-9.7727145808900184E-3</v>
      </c>
      <c r="H88" s="14">
        <v>-1.0988050950620566E-2</v>
      </c>
    </row>
    <row r="89" spans="2:8" x14ac:dyDescent="0.25">
      <c r="B89" s="29">
        <v>81</v>
      </c>
      <c r="C89" s="30">
        <v>5.8866279069767442E-2</v>
      </c>
      <c r="D89" s="28">
        <v>35412</v>
      </c>
      <c r="E89" s="14">
        <v>-1.5574480325881046E-2</v>
      </c>
      <c r="F89" s="14">
        <v>-1.8251413658112225E-2</v>
      </c>
      <c r="G89" s="14">
        <v>-9.7668038408778024E-3</v>
      </c>
      <c r="H89" s="14">
        <v>-1.0898328837291874E-2</v>
      </c>
    </row>
    <row r="90" spans="2:8" x14ac:dyDescent="0.25">
      <c r="B90" s="29">
        <v>82</v>
      </c>
      <c r="C90" s="30">
        <v>5.9593023255813955E-2</v>
      </c>
      <c r="D90" s="28">
        <v>35415</v>
      </c>
      <c r="E90" s="14">
        <v>-1.5559518502006209E-2</v>
      </c>
      <c r="F90" s="14">
        <v>-1.8226858645589594E-2</v>
      </c>
      <c r="G90" s="14">
        <v>-9.632592904516124E-3</v>
      </c>
      <c r="H90" s="14">
        <v>-1.0855437416650449E-2</v>
      </c>
    </row>
    <row r="91" spans="2:8" x14ac:dyDescent="0.25">
      <c r="B91" s="29">
        <v>83</v>
      </c>
      <c r="C91" s="30">
        <v>6.0319767441860468E-2</v>
      </c>
      <c r="D91" s="28">
        <v>35416</v>
      </c>
      <c r="E91" s="14">
        <v>-1.5544453637115652E-2</v>
      </c>
      <c r="F91" s="14">
        <v>-1.8180343053405101E-2</v>
      </c>
      <c r="G91" s="14">
        <v>-9.530669917437673E-3</v>
      </c>
      <c r="H91" s="14">
        <v>-1.0722404059358759E-2</v>
      </c>
    </row>
    <row r="92" spans="2:8" x14ac:dyDescent="0.25">
      <c r="B92" s="29">
        <v>84</v>
      </c>
      <c r="C92" s="30">
        <v>6.1046511627906974E-2</v>
      </c>
      <c r="D92" s="28">
        <v>35417</v>
      </c>
      <c r="E92" s="14">
        <v>-1.5414919183365461E-2</v>
      </c>
      <c r="F92" s="14">
        <v>-1.8171036757839931E-2</v>
      </c>
      <c r="G92" s="14">
        <v>-9.4727018198784707E-3</v>
      </c>
      <c r="H92" s="14">
        <v>-1.0513283671698171E-2</v>
      </c>
    </row>
    <row r="93" spans="2:8" x14ac:dyDescent="0.25">
      <c r="B93" s="29">
        <v>85</v>
      </c>
      <c r="C93" s="30">
        <v>6.1773255813953487E-2</v>
      </c>
      <c r="D93" s="28">
        <v>35418</v>
      </c>
      <c r="E93" s="14">
        <v>-1.5397082658022643E-2</v>
      </c>
      <c r="F93" s="14">
        <v>-1.8023479188900682E-2</v>
      </c>
      <c r="G93" s="14">
        <v>-9.4522624421771173E-3</v>
      </c>
      <c r="H93" s="14">
        <v>-1.0471134547506812E-2</v>
      </c>
    </row>
    <row r="94" spans="2:8" x14ac:dyDescent="0.25">
      <c r="B94" s="29">
        <v>86</v>
      </c>
      <c r="C94" s="30">
        <v>6.25E-2</v>
      </c>
      <c r="D94" s="28">
        <v>35419</v>
      </c>
      <c r="E94" s="14">
        <v>-1.5378336331177578E-2</v>
      </c>
      <c r="F94" s="14">
        <v>-1.799254698639019E-2</v>
      </c>
      <c r="G94" s="14">
        <v>-9.4174935685410466E-3</v>
      </c>
      <c r="H94" s="14">
        <v>-1.0428168271382333E-2</v>
      </c>
    </row>
    <row r="95" spans="2:8" x14ac:dyDescent="0.25">
      <c r="B95" s="29">
        <v>87</v>
      </c>
      <c r="C95" s="30">
        <v>6.3226744186046513E-2</v>
      </c>
      <c r="D95" s="28">
        <v>35422</v>
      </c>
      <c r="E95" s="14">
        <v>-1.5229535922210213E-2</v>
      </c>
      <c r="F95" s="14">
        <v>-1.798601170388725E-2</v>
      </c>
      <c r="G95" s="14">
        <v>-9.3874010174670452E-3</v>
      </c>
      <c r="H95" s="14">
        <v>-1.0336982470156754E-2</v>
      </c>
    </row>
    <row r="96" spans="2:8" x14ac:dyDescent="0.25">
      <c r="B96" s="29">
        <v>88</v>
      </c>
      <c r="C96" s="30">
        <v>6.3953488372093026E-2</v>
      </c>
      <c r="D96" s="28">
        <v>35423</v>
      </c>
      <c r="E96" s="14">
        <v>-1.5143737166324445E-2</v>
      </c>
      <c r="F96" s="14">
        <v>-1.79322285431609E-2</v>
      </c>
      <c r="G96" s="14">
        <v>-9.3746740505149528E-3</v>
      </c>
      <c r="H96" s="14">
        <v>-1.0177808849371205E-2</v>
      </c>
    </row>
    <row r="97" spans="2:8" x14ac:dyDescent="0.25">
      <c r="B97" s="29">
        <v>89</v>
      </c>
      <c r="C97" s="30">
        <v>6.4680232558139539E-2</v>
      </c>
      <c r="D97" s="28">
        <v>35424</v>
      </c>
      <c r="E97" s="14">
        <v>-1.5070111263526864E-2</v>
      </c>
      <c r="F97" s="14">
        <v>-1.792371917172797E-2</v>
      </c>
      <c r="G97" s="14">
        <v>-9.2777201341446291E-3</v>
      </c>
      <c r="H97" s="14">
        <v>-1.0116273633001428E-2</v>
      </c>
    </row>
    <row r="98" spans="2:8" x14ac:dyDescent="0.25">
      <c r="B98" s="29">
        <v>90</v>
      </c>
      <c r="C98" s="30">
        <v>6.5406976744186052E-2</v>
      </c>
      <c r="D98" s="28">
        <v>35425</v>
      </c>
      <c r="E98" s="14">
        <v>-1.4905255238781945E-2</v>
      </c>
      <c r="F98" s="14">
        <v>-1.7896011527024025E-2</v>
      </c>
      <c r="G98" s="14">
        <v>-9.244634395614848E-3</v>
      </c>
      <c r="H98" s="14">
        <v>-1.0098203198313538E-2</v>
      </c>
    </row>
    <row r="99" spans="2:8" x14ac:dyDescent="0.25">
      <c r="B99" s="29">
        <v>91</v>
      </c>
      <c r="C99" s="30">
        <v>6.6133720930232565E-2</v>
      </c>
      <c r="D99" s="28">
        <v>35426</v>
      </c>
      <c r="E99" s="14">
        <v>-1.4871711063899395E-2</v>
      </c>
      <c r="F99" s="14">
        <v>-1.7848249597187671E-2</v>
      </c>
      <c r="G99" s="14">
        <v>-9.2107128834714169E-3</v>
      </c>
      <c r="H99" s="14">
        <v>-1.0089091146835406E-2</v>
      </c>
    </row>
    <row r="100" spans="2:8" x14ac:dyDescent="0.25">
      <c r="B100" s="29">
        <v>92</v>
      </c>
      <c r="C100" s="30">
        <v>6.6860465116279064E-2</v>
      </c>
      <c r="D100" s="28">
        <v>35429</v>
      </c>
      <c r="E100" s="14">
        <v>-1.4834621878874632E-2</v>
      </c>
      <c r="F100" s="14">
        <v>-1.7770561306181265E-2</v>
      </c>
      <c r="G100" s="14">
        <v>-9.1977361867642271E-3</v>
      </c>
      <c r="H100" s="14">
        <v>-1.0078654140600385E-2</v>
      </c>
    </row>
    <row r="101" spans="2:8" x14ac:dyDescent="0.25">
      <c r="B101" s="29">
        <v>93</v>
      </c>
      <c r="C101" s="30">
        <v>6.7587209302325577E-2</v>
      </c>
      <c r="D101" s="28">
        <v>35430</v>
      </c>
      <c r="E101" s="14">
        <v>-1.4753720315325847E-2</v>
      </c>
      <c r="F101" s="14">
        <v>-1.7685491681241783E-2</v>
      </c>
      <c r="G101" s="14">
        <v>-9.1342718860237815E-3</v>
      </c>
      <c r="H101" s="14">
        <v>-9.9646543189629618E-3</v>
      </c>
    </row>
    <row r="102" spans="2:8" x14ac:dyDescent="0.25">
      <c r="B102" s="29">
        <v>94</v>
      </c>
      <c r="C102" s="30">
        <v>6.8313953488372089E-2</v>
      </c>
      <c r="D102" s="28">
        <v>35431</v>
      </c>
      <c r="E102" s="14">
        <v>-1.4750829274494559E-2</v>
      </c>
      <c r="F102" s="14">
        <v>-1.750732602698557E-2</v>
      </c>
      <c r="G102" s="14">
        <v>-9.1210163418211643E-3</v>
      </c>
      <c r="H102" s="14">
        <v>-9.9073124425650208E-3</v>
      </c>
    </row>
    <row r="103" spans="2:8" x14ac:dyDescent="0.25">
      <c r="B103" s="29">
        <v>95</v>
      </c>
      <c r="C103" s="30">
        <v>6.9040697674418602E-2</v>
      </c>
      <c r="D103" s="28">
        <v>35432</v>
      </c>
      <c r="E103" s="14">
        <v>-1.4748728156388391E-2</v>
      </c>
      <c r="F103" s="14">
        <v>-1.7501610824742331E-2</v>
      </c>
      <c r="G103" s="14">
        <v>-9.1204204668419164E-3</v>
      </c>
      <c r="H103" s="14">
        <v>-9.8816171277655868E-3</v>
      </c>
    </row>
    <row r="104" spans="2:8" x14ac:dyDescent="0.25">
      <c r="B104" s="29">
        <v>96</v>
      </c>
      <c r="C104" s="30">
        <v>6.9767441860465115E-2</v>
      </c>
      <c r="D104" s="28">
        <v>35433</v>
      </c>
      <c r="E104" s="14">
        <v>-1.4743482959906018E-2</v>
      </c>
      <c r="F104" s="14">
        <v>-1.7468489001186915E-2</v>
      </c>
      <c r="G104" s="14">
        <v>-9.0958310774227336E-3</v>
      </c>
      <c r="H104" s="14">
        <v>-9.8733082769922216E-3</v>
      </c>
    </row>
    <row r="105" spans="2:8" x14ac:dyDescent="0.25">
      <c r="B105" s="29">
        <v>97</v>
      </c>
      <c r="C105" s="30">
        <v>7.0494186046511628E-2</v>
      </c>
      <c r="D105" s="28">
        <v>35436</v>
      </c>
      <c r="E105" s="14">
        <v>-1.4635656035009825E-2</v>
      </c>
      <c r="F105" s="14">
        <v>-1.7464061527586727E-2</v>
      </c>
      <c r="G105" s="14">
        <v>-9.0769961475540839E-3</v>
      </c>
      <c r="H105" s="14">
        <v>-9.8623068951947616E-3</v>
      </c>
    </row>
    <row r="106" spans="2:8" x14ac:dyDescent="0.25">
      <c r="B106" s="29">
        <v>98</v>
      </c>
      <c r="C106" s="30">
        <v>7.1220930232558141E-2</v>
      </c>
      <c r="D106" s="28">
        <v>35437</v>
      </c>
      <c r="E106" s="14">
        <v>-1.4607788336128302E-2</v>
      </c>
      <c r="F106" s="14">
        <v>-1.7390727598328604E-2</v>
      </c>
      <c r="G106" s="14">
        <v>-8.9994079336885857E-3</v>
      </c>
      <c r="H106" s="14">
        <v>-9.8340519191098662E-3</v>
      </c>
    </row>
    <row r="107" spans="2:8" x14ac:dyDescent="0.25">
      <c r="B107" s="29">
        <v>99</v>
      </c>
      <c r="C107" s="30">
        <v>7.1947674418604654E-2</v>
      </c>
      <c r="D107" s="28">
        <v>35438</v>
      </c>
      <c r="E107" s="14">
        <v>-1.4582634931277427E-2</v>
      </c>
      <c r="F107" s="14">
        <v>-1.7328130189306012E-2</v>
      </c>
      <c r="G107" s="14">
        <v>-8.9487656541450411E-3</v>
      </c>
      <c r="H107" s="14">
        <v>-9.7855682394052852E-3</v>
      </c>
    </row>
    <row r="108" spans="2:8" x14ac:dyDescent="0.25">
      <c r="B108" s="29">
        <v>100</v>
      </c>
      <c r="C108" s="30">
        <v>7.2674418604651167E-2</v>
      </c>
      <c r="D108" s="28">
        <v>35439</v>
      </c>
      <c r="E108" s="14">
        <v>-1.4566053004248292E-2</v>
      </c>
      <c r="F108" s="14">
        <v>-1.7141849500686868E-2</v>
      </c>
      <c r="G108" s="14">
        <v>-8.8715009918448606E-3</v>
      </c>
      <c r="H108" s="14">
        <v>-9.6520708944887196E-3</v>
      </c>
    </row>
    <row r="109" spans="2:8" x14ac:dyDescent="0.25">
      <c r="B109" s="29">
        <v>101</v>
      </c>
      <c r="C109" s="30">
        <v>7.340116279069768E-2</v>
      </c>
      <c r="D109" s="28">
        <v>35440</v>
      </c>
      <c r="E109" s="14">
        <v>-1.4496833216045002E-2</v>
      </c>
      <c r="F109" s="14">
        <v>-1.7077557256767961E-2</v>
      </c>
      <c r="G109" s="14">
        <v>-8.7547982760446397E-3</v>
      </c>
      <c r="H109" s="14">
        <v>-9.5913166927492424E-3</v>
      </c>
    </row>
    <row r="110" spans="2:8" x14ac:dyDescent="0.25">
      <c r="B110" s="29">
        <v>102</v>
      </c>
      <c r="C110" s="30">
        <v>7.4127906976744193E-2</v>
      </c>
      <c r="D110" s="28">
        <v>35443</v>
      </c>
      <c r="E110" s="14">
        <v>-1.4407036700030407E-2</v>
      </c>
      <c r="F110" s="14">
        <v>-1.7049289266839129E-2</v>
      </c>
      <c r="G110" s="14">
        <v>-8.7118193891102536E-3</v>
      </c>
      <c r="H110" s="14">
        <v>-9.5595295286942782E-3</v>
      </c>
    </row>
    <row r="111" spans="2:8" x14ac:dyDescent="0.25">
      <c r="B111" s="29">
        <v>103</v>
      </c>
      <c r="C111" s="30">
        <v>7.4854651162790692E-2</v>
      </c>
      <c r="D111" s="28">
        <v>35444</v>
      </c>
      <c r="E111" s="14">
        <v>-1.42804410917583E-2</v>
      </c>
      <c r="F111" s="14">
        <v>-1.7028278421918674E-2</v>
      </c>
      <c r="G111" s="14">
        <v>-8.6861928828187995E-3</v>
      </c>
      <c r="H111" s="14">
        <v>-9.5360569576367731E-3</v>
      </c>
    </row>
    <row r="112" spans="2:8" x14ac:dyDescent="0.25">
      <c r="B112" s="29">
        <v>104</v>
      </c>
      <c r="C112" s="30">
        <v>7.5581395348837205E-2</v>
      </c>
      <c r="D112" s="28">
        <v>35445</v>
      </c>
      <c r="E112" s="14">
        <v>-1.4259911205822817E-2</v>
      </c>
      <c r="F112" s="14">
        <v>-1.7003900536323724E-2</v>
      </c>
      <c r="G112" s="14">
        <v>-8.6658413484431707E-3</v>
      </c>
      <c r="H112" s="14">
        <v>-9.4022623379413257E-3</v>
      </c>
    </row>
    <row r="113" spans="2:8" x14ac:dyDescent="0.25">
      <c r="B113" s="29">
        <v>105</v>
      </c>
      <c r="C113" s="30">
        <v>7.6308139534883718E-2</v>
      </c>
      <c r="D113" s="28">
        <v>35446</v>
      </c>
      <c r="E113" s="14">
        <v>-1.4237534971065058E-2</v>
      </c>
      <c r="F113" s="14">
        <v>-1.6864362065933225E-2</v>
      </c>
      <c r="G113" s="14">
        <v>-8.5978446499027639E-3</v>
      </c>
      <c r="H113" s="14">
        <v>-9.3710904903949298E-3</v>
      </c>
    </row>
    <row r="114" spans="2:8" x14ac:dyDescent="0.25">
      <c r="B114" s="29">
        <v>106</v>
      </c>
      <c r="C114" s="30">
        <v>7.7034883720930231E-2</v>
      </c>
      <c r="D114" s="28">
        <v>35447</v>
      </c>
      <c r="E114" s="14">
        <v>-1.4231177844191145E-2</v>
      </c>
      <c r="F114" s="14">
        <v>-1.6841463945341473E-2</v>
      </c>
      <c r="G114" s="14">
        <v>-8.5795485012601924E-3</v>
      </c>
      <c r="H114" s="14">
        <v>-9.3625834956586849E-3</v>
      </c>
    </row>
    <row r="115" spans="2:8" x14ac:dyDescent="0.25">
      <c r="B115" s="29">
        <v>107</v>
      </c>
      <c r="C115" s="30">
        <v>7.7761627906976744E-2</v>
      </c>
      <c r="D115" s="28">
        <v>35450</v>
      </c>
      <c r="E115" s="14">
        <v>-1.4048681153748022E-2</v>
      </c>
      <c r="F115" s="14">
        <v>-1.6705668706584187E-2</v>
      </c>
      <c r="G115" s="14">
        <v>-8.5525235559487101E-3</v>
      </c>
      <c r="H115" s="14">
        <v>-9.3143306191441066E-3</v>
      </c>
    </row>
    <row r="116" spans="2:8" x14ac:dyDescent="0.25">
      <c r="B116" s="29">
        <v>108</v>
      </c>
      <c r="C116" s="30">
        <v>7.8488372093023256E-2</v>
      </c>
      <c r="D116" s="28">
        <v>35451</v>
      </c>
      <c r="E116" s="14">
        <v>-1.3839487809610085E-2</v>
      </c>
      <c r="F116" s="14">
        <v>-1.6664414002560135E-2</v>
      </c>
      <c r="G116" s="14">
        <v>-8.5345545378850973E-3</v>
      </c>
      <c r="H116" s="14">
        <v>-9.2220165223692706E-3</v>
      </c>
    </row>
    <row r="117" spans="2:8" x14ac:dyDescent="0.25">
      <c r="B117" s="29">
        <v>109</v>
      </c>
      <c r="C117" s="30">
        <v>7.9215116279069769E-2</v>
      </c>
      <c r="D117" s="28">
        <v>35452</v>
      </c>
      <c r="E117" s="14">
        <v>-1.3738986758456861E-2</v>
      </c>
      <c r="F117" s="14">
        <v>-1.6662999509165166E-2</v>
      </c>
      <c r="G117" s="14">
        <v>-8.50023288309254E-3</v>
      </c>
      <c r="H117" s="14">
        <v>-9.1386686070046089E-3</v>
      </c>
    </row>
    <row r="118" spans="2:8" x14ac:dyDescent="0.25">
      <c r="B118" s="29">
        <v>110</v>
      </c>
      <c r="C118" s="30">
        <v>7.9941860465116282E-2</v>
      </c>
      <c r="D118" s="28">
        <v>35453</v>
      </c>
      <c r="E118" s="14">
        <v>-1.366978112206807E-2</v>
      </c>
      <c r="F118" s="14">
        <v>-1.6604129687464941E-2</v>
      </c>
      <c r="G118" s="14">
        <v>-8.4712065234532341E-3</v>
      </c>
      <c r="H118" s="14">
        <v>-9.1281750413905842E-3</v>
      </c>
    </row>
    <row r="119" spans="2:8" x14ac:dyDescent="0.25">
      <c r="B119" s="29">
        <v>111</v>
      </c>
      <c r="C119" s="30">
        <v>8.0668604651162795E-2</v>
      </c>
      <c r="D119" s="28">
        <v>35454</v>
      </c>
      <c r="E119" s="14">
        <v>-1.3565917715180009E-2</v>
      </c>
      <c r="F119" s="14">
        <v>-1.6440518801801862E-2</v>
      </c>
      <c r="G119" s="14">
        <v>-8.4219441046391452E-3</v>
      </c>
      <c r="H119" s="14">
        <v>-9.089106866085217E-3</v>
      </c>
    </row>
    <row r="120" spans="2:8" x14ac:dyDescent="0.25">
      <c r="B120" s="29">
        <v>112</v>
      </c>
      <c r="C120" s="30">
        <v>8.1395348837209308E-2</v>
      </c>
      <c r="D120" s="28">
        <v>35457</v>
      </c>
      <c r="E120" s="14">
        <v>-1.347654847819546E-2</v>
      </c>
      <c r="F120" s="14">
        <v>-1.6368666639137719E-2</v>
      </c>
      <c r="G120" s="14">
        <v>-8.3873340605857827E-3</v>
      </c>
      <c r="H120" s="14">
        <v>-8.9019244683772314E-3</v>
      </c>
    </row>
    <row r="121" spans="2:8" x14ac:dyDescent="0.25">
      <c r="B121" s="29">
        <v>113</v>
      </c>
      <c r="C121" s="30">
        <v>8.2122093023255807E-2</v>
      </c>
      <c r="D121" s="28">
        <v>35458</v>
      </c>
      <c r="E121" s="14">
        <v>-1.3420567018956553E-2</v>
      </c>
      <c r="F121" s="14">
        <v>-1.6271630437520335E-2</v>
      </c>
      <c r="G121" s="14">
        <v>-8.3841006414485664E-3</v>
      </c>
      <c r="H121" s="14">
        <v>-8.8705019399195843E-3</v>
      </c>
    </row>
    <row r="122" spans="2:8" x14ac:dyDescent="0.25">
      <c r="B122" s="29">
        <v>114</v>
      </c>
      <c r="C122" s="30">
        <v>8.284883720930232E-2</v>
      </c>
      <c r="D122" s="28">
        <v>35459</v>
      </c>
      <c r="E122" s="14">
        <v>-1.3393870601589031E-2</v>
      </c>
      <c r="F122" s="14">
        <v>-1.6171360182261285E-2</v>
      </c>
      <c r="G122" s="14">
        <v>-8.3498370974572911E-3</v>
      </c>
      <c r="H122" s="14">
        <v>-8.8265107397512491E-3</v>
      </c>
    </row>
    <row r="123" spans="2:8" x14ac:dyDescent="0.25">
      <c r="B123" s="29">
        <v>115</v>
      </c>
      <c r="C123" s="30">
        <v>8.3575581395348833E-2</v>
      </c>
      <c r="D123" s="28">
        <v>35460</v>
      </c>
      <c r="E123" s="14">
        <v>-1.3353057707774174E-2</v>
      </c>
      <c r="F123" s="14">
        <v>-1.6086050680750086E-2</v>
      </c>
      <c r="G123" s="14">
        <v>-8.3418771553733784E-3</v>
      </c>
      <c r="H123" s="14">
        <v>-8.762223177823247E-3</v>
      </c>
    </row>
    <row r="124" spans="2:8" x14ac:dyDescent="0.25">
      <c r="B124" s="29">
        <v>116</v>
      </c>
      <c r="C124" s="30">
        <v>8.4302325581395346E-2</v>
      </c>
      <c r="D124" s="28">
        <v>35461</v>
      </c>
      <c r="E124" s="14">
        <v>-1.32956431705753E-2</v>
      </c>
      <c r="F124" s="14">
        <v>-1.6071277763702319E-2</v>
      </c>
      <c r="G124" s="14">
        <v>-8.3130575831306119E-3</v>
      </c>
      <c r="H124" s="14">
        <v>-8.6248583738491418E-3</v>
      </c>
    </row>
    <row r="125" spans="2:8" x14ac:dyDescent="0.25">
      <c r="B125" s="29">
        <v>117</v>
      </c>
      <c r="C125" s="30">
        <v>8.5029069767441859E-2</v>
      </c>
      <c r="D125" s="28">
        <v>35464</v>
      </c>
      <c r="E125" s="14">
        <v>-1.3211942860646197E-2</v>
      </c>
      <c r="F125" s="14">
        <v>-1.5913259251267742E-2</v>
      </c>
      <c r="G125" s="14">
        <v>-8.2844693098070854E-3</v>
      </c>
      <c r="H125" s="14">
        <v>-8.5793247710415962E-3</v>
      </c>
    </row>
    <row r="126" spans="2:8" x14ac:dyDescent="0.25">
      <c r="B126" s="29">
        <v>118</v>
      </c>
      <c r="C126" s="30">
        <v>8.5755813953488372E-2</v>
      </c>
      <c r="D126" s="28">
        <v>35465</v>
      </c>
      <c r="E126" s="14">
        <v>-1.3195380713932781E-2</v>
      </c>
      <c r="F126" s="14">
        <v>-1.5839148923560087E-2</v>
      </c>
      <c r="G126" s="14">
        <v>-8.2570304070997969E-3</v>
      </c>
      <c r="H126" s="14">
        <v>-8.3940155617033378E-3</v>
      </c>
    </row>
    <row r="127" spans="2:8" x14ac:dyDescent="0.25">
      <c r="B127" s="29">
        <v>119</v>
      </c>
      <c r="C127" s="30">
        <v>8.6482558139534885E-2</v>
      </c>
      <c r="D127" s="28">
        <v>35466</v>
      </c>
      <c r="E127" s="14">
        <v>-1.3169002194833745E-2</v>
      </c>
      <c r="F127" s="14">
        <v>-1.5776571895493197E-2</v>
      </c>
      <c r="G127" s="14">
        <v>-8.2418550435268134E-3</v>
      </c>
      <c r="H127" s="14">
        <v>-8.350619776892821E-3</v>
      </c>
    </row>
    <row r="128" spans="2:8" x14ac:dyDescent="0.25">
      <c r="B128" s="29">
        <v>120</v>
      </c>
      <c r="C128" s="30">
        <v>8.7209302325581398E-2</v>
      </c>
      <c r="D128" s="28">
        <v>35467</v>
      </c>
      <c r="E128" s="14">
        <v>-1.3076278290025223E-2</v>
      </c>
      <c r="F128" s="14">
        <v>-1.5655438391709464E-2</v>
      </c>
      <c r="G128" s="14">
        <v>-8.2266910420473183E-3</v>
      </c>
      <c r="H128" s="14">
        <v>-8.2157719223532773E-3</v>
      </c>
    </row>
    <row r="129" spans="2:8" x14ac:dyDescent="0.25">
      <c r="B129" s="29">
        <v>121</v>
      </c>
      <c r="C129" s="30">
        <v>8.7936046511627911E-2</v>
      </c>
      <c r="D129" s="28">
        <v>35468</v>
      </c>
      <c r="E129" s="14">
        <v>-1.3051469472818655E-2</v>
      </c>
      <c r="F129" s="14">
        <v>-1.5627343030354957E-2</v>
      </c>
      <c r="G129" s="14">
        <v>-8.1730175901287838E-3</v>
      </c>
      <c r="H129" s="14">
        <v>-8.1660674766879555E-3</v>
      </c>
    </row>
    <row r="130" spans="2:8" x14ac:dyDescent="0.25">
      <c r="B130" s="29">
        <v>122</v>
      </c>
      <c r="C130" s="30">
        <v>8.8662790697674423E-2</v>
      </c>
      <c r="D130" s="28">
        <v>35471</v>
      </c>
      <c r="E130" s="14">
        <v>-1.3026918440379953E-2</v>
      </c>
      <c r="F130" s="14">
        <v>-1.5606384506839932E-2</v>
      </c>
      <c r="G130" s="14">
        <v>-8.1260066523358709E-3</v>
      </c>
      <c r="H130" s="14">
        <v>-8.1556366626333032E-3</v>
      </c>
    </row>
    <row r="131" spans="2:8" x14ac:dyDescent="0.25">
      <c r="B131" s="29">
        <v>123</v>
      </c>
      <c r="C131" s="30">
        <v>8.9389534883720936E-2</v>
      </c>
      <c r="D131" s="28">
        <v>35472</v>
      </c>
      <c r="E131" s="14">
        <v>-1.2986906923729169E-2</v>
      </c>
      <c r="F131" s="14">
        <v>-1.5526432357299003E-2</v>
      </c>
      <c r="G131" s="14">
        <v>-8.0995233024220292E-3</v>
      </c>
      <c r="H131" s="14">
        <v>-8.1412704273110537E-3</v>
      </c>
    </row>
    <row r="132" spans="2:8" x14ac:dyDescent="0.25">
      <c r="B132" s="29">
        <v>124</v>
      </c>
      <c r="C132" s="30">
        <v>9.0116279069767435E-2</v>
      </c>
      <c r="D132" s="28">
        <v>35473</v>
      </c>
      <c r="E132" s="14">
        <v>-1.2980135194103459E-2</v>
      </c>
      <c r="F132" s="14">
        <v>-1.5390223158235794E-2</v>
      </c>
      <c r="G132" s="14">
        <v>-8.0855492749103419E-3</v>
      </c>
      <c r="H132" s="14">
        <v>-8.0834051641026413E-3</v>
      </c>
    </row>
    <row r="133" spans="2:8" x14ac:dyDescent="0.25">
      <c r="B133" s="29">
        <v>125</v>
      </c>
      <c r="C133" s="30">
        <v>9.0843023255813948E-2</v>
      </c>
      <c r="D133" s="28">
        <v>35474</v>
      </c>
      <c r="E133" s="14">
        <v>-1.2930184839179848E-2</v>
      </c>
      <c r="F133" s="14">
        <v>-1.5329768270944788E-2</v>
      </c>
      <c r="G133" s="14">
        <v>-8.0519873618039028E-3</v>
      </c>
      <c r="H133" s="14">
        <v>-8.0733029092968644E-3</v>
      </c>
    </row>
    <row r="134" spans="2:8" x14ac:dyDescent="0.25">
      <c r="B134" s="29">
        <v>126</v>
      </c>
      <c r="C134" s="30">
        <v>9.1569767441860461E-2</v>
      </c>
      <c r="D134" s="28">
        <v>35475</v>
      </c>
      <c r="E134" s="14">
        <v>-1.2716529127238196E-2</v>
      </c>
      <c r="F134" s="14">
        <v>-1.5312593448066014E-2</v>
      </c>
      <c r="G134" s="14">
        <v>-8.01114594218022E-3</v>
      </c>
      <c r="H134" s="14">
        <v>-8.0471319846467035E-3</v>
      </c>
    </row>
    <row r="135" spans="2:8" x14ac:dyDescent="0.25">
      <c r="B135" s="29">
        <v>127</v>
      </c>
      <c r="C135" s="30">
        <v>9.2296511627906974E-2</v>
      </c>
      <c r="D135" s="28">
        <v>35478</v>
      </c>
      <c r="E135" s="14">
        <v>-1.2689848121502645E-2</v>
      </c>
      <c r="F135" s="14">
        <v>-1.5223292702400637E-2</v>
      </c>
      <c r="G135" s="14">
        <v>-7.970365595871054E-3</v>
      </c>
      <c r="H135" s="14">
        <v>-7.9640884470020719E-3</v>
      </c>
    </row>
    <row r="136" spans="2:8" x14ac:dyDescent="0.25">
      <c r="B136" s="29">
        <v>128</v>
      </c>
      <c r="C136" s="30">
        <v>9.3023255813953487E-2</v>
      </c>
      <c r="D136" s="28">
        <v>35479</v>
      </c>
      <c r="E136" s="14">
        <v>-1.2648794685295006E-2</v>
      </c>
      <c r="F136" s="14">
        <v>-1.5010049100669165E-2</v>
      </c>
      <c r="G136" s="14">
        <v>-7.9611118045358475E-3</v>
      </c>
      <c r="H136" s="14">
        <v>-7.9638586528617099E-3</v>
      </c>
    </row>
    <row r="137" spans="2:8" x14ac:dyDescent="0.25">
      <c r="B137" s="29">
        <v>129</v>
      </c>
      <c r="C137" s="30">
        <v>9.375E-2</v>
      </c>
      <c r="D137" s="28">
        <v>35480</v>
      </c>
      <c r="E137" s="14">
        <v>-1.2640593651152221E-2</v>
      </c>
      <c r="F137" s="14">
        <v>-1.4980128401100634E-2</v>
      </c>
      <c r="G137" s="14">
        <v>-7.9317323997593059E-3</v>
      </c>
      <c r="H137" s="14">
        <v>-7.9583908035978593E-3</v>
      </c>
    </row>
    <row r="138" spans="2:8" x14ac:dyDescent="0.25">
      <c r="B138" s="29">
        <v>130</v>
      </c>
      <c r="C138" s="30">
        <v>9.4476744186046513E-2</v>
      </c>
      <c r="D138" s="28">
        <v>35481</v>
      </c>
      <c r="E138" s="14">
        <v>-1.2633115607044609E-2</v>
      </c>
      <c r="F138" s="14">
        <v>-1.4956580963732313E-2</v>
      </c>
      <c r="G138" s="14">
        <v>-7.8573816490159487E-3</v>
      </c>
      <c r="H138" s="14">
        <v>-7.9532835689922528E-3</v>
      </c>
    </row>
    <row r="139" spans="2:8" x14ac:dyDescent="0.25">
      <c r="B139" s="29">
        <v>131</v>
      </c>
      <c r="C139" s="30">
        <v>9.5203488372093026E-2</v>
      </c>
      <c r="D139" s="28">
        <v>35482</v>
      </c>
      <c r="E139" s="14">
        <v>-1.2485417087552464E-2</v>
      </c>
      <c r="F139" s="14">
        <v>-1.4954526033083004E-2</v>
      </c>
      <c r="G139" s="14">
        <v>-7.8303766059325541E-3</v>
      </c>
      <c r="H139" s="14">
        <v>-7.9323156084447413E-3</v>
      </c>
    </row>
    <row r="140" spans="2:8" x14ac:dyDescent="0.25">
      <c r="B140" s="29">
        <v>132</v>
      </c>
      <c r="C140" s="30">
        <v>9.5930232558139539E-2</v>
      </c>
      <c r="D140" s="28">
        <v>35485</v>
      </c>
      <c r="E140" s="14">
        <v>-1.2456587172956723E-2</v>
      </c>
      <c r="F140" s="14">
        <v>-1.4935300934656337E-2</v>
      </c>
      <c r="G140" s="14">
        <v>-7.8280172917396529E-3</v>
      </c>
      <c r="H140" s="14">
        <v>-7.9002667639095584E-3</v>
      </c>
    </row>
    <row r="141" spans="2:8" x14ac:dyDescent="0.25">
      <c r="B141" s="29">
        <v>133</v>
      </c>
      <c r="C141" s="30">
        <v>9.6656976744186052E-2</v>
      </c>
      <c r="D141" s="28">
        <v>35486</v>
      </c>
      <c r="E141" s="14">
        <v>-1.2427372498386102E-2</v>
      </c>
      <c r="F141" s="14">
        <v>-1.4872616239161252E-2</v>
      </c>
      <c r="G141" s="14">
        <v>-7.7832064538119194E-3</v>
      </c>
      <c r="H141" s="14">
        <v>-7.8929986611894452E-3</v>
      </c>
    </row>
    <row r="142" spans="2:8" x14ac:dyDescent="0.25">
      <c r="B142" s="29">
        <v>134</v>
      </c>
      <c r="C142" s="30">
        <v>9.7383720930232565E-2</v>
      </c>
      <c r="D142" s="28">
        <v>35487</v>
      </c>
      <c r="E142" s="14">
        <v>-1.2387496370850681E-2</v>
      </c>
      <c r="F142" s="14">
        <v>-1.4843933860381631E-2</v>
      </c>
      <c r="G142" s="14">
        <v>-7.7335181404558639E-3</v>
      </c>
      <c r="H142" s="14">
        <v>-7.872335379076523E-3</v>
      </c>
    </row>
    <row r="143" spans="2:8" x14ac:dyDescent="0.25">
      <c r="B143" s="29">
        <v>135</v>
      </c>
      <c r="C143" s="30">
        <v>9.8110465116279064E-2</v>
      </c>
      <c r="D143" s="28">
        <v>35488</v>
      </c>
      <c r="E143" s="14">
        <v>-1.2295772275560224E-2</v>
      </c>
      <c r="F143" s="14">
        <v>-1.4828990047509039E-2</v>
      </c>
      <c r="G143" s="14">
        <v>-7.6987352983322044E-3</v>
      </c>
      <c r="H143" s="14">
        <v>-7.8598110842937E-3</v>
      </c>
    </row>
    <row r="144" spans="2:8" x14ac:dyDescent="0.25">
      <c r="B144" s="29">
        <v>136</v>
      </c>
      <c r="C144" s="30">
        <v>9.8837209302325577E-2</v>
      </c>
      <c r="D144" s="28">
        <v>35489</v>
      </c>
      <c r="E144" s="14">
        <v>-1.2281736734074844E-2</v>
      </c>
      <c r="F144" s="14">
        <v>-1.4818864558455158E-2</v>
      </c>
      <c r="G144" s="14">
        <v>-7.6490818531875782E-3</v>
      </c>
      <c r="H144" s="14">
        <v>-7.8446742095619193E-3</v>
      </c>
    </row>
    <row r="145" spans="2:8" x14ac:dyDescent="0.25">
      <c r="B145" s="29">
        <v>137</v>
      </c>
      <c r="C145" s="30">
        <v>9.9563953488372089E-2</v>
      </c>
      <c r="D145" s="28">
        <v>35492</v>
      </c>
      <c r="E145" s="14">
        <v>-1.2257802948844709E-2</v>
      </c>
      <c r="F145" s="14">
        <v>-1.4813547416859585E-2</v>
      </c>
      <c r="G145" s="14">
        <v>-7.5651630690196647E-3</v>
      </c>
      <c r="H145" s="14">
        <v>-7.8267972427455753E-3</v>
      </c>
    </row>
    <row r="146" spans="2:8" x14ac:dyDescent="0.25">
      <c r="B146" s="29">
        <v>138</v>
      </c>
      <c r="C146" s="30">
        <v>0.1002906976744186</v>
      </c>
      <c r="D146" s="28">
        <v>35493</v>
      </c>
      <c r="E146" s="14">
        <v>-1.2256349675132894E-2</v>
      </c>
      <c r="F146" s="14">
        <v>-1.4666086788441057E-2</v>
      </c>
      <c r="G146" s="14">
        <v>-7.5560816499257166E-3</v>
      </c>
      <c r="H146" s="14">
        <v>-7.7654682760694765E-3</v>
      </c>
    </row>
    <row r="147" spans="2:8" x14ac:dyDescent="0.25">
      <c r="B147" s="29">
        <v>139</v>
      </c>
      <c r="C147" s="30">
        <v>0.10101744186046512</v>
      </c>
      <c r="D147" s="28">
        <v>35494</v>
      </c>
      <c r="E147" s="14">
        <v>-1.214569650199715E-2</v>
      </c>
      <c r="F147" s="14">
        <v>-1.453121482320352E-2</v>
      </c>
      <c r="G147" s="14">
        <v>-7.5425317201229802E-3</v>
      </c>
      <c r="H147" s="14">
        <v>-7.7649061824718096E-3</v>
      </c>
    </row>
    <row r="148" spans="2:8" x14ac:dyDescent="0.25">
      <c r="B148" s="29">
        <v>140</v>
      </c>
      <c r="C148" s="30">
        <v>0.10174418604651163</v>
      </c>
      <c r="D148" s="28">
        <v>35495</v>
      </c>
      <c r="E148" s="14">
        <v>-1.2123295519651744E-2</v>
      </c>
      <c r="F148" s="14">
        <v>-1.4408229201311351E-2</v>
      </c>
      <c r="G148" s="14">
        <v>-7.4442836106212162E-3</v>
      </c>
      <c r="H148" s="14">
        <v>-7.7360178707760689E-3</v>
      </c>
    </row>
    <row r="149" spans="2:8" x14ac:dyDescent="0.25">
      <c r="B149" s="29">
        <v>141</v>
      </c>
      <c r="C149" s="30">
        <v>0.10247093023255814</v>
      </c>
      <c r="D149" s="28">
        <v>35496</v>
      </c>
      <c r="E149" s="14">
        <v>-1.2052283143778597E-2</v>
      </c>
      <c r="F149" s="14">
        <v>-1.4397971270792009E-2</v>
      </c>
      <c r="G149" s="14">
        <v>-7.427263081476343E-3</v>
      </c>
      <c r="H149" s="14">
        <v>-7.7248483847024655E-3</v>
      </c>
    </row>
    <row r="150" spans="2:8" x14ac:dyDescent="0.25">
      <c r="B150" s="29">
        <v>142</v>
      </c>
      <c r="C150" s="30">
        <v>0.10319767441860465</v>
      </c>
      <c r="D150" s="28">
        <v>35499</v>
      </c>
      <c r="E150" s="14">
        <v>-1.2037294739771887E-2</v>
      </c>
      <c r="F150" s="14">
        <v>-1.4365432774766984E-2</v>
      </c>
      <c r="G150" s="14">
        <v>-7.4081857825880615E-3</v>
      </c>
      <c r="H150" s="14">
        <v>-7.6991032371489078E-3</v>
      </c>
    </row>
    <row r="151" spans="2:8" x14ac:dyDescent="0.25">
      <c r="B151" s="29">
        <v>143</v>
      </c>
      <c r="C151" s="30">
        <v>0.10392441860465117</v>
      </c>
      <c r="D151" s="28">
        <v>35500</v>
      </c>
      <c r="E151" s="14">
        <v>-1.1952989665680036E-2</v>
      </c>
      <c r="F151" s="14">
        <v>-1.4314765630088488E-2</v>
      </c>
      <c r="G151" s="14">
        <v>-7.3403864083118053E-3</v>
      </c>
      <c r="H151" s="14">
        <v>-7.6463856463585781E-3</v>
      </c>
    </row>
    <row r="152" spans="2:8" x14ac:dyDescent="0.25">
      <c r="B152" s="29">
        <v>144</v>
      </c>
      <c r="C152" s="30">
        <v>0.10465116279069768</v>
      </c>
      <c r="D152" s="28">
        <v>35501</v>
      </c>
      <c r="E152" s="14">
        <v>-1.1930926216640714E-2</v>
      </c>
      <c r="F152" s="14">
        <v>-1.4127707979971427E-2</v>
      </c>
      <c r="G152" s="14">
        <v>-7.3366487764044974E-3</v>
      </c>
      <c r="H152" s="14">
        <v>-7.619597927209433E-3</v>
      </c>
    </row>
    <row r="153" spans="2:8" x14ac:dyDescent="0.25">
      <c r="B153" s="29">
        <v>145</v>
      </c>
      <c r="C153" s="30">
        <v>0.10537790697674419</v>
      </c>
      <c r="D153" s="28">
        <v>35502</v>
      </c>
      <c r="E153" s="14">
        <v>-1.1900327406042188E-2</v>
      </c>
      <c r="F153" s="14">
        <v>-1.400755893469019E-2</v>
      </c>
      <c r="G153" s="14">
        <v>-7.3347650593533764E-3</v>
      </c>
      <c r="H153" s="14">
        <v>-7.6173519448882393E-3</v>
      </c>
    </row>
    <row r="154" spans="2:8" x14ac:dyDescent="0.25">
      <c r="B154" s="29">
        <v>146</v>
      </c>
      <c r="C154" s="30">
        <v>0.10610465116279069</v>
      </c>
      <c r="D154" s="28">
        <v>35503</v>
      </c>
      <c r="E154" s="14">
        <v>-1.1897420583282026E-2</v>
      </c>
      <c r="F154" s="14">
        <v>-1.4003590664272925E-2</v>
      </c>
      <c r="G154" s="14">
        <v>-7.3193046660567918E-3</v>
      </c>
      <c r="H154" s="14">
        <v>-7.5803672823764323E-3</v>
      </c>
    </row>
    <row r="155" spans="2:8" x14ac:dyDescent="0.25">
      <c r="B155" s="29">
        <v>147</v>
      </c>
      <c r="C155" s="30">
        <v>0.1068313953488372</v>
      </c>
      <c r="D155" s="28">
        <v>35506</v>
      </c>
      <c r="E155" s="14">
        <v>-1.1887298295310766E-2</v>
      </c>
      <c r="F155" s="14">
        <v>-1.3979137494296578E-2</v>
      </c>
      <c r="G155" s="14">
        <v>-7.2656941961846133E-3</v>
      </c>
      <c r="H155" s="14">
        <v>-7.5655058899326104E-3</v>
      </c>
    </row>
    <row r="156" spans="2:8" x14ac:dyDescent="0.25">
      <c r="B156" s="29">
        <v>148</v>
      </c>
      <c r="C156" s="30">
        <v>0.10755813953488372</v>
      </c>
      <c r="D156" s="28">
        <v>35507</v>
      </c>
      <c r="E156" s="14">
        <v>-1.1859237639627263E-2</v>
      </c>
      <c r="F156" s="14">
        <v>-1.3911765451182112E-2</v>
      </c>
      <c r="G156" s="14">
        <v>-7.2620757996569862E-3</v>
      </c>
      <c r="H156" s="14">
        <v>-7.5459459027976024E-3</v>
      </c>
    </row>
    <row r="157" spans="2:8" x14ac:dyDescent="0.25">
      <c r="B157" s="29">
        <v>149</v>
      </c>
      <c r="C157" s="30">
        <v>0.10828488372093023</v>
      </c>
      <c r="D157" s="28">
        <v>35508</v>
      </c>
      <c r="E157" s="14">
        <v>-1.1794732974979683E-2</v>
      </c>
      <c r="F157" s="14">
        <v>-1.3709598964296577E-2</v>
      </c>
      <c r="G157" s="14">
        <v>-7.205024658079151E-3</v>
      </c>
      <c r="H157" s="14">
        <v>-7.4527302627831029E-3</v>
      </c>
    </row>
    <row r="158" spans="2:8" x14ac:dyDescent="0.25">
      <c r="B158" s="29">
        <v>150</v>
      </c>
      <c r="C158" s="30">
        <v>0.10901162790697674</v>
      </c>
      <c r="D158" s="28">
        <v>35509</v>
      </c>
      <c r="E158" s="14">
        <v>-1.1783568682751544E-2</v>
      </c>
      <c r="F158" s="14">
        <v>-1.3655768567867765E-2</v>
      </c>
      <c r="G158" s="14">
        <v>-7.1721514437255163E-3</v>
      </c>
      <c r="H158" s="14">
        <v>-7.4472993257661104E-3</v>
      </c>
    </row>
    <row r="159" spans="2:8" x14ac:dyDescent="0.25">
      <c r="B159" s="29">
        <v>151</v>
      </c>
      <c r="C159" s="30">
        <v>0.10973837209302326</v>
      </c>
      <c r="D159" s="28">
        <v>35510</v>
      </c>
      <c r="E159" s="14">
        <v>-1.1758888534493028E-2</v>
      </c>
      <c r="F159" s="14">
        <v>-1.3439122621339061E-2</v>
      </c>
      <c r="G159" s="14">
        <v>-7.0785405714882677E-3</v>
      </c>
      <c r="H159" s="14">
        <v>-7.3699985818859396E-3</v>
      </c>
    </row>
    <row r="160" spans="2:8" x14ac:dyDescent="0.25">
      <c r="B160" s="29">
        <v>152</v>
      </c>
      <c r="C160" s="30">
        <v>0.11046511627906977</v>
      </c>
      <c r="D160" s="28">
        <v>35513</v>
      </c>
      <c r="E160" s="14">
        <v>-1.1750555398391316E-2</v>
      </c>
      <c r="F160" s="14">
        <v>-1.3336935882136802E-2</v>
      </c>
      <c r="G160" s="14">
        <v>-7.0764372185506685E-3</v>
      </c>
      <c r="H160" s="14">
        <v>-7.3434362816796397E-3</v>
      </c>
    </row>
    <row r="161" spans="2:8" x14ac:dyDescent="0.25">
      <c r="B161" s="29">
        <v>153</v>
      </c>
      <c r="C161" s="30">
        <v>0.11119186046511628</v>
      </c>
      <c r="D161" s="28">
        <v>35514</v>
      </c>
      <c r="E161" s="14">
        <v>-1.1737804878048652E-2</v>
      </c>
      <c r="F161" s="14">
        <v>-1.328219591238966E-2</v>
      </c>
      <c r="G161" s="14">
        <v>-7.0744680851064778E-3</v>
      </c>
      <c r="H161" s="14">
        <v>-7.2632787165298751E-3</v>
      </c>
    </row>
    <row r="162" spans="2:8" x14ac:dyDescent="0.25">
      <c r="B162" s="29">
        <v>154</v>
      </c>
      <c r="C162" s="30">
        <v>0.1119186046511628</v>
      </c>
      <c r="D162" s="28">
        <v>35515</v>
      </c>
      <c r="E162" s="14">
        <v>-1.1688895549228251E-2</v>
      </c>
      <c r="F162" s="14">
        <v>-1.3169000099294892E-2</v>
      </c>
      <c r="G162" s="14">
        <v>-7.0616659875364363E-3</v>
      </c>
      <c r="H162" s="14">
        <v>-7.2303948275110235E-3</v>
      </c>
    </row>
    <row r="163" spans="2:8" x14ac:dyDescent="0.25">
      <c r="B163" s="29">
        <v>155</v>
      </c>
      <c r="C163" s="30">
        <v>0.11264534883720931</v>
      </c>
      <c r="D163" s="28">
        <v>35516</v>
      </c>
      <c r="E163" s="14">
        <v>-1.1673233738595412E-2</v>
      </c>
      <c r="F163" s="14">
        <v>-1.3110022407048727E-2</v>
      </c>
      <c r="G163" s="14">
        <v>-7.0417485566144356E-3</v>
      </c>
      <c r="H163" s="14">
        <v>-7.2201415568680536E-3</v>
      </c>
    </row>
    <row r="164" spans="2:8" x14ac:dyDescent="0.25">
      <c r="B164" s="29">
        <v>156</v>
      </c>
      <c r="C164" s="30">
        <v>0.11337209302325581</v>
      </c>
      <c r="D164" s="28">
        <v>35517</v>
      </c>
      <c r="E164" s="14">
        <v>-1.1658715301956502E-2</v>
      </c>
      <c r="F164" s="14">
        <v>-1.3073102276714099E-2</v>
      </c>
      <c r="G164" s="14">
        <v>-6.9524307370621985E-3</v>
      </c>
      <c r="H164" s="14">
        <v>-7.2100403051015057E-3</v>
      </c>
    </row>
    <row r="165" spans="2:8" x14ac:dyDescent="0.25">
      <c r="B165" s="29">
        <v>157</v>
      </c>
      <c r="C165" s="30">
        <v>0.11409883720930232</v>
      </c>
      <c r="D165" s="28">
        <v>35520</v>
      </c>
      <c r="E165" s="14">
        <v>-1.1606157775639447E-2</v>
      </c>
      <c r="F165" s="14">
        <v>-1.3062568605927583E-2</v>
      </c>
      <c r="G165" s="14">
        <v>-6.9291338582677664E-3</v>
      </c>
      <c r="H165" s="14">
        <v>-7.1813009486479725E-3</v>
      </c>
    </row>
    <row r="166" spans="2:8" x14ac:dyDescent="0.25">
      <c r="B166" s="29">
        <v>158</v>
      </c>
      <c r="C166" s="30">
        <v>0.11482558139534883</v>
      </c>
      <c r="D166" s="28">
        <v>35521</v>
      </c>
      <c r="E166" s="14">
        <v>-1.1587351438914317E-2</v>
      </c>
      <c r="F166" s="14">
        <v>-1.2962657344755657E-2</v>
      </c>
      <c r="G166" s="14">
        <v>-6.922274014032892E-3</v>
      </c>
      <c r="H166" s="14">
        <v>-7.1684772659241771E-3</v>
      </c>
    </row>
    <row r="167" spans="2:8" x14ac:dyDescent="0.25">
      <c r="B167" s="29">
        <v>159</v>
      </c>
      <c r="C167" s="30">
        <v>0.11555232558139535</v>
      </c>
      <c r="D167" s="28">
        <v>35522</v>
      </c>
      <c r="E167" s="14">
        <v>-1.1526184108359927E-2</v>
      </c>
      <c r="F167" s="14">
        <v>-1.2957950920059913E-2</v>
      </c>
      <c r="G167" s="14">
        <v>-6.7756558435644321E-3</v>
      </c>
      <c r="H167" s="14">
        <v>-7.1495968497453655E-3</v>
      </c>
    </row>
    <row r="168" spans="2:8" x14ac:dyDescent="0.25">
      <c r="B168" s="29">
        <v>160</v>
      </c>
      <c r="C168" s="30">
        <v>0.11627906976744186</v>
      </c>
      <c r="D168" s="28">
        <v>35523</v>
      </c>
      <c r="E168" s="14">
        <v>-1.1508473218303172E-2</v>
      </c>
      <c r="F168" s="14">
        <v>-1.2881035878068547E-2</v>
      </c>
      <c r="G168" s="14">
        <v>-6.7100839051312811E-3</v>
      </c>
      <c r="H168" s="14">
        <v>-7.1316016014600254E-3</v>
      </c>
    </row>
    <row r="169" spans="2:8" x14ac:dyDescent="0.25">
      <c r="B169" s="29">
        <v>161</v>
      </c>
      <c r="C169" s="30">
        <v>0.11700581395348837</v>
      </c>
      <c r="D169" s="28">
        <v>35524</v>
      </c>
      <c r="E169" s="14">
        <v>-1.1497076598044553E-2</v>
      </c>
      <c r="F169" s="14">
        <v>-1.2744104433587089E-2</v>
      </c>
      <c r="G169" s="14">
        <v>-6.6566752616695757E-3</v>
      </c>
      <c r="H169" s="14">
        <v>-7.1100388169783365E-3</v>
      </c>
    </row>
    <row r="170" spans="2:8" x14ac:dyDescent="0.25">
      <c r="B170" s="29">
        <v>162</v>
      </c>
      <c r="C170" s="30">
        <v>0.11773255813953488</v>
      </c>
      <c r="D170" s="28">
        <v>35527</v>
      </c>
      <c r="E170" s="14">
        <v>-1.147353738072332E-2</v>
      </c>
      <c r="F170" s="14">
        <v>-1.269541645081862E-2</v>
      </c>
      <c r="G170" s="14">
        <v>-6.6256758189334741E-3</v>
      </c>
      <c r="H170" s="14">
        <v>-7.0416325094528002E-3</v>
      </c>
    </row>
    <row r="171" spans="2:8" x14ac:dyDescent="0.25">
      <c r="B171" s="29">
        <v>163</v>
      </c>
      <c r="C171" s="30">
        <v>0.1184593023255814</v>
      </c>
      <c r="D171" s="28">
        <v>35528</v>
      </c>
      <c r="E171" s="14">
        <v>-1.1469376606165649E-2</v>
      </c>
      <c r="F171" s="14">
        <v>-1.2613653875789721E-2</v>
      </c>
      <c r="G171" s="14">
        <v>-6.6100258499722786E-3</v>
      </c>
      <c r="H171" s="14">
        <v>-6.9858121416161772E-3</v>
      </c>
    </row>
    <row r="172" spans="2:8" x14ac:dyDescent="0.25">
      <c r="B172" s="29">
        <v>164</v>
      </c>
      <c r="C172" s="30">
        <v>0.11918604651162791</v>
      </c>
      <c r="D172" s="28">
        <v>35529</v>
      </c>
      <c r="E172" s="14">
        <v>-1.1422302529685013E-2</v>
      </c>
      <c r="F172" s="14">
        <v>-1.259164921823841E-2</v>
      </c>
      <c r="G172" s="14">
        <v>-6.5957383589640983E-3</v>
      </c>
      <c r="H172" s="14">
        <v>-6.918607726799442E-3</v>
      </c>
    </row>
    <row r="173" spans="2:8" x14ac:dyDescent="0.25">
      <c r="B173" s="29">
        <v>165</v>
      </c>
      <c r="C173" s="30">
        <v>0.11991279069767442</v>
      </c>
      <c r="D173" s="28">
        <v>35530</v>
      </c>
      <c r="E173" s="14">
        <v>-1.1421836749767489E-2</v>
      </c>
      <c r="F173" s="14">
        <v>-1.2545416249802543E-2</v>
      </c>
      <c r="G173" s="14">
        <v>-6.5773513132060257E-3</v>
      </c>
      <c r="H173" s="14">
        <v>-6.9092322412402495E-3</v>
      </c>
    </row>
    <row r="174" spans="2:8" x14ac:dyDescent="0.25">
      <c r="B174" s="29">
        <v>166</v>
      </c>
      <c r="C174" s="30">
        <v>0.12063953488372094</v>
      </c>
      <c r="D174" s="28">
        <v>35531</v>
      </c>
      <c r="E174" s="14">
        <v>-1.1326345003469074E-2</v>
      </c>
      <c r="F174" s="14">
        <v>-1.2529931024623853E-2</v>
      </c>
      <c r="G174" s="14">
        <v>-6.5551992707756357E-3</v>
      </c>
      <c r="H174" s="14">
        <v>-6.8641600857767496E-3</v>
      </c>
    </row>
    <row r="175" spans="2:8" x14ac:dyDescent="0.25">
      <c r="B175" s="29">
        <v>167</v>
      </c>
      <c r="C175" s="30">
        <v>0.12136627906976744</v>
      </c>
      <c r="D175" s="28">
        <v>35534</v>
      </c>
      <c r="E175" s="14">
        <v>-1.1203670700191681E-2</v>
      </c>
      <c r="F175" s="14">
        <v>-1.2461972025199719E-2</v>
      </c>
      <c r="G175" s="14">
        <v>-6.5440778799351618E-3</v>
      </c>
      <c r="H175" s="14">
        <v>-6.8339151993594754E-3</v>
      </c>
    </row>
    <row r="176" spans="2:8" x14ac:dyDescent="0.25">
      <c r="B176" s="29">
        <v>168</v>
      </c>
      <c r="C176" s="30">
        <v>0.12209302325581395</v>
      </c>
      <c r="D176" s="28">
        <v>35535</v>
      </c>
      <c r="E176" s="14">
        <v>-1.1174876618949225E-2</v>
      </c>
      <c r="F176" s="14">
        <v>-1.244167962674958E-2</v>
      </c>
      <c r="G176" s="14">
        <v>-6.5224854102299279E-3</v>
      </c>
      <c r="H176" s="14">
        <v>-6.8280232674987167E-3</v>
      </c>
    </row>
    <row r="177" spans="2:8" x14ac:dyDescent="0.25">
      <c r="B177" s="29">
        <v>169</v>
      </c>
      <c r="C177" s="30">
        <v>0.12281976744186046</v>
      </c>
      <c r="D177" s="28">
        <v>35536</v>
      </c>
      <c r="E177" s="14">
        <v>-1.1166253520421998E-2</v>
      </c>
      <c r="F177" s="14">
        <v>-1.2321276681923177E-2</v>
      </c>
      <c r="G177" s="14">
        <v>-6.4995274964455563E-3</v>
      </c>
      <c r="H177" s="14">
        <v>-6.8162149832127657E-3</v>
      </c>
    </row>
    <row r="178" spans="2:8" x14ac:dyDescent="0.25">
      <c r="B178" s="29">
        <v>170</v>
      </c>
      <c r="C178" s="30">
        <v>0.12354651162790697</v>
      </c>
      <c r="D178" s="28">
        <v>35537</v>
      </c>
      <c r="E178" s="14">
        <v>-1.1154881452791754E-2</v>
      </c>
      <c r="F178" s="14">
        <v>-1.2201360544217721E-2</v>
      </c>
      <c r="G178" s="14">
        <v>-6.4760972887204504E-3</v>
      </c>
      <c r="H178" s="14">
        <v>-6.7449088454417444E-3</v>
      </c>
    </row>
    <row r="179" spans="2:8" x14ac:dyDescent="0.25">
      <c r="B179" s="29">
        <v>171</v>
      </c>
      <c r="C179" s="30">
        <v>0.12427325581395349</v>
      </c>
      <c r="D179" s="28">
        <v>35538</v>
      </c>
      <c r="E179" s="14">
        <v>-1.1113053700903208E-2</v>
      </c>
      <c r="F179" s="14">
        <v>-1.216145578097938E-2</v>
      </c>
      <c r="G179" s="14">
        <v>-6.4651401367672445E-3</v>
      </c>
      <c r="H179" s="14">
        <v>-6.7422606719323326E-3</v>
      </c>
    </row>
    <row r="180" spans="2:8" x14ac:dyDescent="0.25">
      <c r="B180" s="29">
        <v>172</v>
      </c>
      <c r="C180" s="30">
        <v>0.125</v>
      </c>
      <c r="D180" s="28">
        <v>35541</v>
      </c>
      <c r="E180" s="14">
        <v>-1.1112142161184058E-2</v>
      </c>
      <c r="F180" s="14">
        <v>-1.2079459796313974E-2</v>
      </c>
      <c r="G180" s="14">
        <v>-6.445776320253338E-3</v>
      </c>
      <c r="H180" s="14">
        <v>-6.7270969524705357E-3</v>
      </c>
    </row>
    <row r="181" spans="2:8" x14ac:dyDescent="0.25">
      <c r="B181" s="29">
        <v>173</v>
      </c>
      <c r="C181" s="30">
        <v>0.12572674418604651</v>
      </c>
      <c r="D181" s="28">
        <v>35542</v>
      </c>
      <c r="E181" s="14">
        <v>-1.1074593411969147E-2</v>
      </c>
      <c r="F181" s="14">
        <v>-1.1997209245889873E-2</v>
      </c>
      <c r="G181" s="14">
        <v>-6.3844684929826867E-3</v>
      </c>
      <c r="H181" s="14">
        <v>-6.7223139704672983E-3</v>
      </c>
    </row>
    <row r="182" spans="2:8" x14ac:dyDescent="0.25">
      <c r="B182" s="29">
        <v>174</v>
      </c>
      <c r="C182" s="30">
        <v>0.12645348837209303</v>
      </c>
      <c r="D182" s="28">
        <v>35543</v>
      </c>
      <c r="E182" s="14">
        <v>-1.1065982067591351E-2</v>
      </c>
      <c r="F182" s="14">
        <v>-1.1926300631392439E-2</v>
      </c>
      <c r="G182" s="14">
        <v>-6.3470767325454203E-3</v>
      </c>
      <c r="H182" s="14">
        <v>-6.6700701646386085E-3</v>
      </c>
    </row>
    <row r="183" spans="2:8" x14ac:dyDescent="0.25">
      <c r="B183" s="29">
        <v>175</v>
      </c>
      <c r="C183" s="30">
        <v>0.12718023255813954</v>
      </c>
      <c r="D183" s="28">
        <v>35544</v>
      </c>
      <c r="E183" s="14">
        <v>-1.1039411867213023E-2</v>
      </c>
      <c r="F183" s="14">
        <v>-1.1815925207049327E-2</v>
      </c>
      <c r="G183" s="14">
        <v>-6.3449458065846231E-3</v>
      </c>
      <c r="H183" s="14">
        <v>-6.6438850693950622E-3</v>
      </c>
    </row>
    <row r="184" spans="2:8" x14ac:dyDescent="0.25">
      <c r="B184" s="29">
        <v>176</v>
      </c>
      <c r="C184" s="30">
        <v>0.12790697674418605</v>
      </c>
      <c r="D184" s="28">
        <v>35545</v>
      </c>
      <c r="E184" s="14">
        <v>-1.1032263068093795E-2</v>
      </c>
      <c r="F184" s="14">
        <v>-1.1725053230595917E-2</v>
      </c>
      <c r="G184" s="14">
        <v>-6.3434276573446358E-3</v>
      </c>
      <c r="H184" s="14">
        <v>-6.6177498157643736E-3</v>
      </c>
    </row>
    <row r="185" spans="2:8" x14ac:dyDescent="0.25">
      <c r="B185" s="29">
        <v>177</v>
      </c>
      <c r="C185" s="30">
        <v>0.12863372093023256</v>
      </c>
      <c r="D185" s="28">
        <v>35548</v>
      </c>
      <c r="E185" s="14">
        <v>-1.1021859404523604E-2</v>
      </c>
      <c r="F185" s="14">
        <v>-1.1588832009045036E-2</v>
      </c>
      <c r="G185" s="14">
        <v>-6.3362187712362461E-3</v>
      </c>
      <c r="H185" s="14">
        <v>-6.5883133625157745E-3</v>
      </c>
    </row>
    <row r="186" spans="2:8" x14ac:dyDescent="0.25">
      <c r="B186" s="29">
        <v>178</v>
      </c>
      <c r="C186" s="30">
        <v>0.12936046511627908</v>
      </c>
      <c r="D186" s="28">
        <v>35549</v>
      </c>
      <c r="E186" s="14">
        <v>-1.1019412923192529E-2</v>
      </c>
      <c r="F186" s="14">
        <v>-1.1579511270449427E-2</v>
      </c>
      <c r="G186" s="14">
        <v>-6.3313401336615449E-3</v>
      </c>
      <c r="H186" s="14">
        <v>-6.581746229738129E-3</v>
      </c>
    </row>
    <row r="187" spans="2:8" x14ac:dyDescent="0.25">
      <c r="B187" s="29">
        <v>179</v>
      </c>
      <c r="C187" s="30">
        <v>0.13008720930232559</v>
      </c>
      <c r="D187" s="28">
        <v>35550</v>
      </c>
      <c r="E187" s="14">
        <v>-1.1007620660457351E-2</v>
      </c>
      <c r="F187" s="14">
        <v>-1.147127957549221E-2</v>
      </c>
      <c r="G187" s="14">
        <v>-6.3116165040947303E-3</v>
      </c>
      <c r="H187" s="14">
        <v>-6.5703129536873748E-3</v>
      </c>
    </row>
    <row r="188" spans="2:8" x14ac:dyDescent="0.25">
      <c r="B188" s="29">
        <v>180</v>
      </c>
      <c r="C188" s="30">
        <v>0.1308139534883721</v>
      </c>
      <c r="D188" s="28">
        <v>35551</v>
      </c>
      <c r="E188" s="14">
        <v>-1.0947649980894147E-2</v>
      </c>
      <c r="F188" s="14">
        <v>-1.1346896524266459E-2</v>
      </c>
      <c r="G188" s="14">
        <v>-6.269593168704013E-3</v>
      </c>
      <c r="H188" s="14">
        <v>-6.5490359839040831E-3</v>
      </c>
    </row>
    <row r="189" spans="2:8" x14ac:dyDescent="0.25">
      <c r="B189" s="29">
        <v>181</v>
      </c>
      <c r="C189" s="30">
        <v>0.13154069767441862</v>
      </c>
      <c r="D189" s="28">
        <v>35552</v>
      </c>
      <c r="E189" s="14">
        <v>-1.0871818061914618E-2</v>
      </c>
      <c r="F189" s="14">
        <v>-1.1339399678840567E-2</v>
      </c>
      <c r="G189" s="14">
        <v>-6.2695924764889499E-3</v>
      </c>
      <c r="H189" s="14">
        <v>-6.4801362855845483E-3</v>
      </c>
    </row>
    <row r="190" spans="2:8" x14ac:dyDescent="0.25">
      <c r="B190" s="29">
        <v>182</v>
      </c>
      <c r="C190" s="30">
        <v>0.13226744186046513</v>
      </c>
      <c r="D190" s="28">
        <v>35555</v>
      </c>
      <c r="E190" s="14">
        <v>-1.0821542919491334E-2</v>
      </c>
      <c r="F190" s="14">
        <v>-1.1326272350090205E-2</v>
      </c>
      <c r="G190" s="14">
        <v>-6.2049544174502813E-3</v>
      </c>
      <c r="H190" s="14">
        <v>-6.4643726926128867E-3</v>
      </c>
    </row>
    <row r="191" spans="2:8" x14ac:dyDescent="0.25">
      <c r="B191" s="29">
        <v>183</v>
      </c>
      <c r="C191" s="30">
        <v>0.13299418604651161</v>
      </c>
      <c r="D191" s="28">
        <v>35556</v>
      </c>
      <c r="E191" s="14">
        <v>-1.0772338174473539E-2</v>
      </c>
      <c r="F191" s="14">
        <v>-1.131257500627969E-2</v>
      </c>
      <c r="G191" s="14">
        <v>-6.1998931052913431E-3</v>
      </c>
      <c r="H191" s="14">
        <v>-6.4344721468322817E-3</v>
      </c>
    </row>
    <row r="192" spans="2:8" x14ac:dyDescent="0.25">
      <c r="B192" s="29">
        <v>184</v>
      </c>
      <c r="C192" s="30">
        <v>0.13372093023255813</v>
      </c>
      <c r="D192" s="28">
        <v>35557</v>
      </c>
      <c r="E192" s="14">
        <v>-1.0727455581629242E-2</v>
      </c>
      <c r="F192" s="14">
        <v>-1.1214993123887296E-2</v>
      </c>
      <c r="G192" s="14">
        <v>-6.118709984544668E-3</v>
      </c>
      <c r="H192" s="14">
        <v>-6.4090374362986372E-3</v>
      </c>
    </row>
    <row r="193" spans="2:8" x14ac:dyDescent="0.25">
      <c r="B193" s="29">
        <v>185</v>
      </c>
      <c r="C193" s="30">
        <v>0.13444767441860464</v>
      </c>
      <c r="D193" s="28">
        <v>35558</v>
      </c>
      <c r="E193" s="14">
        <v>-1.0609559496318255E-2</v>
      </c>
      <c r="F193" s="14">
        <v>-1.1173959445037407E-2</v>
      </c>
      <c r="G193" s="14">
        <v>-6.101789937416946E-3</v>
      </c>
      <c r="H193" s="14">
        <v>-6.349970083807133E-3</v>
      </c>
    </row>
    <row r="194" spans="2:8" x14ac:dyDescent="0.25">
      <c r="B194" s="29">
        <v>186</v>
      </c>
      <c r="C194" s="30">
        <v>0.13517441860465115</v>
      </c>
      <c r="D194" s="28">
        <v>35559</v>
      </c>
      <c r="E194" s="14">
        <v>-1.0588801540189374E-2</v>
      </c>
      <c r="F194" s="14">
        <v>-1.1149279816790258E-2</v>
      </c>
      <c r="G194" s="14">
        <v>-6.0732669822660679E-3</v>
      </c>
      <c r="H194" s="14">
        <v>-6.309135687865508E-3</v>
      </c>
    </row>
    <row r="195" spans="2:8" x14ac:dyDescent="0.25">
      <c r="B195" s="29">
        <v>187</v>
      </c>
      <c r="C195" s="30">
        <v>0.13590116279069767</v>
      </c>
      <c r="D195" s="28">
        <v>35562</v>
      </c>
      <c r="E195" s="14">
        <v>-1.0473000242150254E-2</v>
      </c>
      <c r="F195" s="14">
        <v>-1.1146041726207478E-2</v>
      </c>
      <c r="G195" s="14">
        <v>-6.0731418094116529E-3</v>
      </c>
      <c r="H195" s="14">
        <v>-6.3029311116779459E-3</v>
      </c>
    </row>
    <row r="196" spans="2:8" x14ac:dyDescent="0.25">
      <c r="B196" s="29">
        <v>188</v>
      </c>
      <c r="C196" s="30">
        <v>0.13662790697674418</v>
      </c>
      <c r="D196" s="28">
        <v>35563</v>
      </c>
      <c r="E196" s="14">
        <v>-1.0467766232763132E-2</v>
      </c>
      <c r="F196" s="14">
        <v>-1.1134123889971925E-2</v>
      </c>
      <c r="G196" s="14">
        <v>-6.0586389700315602E-3</v>
      </c>
      <c r="H196" s="14">
        <v>-6.3004571676222648E-3</v>
      </c>
    </row>
    <row r="197" spans="2:8" x14ac:dyDescent="0.25">
      <c r="B197" s="29">
        <v>189</v>
      </c>
      <c r="C197" s="30">
        <v>0.13735465116279069</v>
      </c>
      <c r="D197" s="28">
        <v>35564</v>
      </c>
      <c r="E197" s="14">
        <v>-1.0443964115610438E-2</v>
      </c>
      <c r="F197" s="14">
        <v>-1.1089116776675123E-2</v>
      </c>
      <c r="G197" s="14">
        <v>-6.0401588942700091E-3</v>
      </c>
      <c r="H197" s="14">
        <v>-6.2800775351188783E-3</v>
      </c>
    </row>
    <row r="198" spans="2:8" x14ac:dyDescent="0.25">
      <c r="B198" s="29">
        <v>190</v>
      </c>
      <c r="C198" s="30">
        <v>0.1380813953488372</v>
      </c>
      <c r="D198" s="28">
        <v>35565</v>
      </c>
      <c r="E198" s="14">
        <v>-1.0427910562837317E-2</v>
      </c>
      <c r="F198" s="14">
        <v>-1.105516048433608E-2</v>
      </c>
      <c r="G198" s="14">
        <v>-5.9585827737091979E-3</v>
      </c>
      <c r="H198" s="14">
        <v>-6.2511195267652038E-3</v>
      </c>
    </row>
    <row r="199" spans="2:8" x14ac:dyDescent="0.25">
      <c r="B199" s="29">
        <v>191</v>
      </c>
      <c r="C199" s="30">
        <v>0.13880813953488372</v>
      </c>
      <c r="D199" s="28">
        <v>35566</v>
      </c>
      <c r="E199" s="14">
        <v>-1.0419904143424974E-2</v>
      </c>
      <c r="F199" s="14">
        <v>-1.102730753087533E-2</v>
      </c>
      <c r="G199" s="14">
        <v>-5.9362861125542565E-3</v>
      </c>
      <c r="H199" s="14">
        <v>-6.240509732325328E-3</v>
      </c>
    </row>
    <row r="200" spans="2:8" x14ac:dyDescent="0.25">
      <c r="B200" s="29">
        <v>192</v>
      </c>
      <c r="C200" s="30">
        <v>0.13953488372093023</v>
      </c>
      <c r="D200" s="28">
        <v>35569</v>
      </c>
      <c r="E200" s="14">
        <v>-1.0362635414747134E-2</v>
      </c>
      <c r="F200" s="14">
        <v>-1.0977344861551996E-2</v>
      </c>
      <c r="G200" s="14">
        <v>-5.9320506032790599E-3</v>
      </c>
      <c r="H200" s="14">
        <v>-6.2322003637555589E-3</v>
      </c>
    </row>
    <row r="201" spans="2:8" x14ac:dyDescent="0.25">
      <c r="B201" s="29">
        <v>193</v>
      </c>
      <c r="C201" s="30">
        <v>0.14026162790697674</v>
      </c>
      <c r="D201" s="28">
        <v>35570</v>
      </c>
      <c r="E201" s="14">
        <v>-1.0296970601402888E-2</v>
      </c>
      <c r="F201" s="14">
        <v>-1.0944274082690053E-2</v>
      </c>
      <c r="G201" s="14">
        <v>-5.929887797221256E-3</v>
      </c>
      <c r="H201" s="14">
        <v>-6.1310372071988976E-3</v>
      </c>
    </row>
    <row r="202" spans="2:8" x14ac:dyDescent="0.25">
      <c r="B202" s="29">
        <v>194</v>
      </c>
      <c r="C202" s="30">
        <v>0.14098837209302326</v>
      </c>
      <c r="D202" s="28">
        <v>35571</v>
      </c>
      <c r="E202" s="14">
        <v>-1.0284004736874963E-2</v>
      </c>
      <c r="F202" s="14">
        <v>-1.0882798104764446E-2</v>
      </c>
      <c r="G202" s="14">
        <v>-5.8605301360287188E-3</v>
      </c>
      <c r="H202" s="14">
        <v>-6.116786638703276E-3</v>
      </c>
    </row>
    <row r="203" spans="2:8" x14ac:dyDescent="0.25">
      <c r="B203" s="29">
        <v>195</v>
      </c>
      <c r="C203" s="30">
        <v>0.14171511627906977</v>
      </c>
      <c r="D203" s="28">
        <v>35572</v>
      </c>
      <c r="E203" s="14">
        <v>-1.026983070527665E-2</v>
      </c>
      <c r="F203" s="14">
        <v>-1.0862361761173056E-2</v>
      </c>
      <c r="G203" s="14">
        <v>-5.8443382972745983E-3</v>
      </c>
      <c r="H203" s="14">
        <v>-6.0828325721118187E-3</v>
      </c>
    </row>
    <row r="204" spans="2:8" x14ac:dyDescent="0.25">
      <c r="B204" s="29">
        <v>196</v>
      </c>
      <c r="C204" s="30">
        <v>0.14244186046511628</v>
      </c>
      <c r="D204" s="28">
        <v>35573</v>
      </c>
      <c r="E204" s="14">
        <v>-1.0226951280544849E-2</v>
      </c>
      <c r="F204" s="14">
        <v>-1.078614880673856E-2</v>
      </c>
      <c r="G204" s="14">
        <v>-5.8335388648411701E-3</v>
      </c>
      <c r="H204" s="14">
        <v>-6.0677034134525073E-3</v>
      </c>
    </row>
    <row r="205" spans="2:8" x14ac:dyDescent="0.25">
      <c r="B205" s="29">
        <v>197</v>
      </c>
      <c r="C205" s="30">
        <v>0.1431686046511628</v>
      </c>
      <c r="D205" s="28">
        <v>35576</v>
      </c>
      <c r="E205" s="14">
        <v>-1.0159298450866716E-2</v>
      </c>
      <c r="F205" s="14">
        <v>-1.0776146063631975E-2</v>
      </c>
      <c r="G205" s="14">
        <v>-5.8136405232275257E-3</v>
      </c>
      <c r="H205" s="14">
        <v>-6.0552427952663473E-3</v>
      </c>
    </row>
    <row r="206" spans="2:8" x14ac:dyDescent="0.25">
      <c r="B206" s="29">
        <v>198</v>
      </c>
      <c r="C206" s="30">
        <v>0.14389534883720931</v>
      </c>
      <c r="D206" s="28">
        <v>35577</v>
      </c>
      <c r="E206" s="14">
        <v>-1.0073988580677651E-2</v>
      </c>
      <c r="F206" s="14">
        <v>-1.0741864220134012E-2</v>
      </c>
      <c r="G206" s="14">
        <v>-5.8083252662148865E-3</v>
      </c>
      <c r="H206" s="14">
        <v>-6.0421265713224148E-3</v>
      </c>
    </row>
    <row r="207" spans="2:8" x14ac:dyDescent="0.25">
      <c r="B207" s="29">
        <v>199</v>
      </c>
      <c r="C207" s="30">
        <v>0.14462209302325582</v>
      </c>
      <c r="D207" s="28">
        <v>35578</v>
      </c>
      <c r="E207" s="14">
        <v>-1.0061668289516379E-2</v>
      </c>
      <c r="F207" s="14">
        <v>-1.0736180621654601E-2</v>
      </c>
      <c r="G207" s="14">
        <v>-5.7729568284147215E-3</v>
      </c>
      <c r="H207" s="14">
        <v>-5.9993118696712424E-3</v>
      </c>
    </row>
    <row r="208" spans="2:8" x14ac:dyDescent="0.25">
      <c r="B208" s="29">
        <v>200</v>
      </c>
      <c r="C208" s="30">
        <v>0.14534883720930233</v>
      </c>
      <c r="D208" s="28">
        <v>35579</v>
      </c>
      <c r="E208" s="14">
        <v>-1.0024583223490091E-2</v>
      </c>
      <c r="F208" s="14">
        <v>-1.070590500916524E-2</v>
      </c>
      <c r="G208" s="14">
        <v>-5.6819047004786905E-3</v>
      </c>
      <c r="H208" s="14">
        <v>-5.9979413350681248E-3</v>
      </c>
    </row>
    <row r="209" spans="2:8" x14ac:dyDescent="0.25">
      <c r="B209" s="29">
        <v>201</v>
      </c>
      <c r="C209" s="30">
        <v>0.14607558139534885</v>
      </c>
      <c r="D209" s="28">
        <v>35580</v>
      </c>
      <c r="E209" s="14">
        <v>-1.0013488812663396E-2</v>
      </c>
      <c r="F209" s="14">
        <v>-1.0605464299770051E-2</v>
      </c>
      <c r="G209" s="14">
        <v>-5.6707677584282301E-3</v>
      </c>
      <c r="H209" s="14">
        <v>-5.9895150441165342E-3</v>
      </c>
    </row>
    <row r="210" spans="2:8" x14ac:dyDescent="0.25">
      <c r="B210" s="29">
        <v>202</v>
      </c>
      <c r="C210" s="30">
        <v>0.14680232558139536</v>
      </c>
      <c r="D210" s="28">
        <v>35583</v>
      </c>
      <c r="E210" s="14">
        <v>-9.9953938303926071E-3</v>
      </c>
      <c r="F210" s="14">
        <v>-1.0584961873137844E-2</v>
      </c>
      <c r="G210" s="14">
        <v>-5.6245830996897173E-3</v>
      </c>
      <c r="H210" s="14">
        <v>-5.9435134801572266E-3</v>
      </c>
    </row>
    <row r="211" spans="2:8" x14ac:dyDescent="0.25">
      <c r="B211" s="29">
        <v>203</v>
      </c>
      <c r="C211" s="30">
        <v>0.14752906976744187</v>
      </c>
      <c r="D211" s="28">
        <v>35584</v>
      </c>
      <c r="E211" s="14">
        <v>-9.9511381241806918E-3</v>
      </c>
      <c r="F211" s="14">
        <v>-1.0552405829796108E-2</v>
      </c>
      <c r="G211" s="14">
        <v>-5.5995892331024422E-3</v>
      </c>
      <c r="H211" s="14">
        <v>-5.9332214831821616E-3</v>
      </c>
    </row>
    <row r="212" spans="2:8" x14ac:dyDescent="0.25">
      <c r="B212" s="29">
        <v>204</v>
      </c>
      <c r="C212" s="30">
        <v>0.14825581395348839</v>
      </c>
      <c r="D212" s="28">
        <v>35585</v>
      </c>
      <c r="E212" s="14">
        <v>-9.9485603934222899E-3</v>
      </c>
      <c r="F212" s="14">
        <v>-1.054950150707179E-2</v>
      </c>
      <c r="G212" s="14">
        <v>-5.5565857902842852E-3</v>
      </c>
      <c r="H212" s="14">
        <v>-5.9129576302475954E-3</v>
      </c>
    </row>
    <row r="213" spans="2:8" x14ac:dyDescent="0.25">
      <c r="B213" s="29">
        <v>205</v>
      </c>
      <c r="C213" s="30">
        <v>0.14898255813953487</v>
      </c>
      <c r="D213" s="28">
        <v>35586</v>
      </c>
      <c r="E213" s="14">
        <v>-9.9275139170895699E-3</v>
      </c>
      <c r="F213" s="14">
        <v>-1.0548704005235332E-2</v>
      </c>
      <c r="G213" s="14">
        <v>-5.5501285519418131E-3</v>
      </c>
      <c r="H213" s="14">
        <v>-5.8836673958998272E-3</v>
      </c>
    </row>
    <row r="214" spans="2:8" x14ac:dyDescent="0.25">
      <c r="B214" s="29">
        <v>206</v>
      </c>
      <c r="C214" s="30">
        <v>0.14970930232558138</v>
      </c>
      <c r="D214" s="28">
        <v>35587</v>
      </c>
      <c r="E214" s="14">
        <v>-9.8069030832323989E-3</v>
      </c>
      <c r="F214" s="14">
        <v>-1.0512736056214278E-2</v>
      </c>
      <c r="G214" s="14">
        <v>-5.5346208195949931E-3</v>
      </c>
      <c r="H214" s="14">
        <v>-5.8624146867079395E-3</v>
      </c>
    </row>
    <row r="215" spans="2:8" x14ac:dyDescent="0.25">
      <c r="B215" s="29">
        <v>207</v>
      </c>
      <c r="C215" s="30">
        <v>0.1504360465116279</v>
      </c>
      <c r="D215" s="28">
        <v>35590</v>
      </c>
      <c r="E215" s="14">
        <v>-9.7903714290974442E-3</v>
      </c>
      <c r="F215" s="14">
        <v>-1.04480520453899E-2</v>
      </c>
      <c r="G215" s="14">
        <v>-5.5338027590438044E-3</v>
      </c>
      <c r="H215" s="14">
        <v>-5.8185899353487619E-3</v>
      </c>
    </row>
    <row r="216" spans="2:8" x14ac:dyDescent="0.25">
      <c r="B216" s="29">
        <v>208</v>
      </c>
      <c r="C216" s="30">
        <v>0.15116279069767441</v>
      </c>
      <c r="D216" s="28">
        <v>35591</v>
      </c>
      <c r="E216" s="14">
        <v>-9.7138982056779177E-3</v>
      </c>
      <c r="F216" s="14">
        <v>-1.0432483609924992E-2</v>
      </c>
      <c r="G216" s="14">
        <v>-5.5262886065489125E-3</v>
      </c>
      <c r="H216" s="14">
        <v>-5.7945241979842528E-3</v>
      </c>
    </row>
    <row r="217" spans="2:8" x14ac:dyDescent="0.25">
      <c r="B217" s="29">
        <v>209</v>
      </c>
      <c r="C217" s="30">
        <v>0.15188953488372092</v>
      </c>
      <c r="D217" s="28">
        <v>35592</v>
      </c>
      <c r="E217" s="14">
        <v>-9.7126425224718371E-3</v>
      </c>
      <c r="F217" s="14">
        <v>-1.0283704540743566E-2</v>
      </c>
      <c r="G217" s="14">
        <v>-5.5056725006459306E-3</v>
      </c>
      <c r="H217" s="14">
        <v>-5.7526308814716213E-3</v>
      </c>
    </row>
    <row r="218" spans="2:8" x14ac:dyDescent="0.25">
      <c r="B218" s="29">
        <v>210</v>
      </c>
      <c r="C218" s="30">
        <v>0.15261627906976744</v>
      </c>
      <c r="D218" s="28">
        <v>35593</v>
      </c>
      <c r="E218" s="14">
        <v>-9.6053091163115223E-3</v>
      </c>
      <c r="F218" s="14">
        <v>-1.025641025641022E-2</v>
      </c>
      <c r="G218" s="14">
        <v>-5.460303592879967E-3</v>
      </c>
      <c r="H218" s="14">
        <v>-5.7290454486195854E-3</v>
      </c>
    </row>
    <row r="219" spans="2:8" x14ac:dyDescent="0.25">
      <c r="B219" s="29">
        <v>211</v>
      </c>
      <c r="C219" s="30">
        <v>0.15334302325581395</v>
      </c>
      <c r="D219" s="28">
        <v>35594</v>
      </c>
      <c r="E219" s="14">
        <v>-9.586488092857226E-3</v>
      </c>
      <c r="F219" s="14">
        <v>-1.0215344330179454E-2</v>
      </c>
      <c r="G219" s="14">
        <v>-5.438721727301532E-3</v>
      </c>
      <c r="H219" s="14">
        <v>-5.7106367033985536E-3</v>
      </c>
    </row>
    <row r="220" spans="2:8" x14ac:dyDescent="0.25">
      <c r="B220" s="29">
        <v>212</v>
      </c>
      <c r="C220" s="30">
        <v>0.15406976744186046</v>
      </c>
      <c r="D220" s="28">
        <v>35597</v>
      </c>
      <c r="E220" s="14">
        <v>-9.4803501005761293E-3</v>
      </c>
      <c r="F220" s="14">
        <v>-1.0169697542660727E-2</v>
      </c>
      <c r="G220" s="14">
        <v>-5.426957581127545E-3</v>
      </c>
      <c r="H220" s="14">
        <v>-5.7082194420584606E-3</v>
      </c>
    </row>
    <row r="221" spans="2:8" x14ac:dyDescent="0.25">
      <c r="B221" s="29">
        <v>213</v>
      </c>
      <c r="C221" s="30">
        <v>0.15479651162790697</v>
      </c>
      <c r="D221" s="28">
        <v>35598</v>
      </c>
      <c r="E221" s="14">
        <v>-9.4468386418086192E-3</v>
      </c>
      <c r="F221" s="14">
        <v>-1.0088031659092112E-2</v>
      </c>
      <c r="G221" s="14">
        <v>-5.4132910645774412E-3</v>
      </c>
      <c r="H221" s="14">
        <v>-5.6993096765412419E-3</v>
      </c>
    </row>
    <row r="222" spans="2:8" x14ac:dyDescent="0.25">
      <c r="B222" s="29">
        <v>214</v>
      </c>
      <c r="C222" s="30">
        <v>0.15552325581395349</v>
      </c>
      <c r="D222" s="28">
        <v>35599</v>
      </c>
      <c r="E222" s="14">
        <v>-9.4029149036199966E-3</v>
      </c>
      <c r="F222" s="14">
        <v>-9.9614051388341451E-3</v>
      </c>
      <c r="G222" s="14">
        <v>-5.4029460274128693E-3</v>
      </c>
      <c r="H222" s="14">
        <v>-5.6656264351377496E-3</v>
      </c>
    </row>
    <row r="223" spans="2:8" x14ac:dyDescent="0.25">
      <c r="B223" s="29">
        <v>215</v>
      </c>
      <c r="C223" s="30">
        <v>0.15625</v>
      </c>
      <c r="D223" s="28">
        <v>35600</v>
      </c>
      <c r="E223" s="14">
        <v>-9.3911554206651537E-3</v>
      </c>
      <c r="F223" s="14">
        <v>-9.9485010503536087E-3</v>
      </c>
      <c r="G223" s="14">
        <v>-5.3693402039260985E-3</v>
      </c>
      <c r="H223" s="14">
        <v>-5.6249778542484695E-3</v>
      </c>
    </row>
    <row r="224" spans="2:8" x14ac:dyDescent="0.25">
      <c r="B224" s="29">
        <v>216</v>
      </c>
      <c r="C224" s="30">
        <v>0.15697674418604651</v>
      </c>
      <c r="D224" s="28">
        <v>35601</v>
      </c>
      <c r="E224" s="14">
        <v>-9.3657558883702974E-3</v>
      </c>
      <c r="F224" s="14">
        <v>-9.8402208243755229E-3</v>
      </c>
      <c r="G224" s="14">
        <v>-5.3569414683658501E-3</v>
      </c>
      <c r="H224" s="14">
        <v>-5.6140593994171263E-3</v>
      </c>
    </row>
    <row r="225" spans="2:8" x14ac:dyDescent="0.25">
      <c r="B225" s="29">
        <v>217</v>
      </c>
      <c r="C225" s="30">
        <v>0.15770348837209303</v>
      </c>
      <c r="D225" s="28">
        <v>35604</v>
      </c>
      <c r="E225" s="14">
        <v>-9.3656199689555741E-3</v>
      </c>
      <c r="F225" s="14">
        <v>-9.8084780211012967E-3</v>
      </c>
      <c r="G225" s="14">
        <v>-5.3466157570675188E-3</v>
      </c>
      <c r="H225" s="14">
        <v>-5.5660507695021628E-3</v>
      </c>
    </row>
    <row r="226" spans="2:8" x14ac:dyDescent="0.25">
      <c r="B226" s="29">
        <v>218</v>
      </c>
      <c r="C226" s="30">
        <v>0.15843023255813954</v>
      </c>
      <c r="D226" s="28">
        <v>35605</v>
      </c>
      <c r="E226" s="14">
        <v>-9.3629854243183486E-3</v>
      </c>
      <c r="F226" s="14">
        <v>-9.7257227575980876E-3</v>
      </c>
      <c r="G226" s="14">
        <v>-5.3223266170639993E-3</v>
      </c>
      <c r="H226" s="14">
        <v>-5.554251784365638E-3</v>
      </c>
    </row>
    <row r="227" spans="2:8" x14ac:dyDescent="0.25">
      <c r="B227" s="29">
        <v>219</v>
      </c>
      <c r="C227" s="30">
        <v>0.15915697674418605</v>
      </c>
      <c r="D227" s="28">
        <v>35606</v>
      </c>
      <c r="E227" s="14">
        <v>-9.3629420498212435E-3</v>
      </c>
      <c r="F227" s="14">
        <v>-9.6944822828028965E-3</v>
      </c>
      <c r="G227" s="14">
        <v>-5.2998638171741774E-3</v>
      </c>
      <c r="H227" s="14">
        <v>-5.5301323597391604E-3</v>
      </c>
    </row>
    <row r="228" spans="2:8" x14ac:dyDescent="0.25">
      <c r="B228" s="29">
        <v>220</v>
      </c>
      <c r="C228" s="30">
        <v>0.15988372093023256</v>
      </c>
      <c r="D228" s="28">
        <v>35607</v>
      </c>
      <c r="E228" s="14">
        <v>-9.3551620447710482E-3</v>
      </c>
      <c r="F228" s="14">
        <v>-9.5955068513199349E-3</v>
      </c>
      <c r="G228" s="14">
        <v>-5.294200064516863E-3</v>
      </c>
      <c r="H228" s="14">
        <v>-5.5237116134285065E-3</v>
      </c>
    </row>
    <row r="229" spans="2:8" x14ac:dyDescent="0.25">
      <c r="B229" s="29">
        <v>221</v>
      </c>
      <c r="C229" s="30">
        <v>0.16061046511627908</v>
      </c>
      <c r="D229" s="28">
        <v>35608</v>
      </c>
      <c r="E229" s="14">
        <v>-9.2609299763405373E-3</v>
      </c>
      <c r="F229" s="14">
        <v>-9.589893415571149E-3</v>
      </c>
      <c r="G229" s="14">
        <v>-5.2925108126566922E-3</v>
      </c>
      <c r="H229" s="14">
        <v>-5.4766633808382087E-3</v>
      </c>
    </row>
    <row r="230" spans="2:8" x14ac:dyDescent="0.25">
      <c r="B230" s="29">
        <v>222</v>
      </c>
      <c r="C230" s="30">
        <v>0.16133720930232559</v>
      </c>
      <c r="D230" s="28">
        <v>35611</v>
      </c>
      <c r="E230" s="14">
        <v>-9.2259854064161706E-3</v>
      </c>
      <c r="F230" s="14">
        <v>-9.5490896716011742E-3</v>
      </c>
      <c r="G230" s="14">
        <v>-5.285965998380715E-3</v>
      </c>
      <c r="H230" s="14">
        <v>-5.4616563434527702E-3</v>
      </c>
    </row>
    <row r="231" spans="2:8" x14ac:dyDescent="0.25">
      <c r="B231" s="29">
        <v>223</v>
      </c>
      <c r="C231" s="30">
        <v>0.1620639534883721</v>
      </c>
      <c r="D231" s="28">
        <v>35612</v>
      </c>
      <c r="E231" s="14">
        <v>-9.175754609953013E-3</v>
      </c>
      <c r="F231" s="14">
        <v>-9.5480255305900874E-3</v>
      </c>
      <c r="G231" s="14">
        <v>-5.2819807427784138E-3</v>
      </c>
      <c r="H231" s="14">
        <v>-5.4434133748027637E-3</v>
      </c>
    </row>
    <row r="232" spans="2:8" x14ac:dyDescent="0.25">
      <c r="B232" s="29">
        <v>224</v>
      </c>
      <c r="C232" s="30">
        <v>0.16279069767441862</v>
      </c>
      <c r="D232" s="28">
        <v>35613</v>
      </c>
      <c r="E232" s="14">
        <v>-9.1717669088197118E-3</v>
      </c>
      <c r="F232" s="14">
        <v>-9.5194016977143692E-3</v>
      </c>
      <c r="G232" s="14">
        <v>-5.2734922861150668E-3</v>
      </c>
      <c r="H232" s="14">
        <v>-5.4426500475265099E-3</v>
      </c>
    </row>
    <row r="233" spans="2:8" x14ac:dyDescent="0.25">
      <c r="B233" s="29">
        <v>225</v>
      </c>
      <c r="C233" s="30">
        <v>0.16351744186046513</v>
      </c>
      <c r="D233" s="28">
        <v>35614</v>
      </c>
      <c r="E233" s="14">
        <v>-9.1383812010443766E-3</v>
      </c>
      <c r="F233" s="14">
        <v>-9.5072475841385673E-3</v>
      </c>
      <c r="G233" s="14">
        <v>-5.2698729683252621E-3</v>
      </c>
      <c r="H233" s="14">
        <v>-5.4357811654370371E-3</v>
      </c>
    </row>
    <row r="234" spans="2:8" x14ac:dyDescent="0.25">
      <c r="B234" s="29">
        <v>226</v>
      </c>
      <c r="C234" s="30">
        <v>0.16424418604651161</v>
      </c>
      <c r="D234" s="28">
        <v>35615</v>
      </c>
      <c r="E234" s="14">
        <v>-9.1106739828140659E-3</v>
      </c>
      <c r="F234" s="14">
        <v>-9.4906559179185335E-3</v>
      </c>
      <c r="G234" s="14">
        <v>-5.2695581678151582E-3</v>
      </c>
      <c r="H234" s="14">
        <v>-5.4061106904679255E-3</v>
      </c>
    </row>
    <row r="235" spans="2:8" x14ac:dyDescent="0.25">
      <c r="B235" s="29">
        <v>227</v>
      </c>
      <c r="C235" s="30">
        <v>0.16497093023255813</v>
      </c>
      <c r="D235" s="28">
        <v>35618</v>
      </c>
      <c r="E235" s="14">
        <v>-9.109981288627611E-3</v>
      </c>
      <c r="F235" s="14">
        <v>-9.4845360824741265E-3</v>
      </c>
      <c r="G235" s="14">
        <v>-5.26147142527289E-3</v>
      </c>
      <c r="H235" s="14">
        <v>-5.4038732546993103E-3</v>
      </c>
    </row>
    <row r="236" spans="2:8" x14ac:dyDescent="0.25">
      <c r="B236" s="29">
        <v>228</v>
      </c>
      <c r="C236" s="30">
        <v>0.16569767441860464</v>
      </c>
      <c r="D236" s="28">
        <v>35619</v>
      </c>
      <c r="E236" s="14">
        <v>-9.1083311608752826E-3</v>
      </c>
      <c r="F236" s="14">
        <v>-9.4740624534402906E-3</v>
      </c>
      <c r="G236" s="14">
        <v>-5.1889990202513836E-3</v>
      </c>
      <c r="H236" s="14">
        <v>-5.4029321294648989E-3</v>
      </c>
    </row>
    <row r="237" spans="2:8" x14ac:dyDescent="0.25">
      <c r="B237" s="29">
        <v>229</v>
      </c>
      <c r="C237" s="30">
        <v>0.16642441860465115</v>
      </c>
      <c r="D237" s="28">
        <v>35620</v>
      </c>
      <c r="E237" s="14">
        <v>-9.1063328832103885E-3</v>
      </c>
      <c r="F237" s="14">
        <v>-9.449977365323714E-3</v>
      </c>
      <c r="G237" s="14">
        <v>-5.1563539587493601E-3</v>
      </c>
      <c r="H237" s="14">
        <v>-5.3628084467008293E-3</v>
      </c>
    </row>
    <row r="238" spans="2:8" x14ac:dyDescent="0.25">
      <c r="B238" s="29">
        <v>230</v>
      </c>
      <c r="C238" s="30">
        <v>0.16715116279069767</v>
      </c>
      <c r="D238" s="28">
        <v>35621</v>
      </c>
      <c r="E238" s="14">
        <v>-9.0549069757850376E-3</v>
      </c>
      <c r="F238" s="14">
        <v>-9.4393359915371233E-3</v>
      </c>
      <c r="G238" s="14">
        <v>-5.1508569449447705E-3</v>
      </c>
      <c r="H238" s="14">
        <v>-5.3347243882891698E-3</v>
      </c>
    </row>
    <row r="239" spans="2:8" x14ac:dyDescent="0.25">
      <c r="B239" s="29">
        <v>231</v>
      </c>
      <c r="C239" s="30">
        <v>0.16787790697674418</v>
      </c>
      <c r="D239" s="28">
        <v>35622</v>
      </c>
      <c r="E239" s="14">
        <v>-9.0139050260485964E-3</v>
      </c>
      <c r="F239" s="14">
        <v>-9.4110828083768805E-3</v>
      </c>
      <c r="G239" s="14">
        <v>-5.1474530831099319E-3</v>
      </c>
      <c r="H239" s="14">
        <v>-5.247481150369015E-3</v>
      </c>
    </row>
    <row r="240" spans="2:8" x14ac:dyDescent="0.25">
      <c r="B240" s="29">
        <v>232</v>
      </c>
      <c r="C240" s="30">
        <v>0.16860465116279069</v>
      </c>
      <c r="D240" s="28">
        <v>35625</v>
      </c>
      <c r="E240" s="14">
        <v>-8.9982522625414729E-3</v>
      </c>
      <c r="F240" s="14">
        <v>-9.3973186317504176E-3</v>
      </c>
      <c r="G240" s="14">
        <v>-5.1383350323032095E-3</v>
      </c>
      <c r="H240" s="14">
        <v>-5.1802178134143341E-3</v>
      </c>
    </row>
    <row r="241" spans="2:8" x14ac:dyDescent="0.25">
      <c r="B241" s="29">
        <v>233</v>
      </c>
      <c r="C241" s="30">
        <v>0.1693313953488372</v>
      </c>
      <c r="D241" s="28">
        <v>35626</v>
      </c>
      <c r="E241" s="14">
        <v>-8.9659445748593303E-3</v>
      </c>
      <c r="F241" s="14">
        <v>-9.1795112711869908E-3</v>
      </c>
      <c r="G241" s="14">
        <v>-5.119590646592509E-3</v>
      </c>
      <c r="H241" s="14">
        <v>-5.1714179533808302E-3</v>
      </c>
    </row>
    <row r="242" spans="2:8" x14ac:dyDescent="0.25">
      <c r="B242" s="29">
        <v>234</v>
      </c>
      <c r="C242" s="30">
        <v>0.17005813953488372</v>
      </c>
      <c r="D242" s="28">
        <v>35627</v>
      </c>
      <c r="E242" s="14">
        <v>-8.940748598272541E-3</v>
      </c>
      <c r="F242" s="14">
        <v>-9.109880407737303E-3</v>
      </c>
      <c r="G242" s="14">
        <v>-5.0661726877100355E-3</v>
      </c>
      <c r="H242" s="14">
        <v>-5.143272553560463E-3</v>
      </c>
    </row>
    <row r="243" spans="2:8" x14ac:dyDescent="0.25">
      <c r="B243" s="29">
        <v>235</v>
      </c>
      <c r="C243" s="30">
        <v>0.17078488372093023</v>
      </c>
      <c r="D243" s="28">
        <v>35628</v>
      </c>
      <c r="E243" s="14">
        <v>-8.9377754031686463E-3</v>
      </c>
      <c r="F243" s="14">
        <v>-9.0597775252584389E-3</v>
      </c>
      <c r="G243" s="14">
        <v>-5.0380514411095811E-3</v>
      </c>
      <c r="H243" s="14">
        <v>-5.1396980563919621E-3</v>
      </c>
    </row>
    <row r="244" spans="2:8" x14ac:dyDescent="0.25">
      <c r="B244" s="29">
        <v>236</v>
      </c>
      <c r="C244" s="30">
        <v>0.17151162790697674</v>
      </c>
      <c r="D244" s="28">
        <v>35629</v>
      </c>
      <c r="E244" s="14">
        <v>-8.9302548353020761E-3</v>
      </c>
      <c r="F244" s="14">
        <v>-9.0539636812593249E-3</v>
      </c>
      <c r="G244" s="14">
        <v>-5.033994615246562E-3</v>
      </c>
      <c r="H244" s="14">
        <v>-5.0990292747520984E-3</v>
      </c>
    </row>
    <row r="245" spans="2:8" x14ac:dyDescent="0.25">
      <c r="B245" s="29">
        <v>237</v>
      </c>
      <c r="C245" s="30">
        <v>0.17223837209302326</v>
      </c>
      <c r="D245" s="28">
        <v>35632</v>
      </c>
      <c r="E245" s="14">
        <v>-8.9233757377062961E-3</v>
      </c>
      <c r="F245" s="14">
        <v>-9.0020187142040298E-3</v>
      </c>
      <c r="G245" s="14">
        <v>-5.0212006248604446E-3</v>
      </c>
      <c r="H245" s="14">
        <v>-5.0219028204617549E-3</v>
      </c>
    </row>
    <row r="246" spans="2:8" x14ac:dyDescent="0.25">
      <c r="B246" s="29">
        <v>238</v>
      </c>
      <c r="C246" s="30">
        <v>0.17296511627906977</v>
      </c>
      <c r="D246" s="28">
        <v>35633</v>
      </c>
      <c r="E246" s="14">
        <v>-8.7164668228969511E-3</v>
      </c>
      <c r="F246" s="14">
        <v>-8.9852524660611888E-3</v>
      </c>
      <c r="G246" s="14">
        <v>-4.9988628511969946E-3</v>
      </c>
      <c r="H246" s="14">
        <v>-5.0065864410560488E-3</v>
      </c>
    </row>
    <row r="247" spans="2:8" x14ac:dyDescent="0.25">
      <c r="B247" s="29">
        <v>239</v>
      </c>
      <c r="C247" s="30">
        <v>0.17369186046511628</v>
      </c>
      <c r="D247" s="28">
        <v>35634</v>
      </c>
      <c r="E247" s="14">
        <v>-8.6234844064060345E-3</v>
      </c>
      <c r="F247" s="14">
        <v>-8.9186642939390604E-3</v>
      </c>
      <c r="G247" s="14">
        <v>-4.9848329146621184E-3</v>
      </c>
      <c r="H247" s="14">
        <v>-4.9849655412901768E-3</v>
      </c>
    </row>
    <row r="248" spans="2:8" x14ac:dyDescent="0.25">
      <c r="B248" s="29">
        <v>240</v>
      </c>
      <c r="C248" s="30">
        <v>0.1744186046511628</v>
      </c>
      <c r="D248" s="28">
        <v>35635</v>
      </c>
      <c r="E248" s="14">
        <v>-8.5865458892575575E-3</v>
      </c>
      <c r="F248" s="14">
        <v>-8.8513195525468102E-3</v>
      </c>
      <c r="G248" s="14">
        <v>-4.9515845070423614E-3</v>
      </c>
      <c r="H248" s="14">
        <v>-4.9821417556795266E-3</v>
      </c>
    </row>
    <row r="249" spans="2:8" x14ac:dyDescent="0.25">
      <c r="B249" s="29">
        <v>241</v>
      </c>
      <c r="C249" s="30">
        <v>0.17514534883720931</v>
      </c>
      <c r="D249" s="28">
        <v>35636</v>
      </c>
      <c r="E249" s="14">
        <v>-8.5839765770562293E-3</v>
      </c>
      <c r="F249" s="14">
        <v>-8.7915362837132083E-3</v>
      </c>
      <c r="G249" s="14">
        <v>-4.936151947633749E-3</v>
      </c>
      <c r="H249" s="14">
        <v>-4.9142494137721657E-3</v>
      </c>
    </row>
    <row r="250" spans="2:8" x14ac:dyDescent="0.25">
      <c r="B250" s="29">
        <v>242</v>
      </c>
      <c r="C250" s="30">
        <v>0.17587209302325582</v>
      </c>
      <c r="D250" s="28">
        <v>35639</v>
      </c>
      <c r="E250" s="14">
        <v>-8.5643101837432623E-3</v>
      </c>
      <c r="F250" s="14">
        <v>-8.726304631843651E-3</v>
      </c>
      <c r="G250" s="14">
        <v>-4.8822634194277681E-3</v>
      </c>
      <c r="H250" s="14">
        <v>-4.9058174966968293E-3</v>
      </c>
    </row>
    <row r="251" spans="2:8" x14ac:dyDescent="0.25">
      <c r="B251" s="29">
        <v>243</v>
      </c>
      <c r="C251" s="30">
        <v>0.17659883720930233</v>
      </c>
      <c r="D251" s="28">
        <v>35640</v>
      </c>
      <c r="E251" s="14">
        <v>-8.5620750440695836E-3</v>
      </c>
      <c r="F251" s="14">
        <v>-8.7246844731434514E-3</v>
      </c>
      <c r="G251" s="14">
        <v>-4.8461337934410098E-3</v>
      </c>
      <c r="H251" s="14">
        <v>-4.8927574643536252E-3</v>
      </c>
    </row>
    <row r="252" spans="2:8" x14ac:dyDescent="0.25">
      <c r="B252" s="29">
        <v>244</v>
      </c>
      <c r="C252" s="30">
        <v>0.17732558139534885</v>
      </c>
      <c r="D252" s="28">
        <v>35641</v>
      </c>
      <c r="E252" s="14">
        <v>-8.543349088286134E-3</v>
      </c>
      <c r="F252" s="14">
        <v>-8.6530293120428148E-3</v>
      </c>
      <c r="G252" s="14">
        <v>-4.7925028065031183E-3</v>
      </c>
      <c r="H252" s="14">
        <v>-4.8795766437634393E-3</v>
      </c>
    </row>
    <row r="253" spans="2:8" x14ac:dyDescent="0.25">
      <c r="B253" s="29">
        <v>245</v>
      </c>
      <c r="C253" s="30">
        <v>0.17805232558139536</v>
      </c>
      <c r="D253" s="28">
        <v>35642</v>
      </c>
      <c r="E253" s="14">
        <v>-8.5135956910781241E-3</v>
      </c>
      <c r="F253" s="14">
        <v>-8.6488609583660336E-3</v>
      </c>
      <c r="G253" s="14">
        <v>-4.7871717594990537E-3</v>
      </c>
      <c r="H253" s="14">
        <v>-4.8608897674754514E-3</v>
      </c>
    </row>
    <row r="254" spans="2:8" x14ac:dyDescent="0.25">
      <c r="B254" s="29">
        <v>246</v>
      </c>
      <c r="C254" s="30">
        <v>0.17877906976744187</v>
      </c>
      <c r="D254" s="28">
        <v>35643</v>
      </c>
      <c r="E254" s="14">
        <v>-8.5034013605442826E-3</v>
      </c>
      <c r="F254" s="14">
        <v>-8.6234791612737061E-3</v>
      </c>
      <c r="G254" s="14">
        <v>-4.7769266872623728E-3</v>
      </c>
      <c r="H254" s="14">
        <v>-4.8493350066366233E-3</v>
      </c>
    </row>
    <row r="255" spans="2:8" x14ac:dyDescent="0.25">
      <c r="B255" s="29">
        <v>247</v>
      </c>
      <c r="C255" s="30">
        <v>0.17950581395348839</v>
      </c>
      <c r="D255" s="28">
        <v>35646</v>
      </c>
      <c r="E255" s="14">
        <v>-8.4782685019187953E-3</v>
      </c>
      <c r="F255" s="14">
        <v>-8.5868181734334303E-3</v>
      </c>
      <c r="G255" s="14">
        <v>-4.7663476685841921E-3</v>
      </c>
      <c r="H255" s="14">
        <v>-4.8482336233132365E-3</v>
      </c>
    </row>
    <row r="256" spans="2:8" x14ac:dyDescent="0.25">
      <c r="B256" s="29">
        <v>248</v>
      </c>
      <c r="C256" s="30">
        <v>0.18023255813953487</v>
      </c>
      <c r="D256" s="28">
        <v>35647</v>
      </c>
      <c r="E256" s="14">
        <v>-8.4692377686007569E-3</v>
      </c>
      <c r="F256" s="14">
        <v>-8.568305417314459E-3</v>
      </c>
      <c r="G256" s="14">
        <v>-4.7441545238900984E-3</v>
      </c>
      <c r="H256" s="14">
        <v>-4.8394958310643112E-3</v>
      </c>
    </row>
    <row r="257" spans="2:8" x14ac:dyDescent="0.25">
      <c r="B257" s="29">
        <v>249</v>
      </c>
      <c r="C257" s="30">
        <v>0.18095930232558138</v>
      </c>
      <c r="D257" s="28">
        <v>35648</v>
      </c>
      <c r="E257" s="14">
        <v>-8.3938074158733667E-3</v>
      </c>
      <c r="F257" s="14">
        <v>-8.5506899577251216E-3</v>
      </c>
      <c r="G257" s="14">
        <v>-4.7109984045496933E-3</v>
      </c>
      <c r="H257" s="14">
        <v>-4.8234730298526438E-3</v>
      </c>
    </row>
    <row r="258" spans="2:8" x14ac:dyDescent="0.25">
      <c r="B258" s="29">
        <v>250</v>
      </c>
      <c r="C258" s="30">
        <v>0.1816860465116279</v>
      </c>
      <c r="D258" s="28">
        <v>35649</v>
      </c>
      <c r="E258" s="14">
        <v>-8.3878891783750742E-3</v>
      </c>
      <c r="F258" s="14">
        <v>-8.5440123176748761E-3</v>
      </c>
      <c r="G258" s="14">
        <v>-4.6847660439126582E-3</v>
      </c>
      <c r="H258" s="14">
        <v>-4.7811026795778755E-3</v>
      </c>
    </row>
    <row r="259" spans="2:8" x14ac:dyDescent="0.25">
      <c r="B259" s="29">
        <v>251</v>
      </c>
      <c r="C259" s="30">
        <v>0.18241279069767441</v>
      </c>
      <c r="D259" s="28">
        <v>35650</v>
      </c>
      <c r="E259" s="14">
        <v>-8.3238154570309808E-3</v>
      </c>
      <c r="F259" s="14">
        <v>-8.5260628566747876E-3</v>
      </c>
      <c r="G259" s="14">
        <v>-4.6775258639665251E-3</v>
      </c>
      <c r="H259" s="14">
        <v>-4.71016763795995E-3</v>
      </c>
    </row>
    <row r="260" spans="2:8" x14ac:dyDescent="0.25">
      <c r="B260" s="29">
        <v>252</v>
      </c>
      <c r="C260" s="30">
        <v>0.18313953488372092</v>
      </c>
      <c r="D260" s="28">
        <v>35653</v>
      </c>
      <c r="E260" s="14">
        <v>-8.2995784078696566E-3</v>
      </c>
      <c r="F260" s="14">
        <v>-8.5211654755360522E-3</v>
      </c>
      <c r="G260" s="14">
        <v>-4.6531187877365543E-3</v>
      </c>
      <c r="H260" s="14">
        <v>-4.6825133049907212E-3</v>
      </c>
    </row>
    <row r="261" spans="2:8" x14ac:dyDescent="0.25">
      <c r="B261" s="29">
        <v>253</v>
      </c>
      <c r="C261" s="30">
        <v>0.18386627906976744</v>
      </c>
      <c r="D261" s="28">
        <v>35654</v>
      </c>
      <c r="E261" s="14">
        <v>-8.2955391469226036E-3</v>
      </c>
      <c r="F261" s="14">
        <v>-8.5184566560881914E-3</v>
      </c>
      <c r="G261" s="14">
        <v>-4.6279806277084168E-3</v>
      </c>
      <c r="H261" s="14">
        <v>-4.6592589578286613E-3</v>
      </c>
    </row>
    <row r="262" spans="2:8" x14ac:dyDescent="0.25">
      <c r="B262" s="29">
        <v>254</v>
      </c>
      <c r="C262" s="30">
        <v>0.18459302325581395</v>
      </c>
      <c r="D262" s="28">
        <v>35655</v>
      </c>
      <c r="E262" s="14">
        <v>-8.2859136884263496E-3</v>
      </c>
      <c r="F262" s="14">
        <v>-8.5145772388744989E-3</v>
      </c>
      <c r="G262" s="14">
        <v>-4.6178084424403076E-3</v>
      </c>
      <c r="H262" s="14">
        <v>-4.6244341679153372E-3</v>
      </c>
    </row>
    <row r="263" spans="2:8" x14ac:dyDescent="0.25">
      <c r="B263" s="29">
        <v>255</v>
      </c>
      <c r="C263" s="30">
        <v>0.18531976744186046</v>
      </c>
      <c r="D263" s="28">
        <v>35656</v>
      </c>
      <c r="E263" s="14">
        <v>-8.2645052339473946E-3</v>
      </c>
      <c r="F263" s="14">
        <v>-8.4470252849028205E-3</v>
      </c>
      <c r="G263" s="14">
        <v>-4.5854751794969228E-3</v>
      </c>
      <c r="H263" s="14">
        <v>-4.5949031325277509E-3</v>
      </c>
    </row>
    <row r="264" spans="2:8" x14ac:dyDescent="0.25">
      <c r="B264" s="29">
        <v>256</v>
      </c>
      <c r="C264" s="30">
        <v>0.18604651162790697</v>
      </c>
      <c r="D264" s="28">
        <v>35657</v>
      </c>
      <c r="E264" s="14">
        <v>-8.2364341085271464E-3</v>
      </c>
      <c r="F264" s="14">
        <v>-8.4231663496090459E-3</v>
      </c>
      <c r="G264" s="14">
        <v>-4.5809938865195576E-3</v>
      </c>
      <c r="H264" s="14">
        <v>-4.5920516807999691E-3</v>
      </c>
    </row>
    <row r="265" spans="2:8" x14ac:dyDescent="0.25">
      <c r="B265" s="29">
        <v>257</v>
      </c>
      <c r="C265" s="30">
        <v>0.18677325581395349</v>
      </c>
      <c r="D265" s="28">
        <v>35660</v>
      </c>
      <c r="E265" s="14">
        <v>-8.1597594994937683E-3</v>
      </c>
      <c r="F265" s="14">
        <v>-8.4216164742293431E-3</v>
      </c>
      <c r="G265" s="14">
        <v>-4.5800813198111356E-3</v>
      </c>
      <c r="H265" s="14">
        <v>-4.5912947775243124E-3</v>
      </c>
    </row>
    <row r="266" spans="2:8" x14ac:dyDescent="0.25">
      <c r="B266" s="29">
        <v>258</v>
      </c>
      <c r="C266" s="30">
        <v>0.1875</v>
      </c>
      <c r="D266" s="28">
        <v>35661</v>
      </c>
      <c r="E266" s="14">
        <v>-8.1375009506425844E-3</v>
      </c>
      <c r="F266" s="14">
        <v>-8.4089547602672621E-3</v>
      </c>
      <c r="G266" s="14">
        <v>-4.5774673014005174E-3</v>
      </c>
      <c r="H266" s="14">
        <v>-4.5598805634007094E-3</v>
      </c>
    </row>
    <row r="267" spans="2:8" x14ac:dyDescent="0.25">
      <c r="B267" s="29">
        <v>259</v>
      </c>
      <c r="C267" s="30">
        <v>0.18822674418604651</v>
      </c>
      <c r="D267" s="28">
        <v>35662</v>
      </c>
      <c r="E267" s="14">
        <v>-8.1294082585514627E-3</v>
      </c>
      <c r="F267" s="14">
        <v>-8.3559954464962338E-3</v>
      </c>
      <c r="G267" s="14">
        <v>-4.5562693978287161E-3</v>
      </c>
      <c r="H267" s="14">
        <v>-4.5592346628540621E-3</v>
      </c>
    </row>
    <row r="268" spans="2:8" x14ac:dyDescent="0.25">
      <c r="B268" s="29">
        <v>260</v>
      </c>
      <c r="C268" s="30">
        <v>0.18895348837209303</v>
      </c>
      <c r="D268" s="28">
        <v>35663</v>
      </c>
      <c r="E268" s="14">
        <v>-8.1218193403388428E-3</v>
      </c>
      <c r="F268" s="14">
        <v>-8.3504576872780456E-3</v>
      </c>
      <c r="G268" s="14">
        <v>-4.5508845781899732E-3</v>
      </c>
      <c r="H268" s="14">
        <v>-4.5053577363955988E-3</v>
      </c>
    </row>
    <row r="269" spans="2:8" x14ac:dyDescent="0.25">
      <c r="B269" s="29">
        <v>261</v>
      </c>
      <c r="C269" s="30">
        <v>0.18968023255813954</v>
      </c>
      <c r="D269" s="28">
        <v>35664</v>
      </c>
      <c r="E269" s="14">
        <v>-8.1208553494804825E-3</v>
      </c>
      <c r="F269" s="14">
        <v>-8.2889941139056011E-3</v>
      </c>
      <c r="G269" s="14">
        <v>-4.5429730600999862E-3</v>
      </c>
      <c r="H269" s="14">
        <v>-4.4996680806512314E-3</v>
      </c>
    </row>
    <row r="270" spans="2:8" x14ac:dyDescent="0.25">
      <c r="B270" s="29">
        <v>262</v>
      </c>
      <c r="C270" s="30">
        <v>0.19040697674418605</v>
      </c>
      <c r="D270" s="28">
        <v>35667</v>
      </c>
      <c r="E270" s="14">
        <v>-8.0648381043636475E-3</v>
      </c>
      <c r="F270" s="14">
        <v>-8.246887966805061E-3</v>
      </c>
      <c r="G270" s="14">
        <v>-4.5126418153217385E-3</v>
      </c>
      <c r="H270" s="14">
        <v>-4.4988338527762305E-3</v>
      </c>
    </row>
    <row r="271" spans="2:8" x14ac:dyDescent="0.25">
      <c r="B271" s="29">
        <v>263</v>
      </c>
      <c r="C271" s="30">
        <v>0.19113372093023256</v>
      </c>
      <c r="D271" s="28">
        <v>35668</v>
      </c>
      <c r="E271" s="14">
        <v>-8.0034994893990463E-3</v>
      </c>
      <c r="F271" s="14">
        <v>-8.2293885001520906E-3</v>
      </c>
      <c r="G271" s="14">
        <v>-4.4531837372043803E-3</v>
      </c>
      <c r="H271" s="14">
        <v>-4.4729926640857849E-3</v>
      </c>
    </row>
    <row r="272" spans="2:8" x14ac:dyDescent="0.25">
      <c r="B272" s="29">
        <v>264</v>
      </c>
      <c r="C272" s="30">
        <v>0.19186046511627908</v>
      </c>
      <c r="D272" s="28">
        <v>35669</v>
      </c>
      <c r="E272" s="14">
        <v>-7.9623582681469518E-3</v>
      </c>
      <c r="F272" s="14">
        <v>-8.2138662849280397E-3</v>
      </c>
      <c r="G272" s="14">
        <v>-4.4482111206480823E-3</v>
      </c>
      <c r="H272" s="14">
        <v>-4.4567660003823617E-3</v>
      </c>
    </row>
    <row r="273" spans="2:8" x14ac:dyDescent="0.25">
      <c r="B273" s="29">
        <v>265</v>
      </c>
      <c r="C273" s="30">
        <v>0.19258720930232559</v>
      </c>
      <c r="D273" s="28">
        <v>35670</v>
      </c>
      <c r="E273" s="14">
        <v>-7.9547586132824311E-3</v>
      </c>
      <c r="F273" s="14">
        <v>-8.2074734601131905E-3</v>
      </c>
      <c r="G273" s="14">
        <v>-4.4154983993817121E-3</v>
      </c>
      <c r="H273" s="14">
        <v>-4.4022396271428564E-3</v>
      </c>
    </row>
    <row r="274" spans="2:8" x14ac:dyDescent="0.25">
      <c r="B274" s="29">
        <v>266</v>
      </c>
      <c r="C274" s="30">
        <v>0.1933139534883721</v>
      </c>
      <c r="D274" s="28">
        <v>35671</v>
      </c>
      <c r="E274" s="14">
        <v>-7.9267745585094307E-3</v>
      </c>
      <c r="F274" s="14">
        <v>-8.2000133877769832E-3</v>
      </c>
      <c r="G274" s="14">
        <v>-4.4073737373941935E-3</v>
      </c>
      <c r="H274" s="14">
        <v>-4.4016145555715097E-3</v>
      </c>
    </row>
    <row r="275" spans="2:8" x14ac:dyDescent="0.25">
      <c r="B275" s="29">
        <v>267</v>
      </c>
      <c r="C275" s="30">
        <v>0.19404069767441862</v>
      </c>
      <c r="D275" s="28">
        <v>35674</v>
      </c>
      <c r="E275" s="14">
        <v>-7.8141286151767186E-3</v>
      </c>
      <c r="F275" s="14">
        <v>-8.1681471433364683E-3</v>
      </c>
      <c r="G275" s="14">
        <v>-4.3758596618451717E-3</v>
      </c>
      <c r="H275" s="14">
        <v>-4.3869674134872309E-3</v>
      </c>
    </row>
    <row r="276" spans="2:8" x14ac:dyDescent="0.25">
      <c r="B276" s="29">
        <v>268</v>
      </c>
      <c r="C276" s="30">
        <v>0.19476744186046513</v>
      </c>
      <c r="D276" s="28">
        <v>35675</v>
      </c>
      <c r="E276" s="14">
        <v>-7.8041838874280955E-3</v>
      </c>
      <c r="F276" s="14">
        <v>-8.0718287509310427E-3</v>
      </c>
      <c r="G276" s="14">
        <v>-4.3670365803535338E-3</v>
      </c>
      <c r="H276" s="14">
        <v>-4.3755880938068266E-3</v>
      </c>
    </row>
    <row r="277" spans="2:8" x14ac:dyDescent="0.25">
      <c r="B277" s="29">
        <v>269</v>
      </c>
      <c r="C277" s="30">
        <v>0.19549418604651161</v>
      </c>
      <c r="D277" s="28">
        <v>35676</v>
      </c>
      <c r="E277" s="14">
        <v>-7.8027910767038966E-3</v>
      </c>
      <c r="F277" s="14">
        <v>-8.0036258382175651E-3</v>
      </c>
      <c r="G277" s="14">
        <v>-4.3664924811779304E-3</v>
      </c>
      <c r="H277" s="14">
        <v>-4.363351771300406E-3</v>
      </c>
    </row>
    <row r="278" spans="2:8" x14ac:dyDescent="0.25">
      <c r="B278" s="29">
        <v>270</v>
      </c>
      <c r="C278" s="30">
        <v>0.19622093023255813</v>
      </c>
      <c r="D278" s="28">
        <v>35677</v>
      </c>
      <c r="E278" s="14">
        <v>-7.7891513455089489E-3</v>
      </c>
      <c r="F278" s="14">
        <v>-7.9603515225833421E-3</v>
      </c>
      <c r="G278" s="14">
        <v>-4.2903917805127145E-3</v>
      </c>
      <c r="H278" s="14">
        <v>-4.3112099427933259E-3</v>
      </c>
    </row>
    <row r="279" spans="2:8" x14ac:dyDescent="0.25">
      <c r="B279" s="29">
        <v>271</v>
      </c>
      <c r="C279" s="30">
        <v>0.19694767441860464</v>
      </c>
      <c r="D279" s="28">
        <v>35678</v>
      </c>
      <c r="E279" s="14">
        <v>-7.7657821845055208E-3</v>
      </c>
      <c r="F279" s="14">
        <v>-7.9561285542876226E-3</v>
      </c>
      <c r="G279" s="14">
        <v>-4.1749970598611297E-3</v>
      </c>
      <c r="H279" s="14">
        <v>-4.2811927683664482E-3</v>
      </c>
    </row>
    <row r="280" spans="2:8" x14ac:dyDescent="0.25">
      <c r="B280" s="29">
        <v>272</v>
      </c>
      <c r="C280" s="30">
        <v>0.19767441860465115</v>
      </c>
      <c r="D280" s="28">
        <v>35681</v>
      </c>
      <c r="E280" s="14">
        <v>-7.7635973546260617E-3</v>
      </c>
      <c r="F280" s="14">
        <v>-7.9242347989201267E-3</v>
      </c>
      <c r="G280" s="14">
        <v>-4.1522491349481605E-3</v>
      </c>
      <c r="H280" s="14">
        <v>-4.251782441071961E-3</v>
      </c>
    </row>
    <row r="281" spans="2:8" x14ac:dyDescent="0.25">
      <c r="B281" s="29">
        <v>273</v>
      </c>
      <c r="C281" s="30">
        <v>0.19840116279069767</v>
      </c>
      <c r="D281" s="28">
        <v>35682</v>
      </c>
      <c r="E281" s="14">
        <v>-7.7172203201628653E-3</v>
      </c>
      <c r="F281" s="14">
        <v>-7.9054303657185576E-3</v>
      </c>
      <c r="G281" s="14">
        <v>-4.1341035224827793E-3</v>
      </c>
      <c r="H281" s="14">
        <v>-4.2124473044765189E-3</v>
      </c>
    </row>
    <row r="282" spans="2:8" x14ac:dyDescent="0.25">
      <c r="B282" s="29">
        <v>274</v>
      </c>
      <c r="C282" s="30">
        <v>0.19912790697674418</v>
      </c>
      <c r="D282" s="28">
        <v>35683</v>
      </c>
      <c r="E282" s="14">
        <v>-7.7079658703965714E-3</v>
      </c>
      <c r="F282" s="14">
        <v>-7.8862452635666269E-3</v>
      </c>
      <c r="G282" s="14">
        <v>-4.1234040439168673E-3</v>
      </c>
      <c r="H282" s="14">
        <v>-4.2044246216199621E-3</v>
      </c>
    </row>
    <row r="283" spans="2:8" x14ac:dyDescent="0.25">
      <c r="B283" s="29">
        <v>275</v>
      </c>
      <c r="C283" s="30">
        <v>0.19985465116279069</v>
      </c>
      <c r="D283" s="28">
        <v>35684</v>
      </c>
      <c r="E283" s="14">
        <v>-7.7015347444595594E-3</v>
      </c>
      <c r="F283" s="14">
        <v>-7.8447680401471098E-3</v>
      </c>
      <c r="G283" s="14">
        <v>-4.0914298183406528E-3</v>
      </c>
      <c r="H283" s="14">
        <v>-4.1671344173464415E-3</v>
      </c>
    </row>
    <row r="284" spans="2:8" x14ac:dyDescent="0.25">
      <c r="B284" s="29">
        <v>276</v>
      </c>
      <c r="C284" s="30">
        <v>0.2005813953488372</v>
      </c>
      <c r="D284" s="28">
        <v>35685</v>
      </c>
      <c r="E284" s="14">
        <v>-7.696951403561636E-3</v>
      </c>
      <c r="F284" s="14">
        <v>-7.8418255472554321E-3</v>
      </c>
      <c r="G284" s="14">
        <v>-4.0819659887607607E-3</v>
      </c>
      <c r="H284" s="14">
        <v>-4.1553479228325198E-3</v>
      </c>
    </row>
    <row r="285" spans="2:8" x14ac:dyDescent="0.25">
      <c r="B285" s="29">
        <v>277</v>
      </c>
      <c r="C285" s="30">
        <v>0.20130813953488372</v>
      </c>
      <c r="D285" s="28">
        <v>35688</v>
      </c>
      <c r="E285" s="14">
        <v>-7.6425110127698037E-3</v>
      </c>
      <c r="F285" s="14">
        <v>-7.8411976126883109E-3</v>
      </c>
      <c r="G285" s="14">
        <v>-4.0798170082571028E-3</v>
      </c>
      <c r="H285" s="14">
        <v>-4.1243385247139224E-3</v>
      </c>
    </row>
    <row r="286" spans="2:8" x14ac:dyDescent="0.25">
      <c r="B286" s="29">
        <v>278</v>
      </c>
      <c r="C286" s="30">
        <v>0.20203488372093023</v>
      </c>
      <c r="D286" s="28">
        <v>35689</v>
      </c>
      <c r="E286" s="14">
        <v>-7.63931964349851E-3</v>
      </c>
      <c r="F286" s="14">
        <v>-7.8262057084028669E-3</v>
      </c>
      <c r="G286" s="14">
        <v>-4.0528022232515504E-3</v>
      </c>
      <c r="H286" s="14">
        <v>-4.1158689860981042E-3</v>
      </c>
    </row>
    <row r="287" spans="2:8" x14ac:dyDescent="0.25">
      <c r="B287" s="29">
        <v>279</v>
      </c>
      <c r="C287" s="30">
        <v>0.20276162790697674</v>
      </c>
      <c r="D287" s="28">
        <v>35690</v>
      </c>
      <c r="E287" s="14">
        <v>-7.6282577199014989E-3</v>
      </c>
      <c r="F287" s="14">
        <v>-7.7940980835596863E-3</v>
      </c>
      <c r="G287" s="14">
        <v>-4.0277027358908146E-3</v>
      </c>
      <c r="H287" s="14">
        <v>-4.1129836862036535E-3</v>
      </c>
    </row>
    <row r="288" spans="2:8" x14ac:dyDescent="0.25">
      <c r="B288" s="29">
        <v>280</v>
      </c>
      <c r="C288" s="30">
        <v>0.20348837209302326</v>
      </c>
      <c r="D288" s="28">
        <v>35691</v>
      </c>
      <c r="E288" s="14">
        <v>-7.6058201058201158E-3</v>
      </c>
      <c r="F288" s="14">
        <v>-7.7902758566693597E-3</v>
      </c>
      <c r="G288" s="14">
        <v>-4.0268456375838202E-3</v>
      </c>
      <c r="H288" s="14">
        <v>-4.0796621235607237E-3</v>
      </c>
    </row>
    <row r="289" spans="2:8" x14ac:dyDescent="0.25">
      <c r="B289" s="29">
        <v>281</v>
      </c>
      <c r="C289" s="30">
        <v>0.20421511627906977</v>
      </c>
      <c r="D289" s="28">
        <v>35692</v>
      </c>
      <c r="E289" s="14">
        <v>-7.592751151980659E-3</v>
      </c>
      <c r="F289" s="14">
        <v>-7.7595200834637001E-3</v>
      </c>
      <c r="G289" s="14">
        <v>-3.9864285626669549E-3</v>
      </c>
      <c r="H289" s="14">
        <v>-4.056349640833368E-3</v>
      </c>
    </row>
    <row r="290" spans="2:8" x14ac:dyDescent="0.25">
      <c r="B290" s="29">
        <v>282</v>
      </c>
      <c r="C290" s="30">
        <v>0.20494186046511628</v>
      </c>
      <c r="D290" s="28">
        <v>35695</v>
      </c>
      <c r="E290" s="14">
        <v>-7.5868863789126939E-3</v>
      </c>
      <c r="F290" s="14">
        <v>-7.7324431477485689E-3</v>
      </c>
      <c r="G290" s="14">
        <v>-3.9733619140743803E-3</v>
      </c>
      <c r="H290" s="14">
        <v>-4.0520916464853677E-3</v>
      </c>
    </row>
    <row r="291" spans="2:8" x14ac:dyDescent="0.25">
      <c r="B291" s="29">
        <v>283</v>
      </c>
      <c r="C291" s="30">
        <v>0.2056686046511628</v>
      </c>
      <c r="D291" s="28">
        <v>35696</v>
      </c>
      <c r="E291" s="14">
        <v>-7.5753689358573073E-3</v>
      </c>
      <c r="F291" s="14">
        <v>-7.6765285996055477E-3</v>
      </c>
      <c r="G291" s="14">
        <v>-3.9434006031083824E-3</v>
      </c>
      <c r="H291" s="14">
        <v>-4.0492385806626171E-3</v>
      </c>
    </row>
    <row r="292" spans="2:8" x14ac:dyDescent="0.25">
      <c r="B292" s="29">
        <v>284</v>
      </c>
      <c r="C292" s="30">
        <v>0.20639534883720931</v>
      </c>
      <c r="D292" s="28">
        <v>35697</v>
      </c>
      <c r="E292" s="14">
        <v>-7.5711435778149649E-3</v>
      </c>
      <c r="F292" s="14">
        <v>-7.6032725490443598E-3</v>
      </c>
      <c r="G292" s="14">
        <v>-3.932900356989677E-3</v>
      </c>
      <c r="H292" s="14">
        <v>-4.0138282696180914E-3</v>
      </c>
    </row>
    <row r="293" spans="2:8" x14ac:dyDescent="0.25">
      <c r="B293" s="29">
        <v>285</v>
      </c>
      <c r="C293" s="30">
        <v>0.20712209302325582</v>
      </c>
      <c r="D293" s="28">
        <v>35698</v>
      </c>
      <c r="E293" s="14">
        <v>-7.5164274978023471E-3</v>
      </c>
      <c r="F293" s="14">
        <v>-7.5766025589955044E-3</v>
      </c>
      <c r="G293" s="14">
        <v>-3.9271878875621891E-3</v>
      </c>
      <c r="H293" s="14">
        <v>-3.9788143394283047E-3</v>
      </c>
    </row>
    <row r="294" spans="2:8" x14ac:dyDescent="0.25">
      <c r="B294" s="29">
        <v>286</v>
      </c>
      <c r="C294" s="30">
        <v>0.20784883720930233</v>
      </c>
      <c r="D294" s="28">
        <v>35699</v>
      </c>
      <c r="E294" s="14">
        <v>-7.4505598344967172E-3</v>
      </c>
      <c r="F294" s="14">
        <v>-7.5339090744054316E-3</v>
      </c>
      <c r="G294" s="14">
        <v>-3.9220297900358636E-3</v>
      </c>
      <c r="H294" s="14">
        <v>-3.9541145776615045E-3</v>
      </c>
    </row>
    <row r="295" spans="2:8" x14ac:dyDescent="0.25">
      <c r="B295" s="29">
        <v>287</v>
      </c>
      <c r="C295" s="30">
        <v>0.20857558139534885</v>
      </c>
      <c r="D295" s="28">
        <v>35702</v>
      </c>
      <c r="E295" s="14">
        <v>-7.4496593111101905E-3</v>
      </c>
      <c r="F295" s="14">
        <v>-7.526567425934827E-3</v>
      </c>
      <c r="G295" s="14">
        <v>-3.9203050319532862E-3</v>
      </c>
      <c r="H295" s="14">
        <v>-3.9477684882048168E-3</v>
      </c>
    </row>
    <row r="296" spans="2:8" x14ac:dyDescent="0.25">
      <c r="B296" s="29">
        <v>288</v>
      </c>
      <c r="C296" s="30">
        <v>0.20930232558139536</v>
      </c>
      <c r="D296" s="28">
        <v>35703</v>
      </c>
      <c r="E296" s="14">
        <v>-7.4226341460038592E-3</v>
      </c>
      <c r="F296" s="14">
        <v>-7.5157006074333399E-3</v>
      </c>
      <c r="G296" s="14">
        <v>-3.9186134657545058E-3</v>
      </c>
      <c r="H296" s="14">
        <v>-3.9115534897482982E-3</v>
      </c>
    </row>
    <row r="297" spans="2:8" x14ac:dyDescent="0.25">
      <c r="B297" s="29">
        <v>289</v>
      </c>
      <c r="C297" s="30">
        <v>0.21002906976744187</v>
      </c>
      <c r="D297" s="28">
        <v>35704</v>
      </c>
      <c r="E297" s="14">
        <v>-7.412894596635855E-3</v>
      </c>
      <c r="F297" s="14">
        <v>-7.4924813211916241E-3</v>
      </c>
      <c r="G297" s="14">
        <v>-3.918128654970765E-3</v>
      </c>
      <c r="H297" s="14">
        <v>-3.893470941613875E-3</v>
      </c>
    </row>
    <row r="298" spans="2:8" x14ac:dyDescent="0.25">
      <c r="B298" s="29">
        <v>290</v>
      </c>
      <c r="C298" s="30">
        <v>0.21075581395348839</v>
      </c>
      <c r="D298" s="28">
        <v>35705</v>
      </c>
      <c r="E298" s="14">
        <v>-7.402049798405641E-3</v>
      </c>
      <c r="F298" s="14">
        <v>-7.4636280935210797E-3</v>
      </c>
      <c r="G298" s="14">
        <v>-3.9117133913014746E-3</v>
      </c>
      <c r="H298" s="14">
        <v>-3.8924731515070036E-3</v>
      </c>
    </row>
    <row r="299" spans="2:8" x14ac:dyDescent="0.25">
      <c r="B299" s="29">
        <v>291</v>
      </c>
      <c r="C299" s="30">
        <v>0.21148255813953487</v>
      </c>
      <c r="D299" s="28">
        <v>35706</v>
      </c>
      <c r="E299" s="14">
        <v>-7.3628235844094281E-3</v>
      </c>
      <c r="F299" s="14">
        <v>-7.3682325882467037E-3</v>
      </c>
      <c r="G299" s="14">
        <v>-3.8968965679140322E-3</v>
      </c>
      <c r="H299" s="14">
        <v>-3.859379758301707E-3</v>
      </c>
    </row>
    <row r="300" spans="2:8" x14ac:dyDescent="0.25">
      <c r="B300" s="29">
        <v>292</v>
      </c>
      <c r="C300" s="30">
        <v>0.21220930232558138</v>
      </c>
      <c r="D300" s="28">
        <v>35709</v>
      </c>
      <c r="E300" s="14">
        <v>-7.3108562853038128E-3</v>
      </c>
      <c r="F300" s="14">
        <v>-7.3438211070163684E-3</v>
      </c>
      <c r="G300" s="14">
        <v>-3.8961883026241706E-3</v>
      </c>
      <c r="H300" s="14">
        <v>-3.8432682261041024E-3</v>
      </c>
    </row>
    <row r="301" spans="2:8" x14ac:dyDescent="0.25">
      <c r="B301" s="29">
        <v>293</v>
      </c>
      <c r="C301" s="30">
        <v>0.2129360465116279</v>
      </c>
      <c r="D301" s="28">
        <v>35710</v>
      </c>
      <c r="E301" s="14">
        <v>-7.2982118623530212E-3</v>
      </c>
      <c r="F301" s="14">
        <v>-7.3394959257793158E-3</v>
      </c>
      <c r="G301" s="14">
        <v>-3.8828470260999781E-3</v>
      </c>
      <c r="H301" s="14">
        <v>-3.8414965095711516E-3</v>
      </c>
    </row>
    <row r="302" spans="2:8" x14ac:dyDescent="0.25">
      <c r="B302" s="29">
        <v>294</v>
      </c>
      <c r="C302" s="30">
        <v>0.21366279069767441</v>
      </c>
      <c r="D302" s="28">
        <v>35711</v>
      </c>
      <c r="E302" s="14">
        <v>-7.2883408565452834E-3</v>
      </c>
      <c r="F302" s="14">
        <v>-7.3145462080397294E-3</v>
      </c>
      <c r="G302" s="14">
        <v>-3.86479238956694E-3</v>
      </c>
      <c r="H302" s="14">
        <v>-3.8088410594461666E-3</v>
      </c>
    </row>
    <row r="303" spans="2:8" x14ac:dyDescent="0.25">
      <c r="B303" s="29">
        <v>295</v>
      </c>
      <c r="C303" s="30">
        <v>0.21438953488372092</v>
      </c>
      <c r="D303" s="28">
        <v>35712</v>
      </c>
      <c r="E303" s="14">
        <v>-7.2508924253192886E-3</v>
      </c>
      <c r="F303" s="14">
        <v>-7.3015200262008806E-3</v>
      </c>
      <c r="G303" s="14">
        <v>-3.847571715720588E-3</v>
      </c>
      <c r="H303" s="14">
        <v>-3.7971636947187418E-3</v>
      </c>
    </row>
    <row r="304" spans="2:8" x14ac:dyDescent="0.25">
      <c r="B304" s="29">
        <v>296</v>
      </c>
      <c r="C304" s="30">
        <v>0.21511627906976744</v>
      </c>
      <c r="D304" s="28">
        <v>35713</v>
      </c>
      <c r="E304" s="14">
        <v>-7.2013087375467633E-3</v>
      </c>
      <c r="F304" s="14">
        <v>-7.2985123491786652E-3</v>
      </c>
      <c r="G304" s="14">
        <v>-3.8452790289595917E-3</v>
      </c>
      <c r="H304" s="14">
        <v>-3.7838693047879792E-3</v>
      </c>
    </row>
    <row r="305" spans="2:8" x14ac:dyDescent="0.25">
      <c r="B305" s="29">
        <v>297</v>
      </c>
      <c r="C305" s="30">
        <v>0.21584302325581395</v>
      </c>
      <c r="D305" s="28">
        <v>35716</v>
      </c>
      <c r="E305" s="14">
        <v>-7.1729477399521402E-3</v>
      </c>
      <c r="F305" s="14">
        <v>-7.2976213229544173E-3</v>
      </c>
      <c r="G305" s="14">
        <v>-3.827266878077662E-3</v>
      </c>
      <c r="H305" s="14">
        <v>-3.7632157033726135E-3</v>
      </c>
    </row>
    <row r="306" spans="2:8" x14ac:dyDescent="0.25">
      <c r="B306" s="29">
        <v>298</v>
      </c>
      <c r="C306" s="30">
        <v>0.21656976744186046</v>
      </c>
      <c r="D306" s="28">
        <v>35717</v>
      </c>
      <c r="E306" s="14">
        <v>-7.1678613102182931E-3</v>
      </c>
      <c r="F306" s="14">
        <v>-7.2807952006022081E-3</v>
      </c>
      <c r="G306" s="14">
        <v>-3.8174504227730388E-3</v>
      </c>
      <c r="H306" s="14">
        <v>-3.7378387618620668E-3</v>
      </c>
    </row>
    <row r="307" spans="2:8" x14ac:dyDescent="0.25">
      <c r="B307" s="29">
        <v>299</v>
      </c>
      <c r="C307" s="30">
        <v>0.21729651162790697</v>
      </c>
      <c r="D307" s="28">
        <v>35718</v>
      </c>
      <c r="E307" s="14">
        <v>-7.1474492304200998E-3</v>
      </c>
      <c r="F307" s="14">
        <v>-7.2416734663600657E-3</v>
      </c>
      <c r="G307" s="14">
        <v>-3.8129415722776283E-3</v>
      </c>
      <c r="H307" s="14">
        <v>-3.7310486039066511E-3</v>
      </c>
    </row>
    <row r="308" spans="2:8" x14ac:dyDescent="0.25">
      <c r="B308" s="29">
        <v>300</v>
      </c>
      <c r="C308" s="30">
        <v>0.21802325581395349</v>
      </c>
      <c r="D308" s="28">
        <v>35719</v>
      </c>
      <c r="E308" s="14">
        <v>-7.1203367287053787E-3</v>
      </c>
      <c r="F308" s="14">
        <v>-7.2051375763587666E-3</v>
      </c>
      <c r="G308" s="14">
        <v>-3.8063634589108331E-3</v>
      </c>
      <c r="H308" s="14">
        <v>-3.7137517100160667E-3</v>
      </c>
    </row>
    <row r="309" spans="2:8" x14ac:dyDescent="0.25">
      <c r="B309" s="29">
        <v>301</v>
      </c>
      <c r="C309" s="30">
        <v>0.21875</v>
      </c>
      <c r="D309" s="28">
        <v>35720</v>
      </c>
      <c r="E309" s="14">
        <v>-7.1156773211568103E-3</v>
      </c>
      <c r="F309" s="14">
        <v>-7.1899066533350764E-3</v>
      </c>
      <c r="G309" s="14">
        <v>-3.7856208645510314E-3</v>
      </c>
      <c r="H309" s="14">
        <v>-3.7137033969765641E-3</v>
      </c>
    </row>
    <row r="310" spans="2:8" x14ac:dyDescent="0.25">
      <c r="B310" s="29">
        <v>302</v>
      </c>
      <c r="C310" s="30">
        <v>0.21947674418604651</v>
      </c>
      <c r="D310" s="28">
        <v>35723</v>
      </c>
      <c r="E310" s="14">
        <v>-7.0682717933829853E-3</v>
      </c>
      <c r="F310" s="14">
        <v>-7.1380366505736648E-3</v>
      </c>
      <c r="G310" s="14">
        <v>-3.7788500668566316E-3</v>
      </c>
      <c r="H310" s="14">
        <v>-3.6797412884804095E-3</v>
      </c>
    </row>
    <row r="311" spans="2:8" x14ac:dyDescent="0.25">
      <c r="B311" s="29">
        <v>303</v>
      </c>
      <c r="C311" s="30">
        <v>0.22020348837209303</v>
      </c>
      <c r="D311" s="28">
        <v>35724</v>
      </c>
      <c r="E311" s="14">
        <v>-7.0682717933829853E-3</v>
      </c>
      <c r="F311" s="14">
        <v>-7.1200036050650395E-3</v>
      </c>
      <c r="G311" s="14">
        <v>-3.7278034873906574E-3</v>
      </c>
      <c r="H311" s="14">
        <v>-3.6668151973200387E-3</v>
      </c>
    </row>
    <row r="312" spans="2:8" x14ac:dyDescent="0.25">
      <c r="B312" s="29">
        <v>304</v>
      </c>
      <c r="C312" s="30">
        <v>0.22093023255813954</v>
      </c>
      <c r="D312" s="28">
        <v>35725</v>
      </c>
      <c r="E312" s="14">
        <v>-7.058834440285211E-3</v>
      </c>
      <c r="F312" s="14">
        <v>-7.0952675321108716E-3</v>
      </c>
      <c r="G312" s="14">
        <v>-3.714254185860133E-3</v>
      </c>
      <c r="H312" s="14">
        <v>-3.6657300974639374E-3</v>
      </c>
    </row>
    <row r="313" spans="2:8" x14ac:dyDescent="0.25">
      <c r="B313" s="29">
        <v>305</v>
      </c>
      <c r="C313" s="30">
        <v>0.22165697674418605</v>
      </c>
      <c r="D313" s="28">
        <v>35726</v>
      </c>
      <c r="E313" s="14">
        <v>-7.0445935617865496E-3</v>
      </c>
      <c r="F313" s="14">
        <v>-7.0462535116131431E-3</v>
      </c>
      <c r="G313" s="14">
        <v>-3.7055892964453774E-3</v>
      </c>
      <c r="H313" s="14">
        <v>-3.6541103643728868E-3</v>
      </c>
    </row>
    <row r="314" spans="2:8" x14ac:dyDescent="0.25">
      <c r="B314" s="29">
        <v>306</v>
      </c>
      <c r="C314" s="30">
        <v>0.22238372093023256</v>
      </c>
      <c r="D314" s="28">
        <v>35727</v>
      </c>
      <c r="E314" s="14">
        <v>-7.0422130627250112E-3</v>
      </c>
      <c r="F314" s="14">
        <v>-7.0411582563942865E-3</v>
      </c>
      <c r="G314" s="14">
        <v>-3.6783146630998687E-3</v>
      </c>
      <c r="H314" s="14">
        <v>-3.6512554515697464E-3</v>
      </c>
    </row>
    <row r="315" spans="2:8" x14ac:dyDescent="0.25">
      <c r="B315" s="29">
        <v>307</v>
      </c>
      <c r="C315" s="30">
        <v>0.22311046511627908</v>
      </c>
      <c r="D315" s="28">
        <v>35730</v>
      </c>
      <c r="E315" s="14">
        <v>-7.0349639625822968E-3</v>
      </c>
      <c r="F315" s="14">
        <v>-7.0073882245410557E-3</v>
      </c>
      <c r="G315" s="14">
        <v>-3.6743263734980713E-3</v>
      </c>
      <c r="H315" s="14">
        <v>-3.638038682523926E-3</v>
      </c>
    </row>
    <row r="316" spans="2:8" x14ac:dyDescent="0.25">
      <c r="B316" s="29">
        <v>308</v>
      </c>
      <c r="C316" s="30">
        <v>0.22383720930232559</v>
      </c>
      <c r="D316" s="28">
        <v>35731</v>
      </c>
      <c r="E316" s="14">
        <v>-7.0316423907583747E-3</v>
      </c>
      <c r="F316" s="14">
        <v>-6.9562087074369616E-3</v>
      </c>
      <c r="G316" s="14">
        <v>-3.6737692872886862E-3</v>
      </c>
      <c r="H316" s="14">
        <v>-3.6209028594975652E-3</v>
      </c>
    </row>
    <row r="317" spans="2:8" x14ac:dyDescent="0.25">
      <c r="B317" s="29">
        <v>309</v>
      </c>
      <c r="C317" s="30">
        <v>0.2245639534883721</v>
      </c>
      <c r="D317" s="28">
        <v>35732</v>
      </c>
      <c r="E317" s="14">
        <v>-7.0198669077636833E-3</v>
      </c>
      <c r="F317" s="14">
        <v>-6.9559757203656591E-3</v>
      </c>
      <c r="G317" s="14">
        <v>-3.6724402543302226E-3</v>
      </c>
      <c r="H317" s="14">
        <v>-3.6100097826909485E-3</v>
      </c>
    </row>
    <row r="318" spans="2:8" x14ac:dyDescent="0.25">
      <c r="B318" s="29">
        <v>310</v>
      </c>
      <c r="C318" s="30">
        <v>0.22529069767441862</v>
      </c>
      <c r="D318" s="28">
        <v>35733</v>
      </c>
      <c r="E318" s="14">
        <v>-6.9888069888069948E-3</v>
      </c>
      <c r="F318" s="14">
        <v>-6.9400678250952641E-3</v>
      </c>
      <c r="G318" s="14">
        <v>-3.670381283638724E-3</v>
      </c>
      <c r="H318" s="14">
        <v>-3.6036270574796082E-3</v>
      </c>
    </row>
    <row r="319" spans="2:8" x14ac:dyDescent="0.25">
      <c r="B319" s="29">
        <v>311</v>
      </c>
      <c r="C319" s="30">
        <v>0.22601744186046513</v>
      </c>
      <c r="D319" s="28">
        <v>35734</v>
      </c>
      <c r="E319" s="14">
        <v>-6.8833039859131917E-3</v>
      </c>
      <c r="F319" s="14">
        <v>-6.8786320363122266E-3</v>
      </c>
      <c r="G319" s="14">
        <v>-3.6128864686569839E-3</v>
      </c>
      <c r="H319" s="14">
        <v>-3.5784057906051553E-3</v>
      </c>
    </row>
    <row r="320" spans="2:8" x14ac:dyDescent="0.25">
      <c r="B320" s="29">
        <v>312</v>
      </c>
      <c r="C320" s="30">
        <v>0.22674418604651161</v>
      </c>
      <c r="D320" s="28">
        <v>35737</v>
      </c>
      <c r="E320" s="14">
        <v>-6.8807504201160441E-3</v>
      </c>
      <c r="F320" s="14">
        <v>-6.8428055502757212E-3</v>
      </c>
      <c r="G320" s="14">
        <v>-3.6088675030074846E-3</v>
      </c>
      <c r="H320" s="14">
        <v>-3.5744081797113524E-3</v>
      </c>
    </row>
    <row r="321" spans="2:8" x14ac:dyDescent="0.25">
      <c r="B321" s="29">
        <v>313</v>
      </c>
      <c r="C321" s="30">
        <v>0.22747093023255813</v>
      </c>
      <c r="D321" s="28">
        <v>35738</v>
      </c>
      <c r="E321" s="14">
        <v>-6.8776732249784533E-3</v>
      </c>
      <c r="F321" s="14">
        <v>-6.8320649762823038E-3</v>
      </c>
      <c r="G321" s="14">
        <v>-3.525010120022487E-3</v>
      </c>
      <c r="H321" s="14">
        <v>-3.5387670658790791E-3</v>
      </c>
    </row>
    <row r="322" spans="2:8" x14ac:dyDescent="0.25">
      <c r="B322" s="29">
        <v>314</v>
      </c>
      <c r="C322" s="30">
        <v>0.22819767441860464</v>
      </c>
      <c r="D322" s="28">
        <v>35739</v>
      </c>
      <c r="E322" s="14">
        <v>-6.8640497784497878E-3</v>
      </c>
      <c r="F322" s="14">
        <v>-6.8025316279425319E-3</v>
      </c>
      <c r="G322" s="14">
        <v>-3.5181927599295948E-3</v>
      </c>
      <c r="H322" s="14">
        <v>-3.5269370122189333E-3</v>
      </c>
    </row>
    <row r="323" spans="2:8" x14ac:dyDescent="0.25">
      <c r="B323" s="29">
        <v>315</v>
      </c>
      <c r="C323" s="30">
        <v>0.22892441860465115</v>
      </c>
      <c r="D323" s="28">
        <v>35740</v>
      </c>
      <c r="E323" s="14">
        <v>-6.8526676456190927E-3</v>
      </c>
      <c r="F323" s="14">
        <v>-6.7938833752182459E-3</v>
      </c>
      <c r="G323" s="14">
        <v>-3.5078800203356408E-3</v>
      </c>
      <c r="H323" s="14">
        <v>-3.5139815495942805E-3</v>
      </c>
    </row>
    <row r="324" spans="2:8" x14ac:dyDescent="0.25">
      <c r="B324" s="29">
        <v>316</v>
      </c>
      <c r="C324" s="30">
        <v>0.22965116279069767</v>
      </c>
      <c r="D324" s="28">
        <v>35741</v>
      </c>
      <c r="E324" s="14">
        <v>-6.828557179575645E-3</v>
      </c>
      <c r="F324" s="14">
        <v>-6.7652217489351241E-3</v>
      </c>
      <c r="G324" s="14">
        <v>-3.5075083635468518E-3</v>
      </c>
      <c r="H324" s="14">
        <v>-3.4777868141380396E-3</v>
      </c>
    </row>
    <row r="325" spans="2:8" x14ac:dyDescent="0.25">
      <c r="B325" s="29">
        <v>317</v>
      </c>
      <c r="C325" s="30">
        <v>0.23037790697674418</v>
      </c>
      <c r="D325" s="28">
        <v>35744</v>
      </c>
      <c r="E325" s="14">
        <v>-6.7755677053633612E-3</v>
      </c>
      <c r="F325" s="14">
        <v>-6.70826674267333E-3</v>
      </c>
      <c r="G325" s="14">
        <v>-3.5058430717862521E-3</v>
      </c>
      <c r="H325" s="14">
        <v>-3.4745808655182852E-3</v>
      </c>
    </row>
    <row r="326" spans="2:8" x14ac:dyDescent="0.25">
      <c r="B326" s="29">
        <v>318</v>
      </c>
      <c r="C326" s="30">
        <v>0.23110465116279069</v>
      </c>
      <c r="D326" s="28">
        <v>35745</v>
      </c>
      <c r="E326" s="14">
        <v>-6.7271589486858074E-3</v>
      </c>
      <c r="F326" s="14">
        <v>-6.7045045354002797E-3</v>
      </c>
      <c r="G326" s="14">
        <v>-3.4943034891780078E-3</v>
      </c>
      <c r="H326" s="14">
        <v>-3.4497488859586587E-3</v>
      </c>
    </row>
    <row r="327" spans="2:8" x14ac:dyDescent="0.25">
      <c r="B327" s="29">
        <v>319</v>
      </c>
      <c r="C327" s="30">
        <v>0.2318313953488372</v>
      </c>
      <c r="D327" s="28">
        <v>35746</v>
      </c>
      <c r="E327" s="14">
        <v>-6.7163596084488519E-3</v>
      </c>
      <c r="F327" s="14">
        <v>-6.6967898570272633E-3</v>
      </c>
      <c r="G327" s="14">
        <v>-3.4853765722078212E-3</v>
      </c>
      <c r="H327" s="14">
        <v>-3.440040983189019E-3</v>
      </c>
    </row>
    <row r="328" spans="2:8" x14ac:dyDescent="0.25">
      <c r="B328" s="29">
        <v>320</v>
      </c>
      <c r="C328" s="30">
        <v>0.23255813953488372</v>
      </c>
      <c r="D328" s="28">
        <v>35747</v>
      </c>
      <c r="E328" s="14">
        <v>-6.6952002445734848E-3</v>
      </c>
      <c r="F328" s="14">
        <v>-6.6937394787022209E-3</v>
      </c>
      <c r="G328" s="14">
        <v>-3.4402656672201104E-3</v>
      </c>
      <c r="H328" s="14">
        <v>-3.4320334556954268E-3</v>
      </c>
    </row>
    <row r="329" spans="2:8" x14ac:dyDescent="0.25">
      <c r="B329" s="29">
        <v>321</v>
      </c>
      <c r="C329" s="30">
        <v>0.23328488372093023</v>
      </c>
      <c r="D329" s="28">
        <v>35748</v>
      </c>
      <c r="E329" s="14">
        <v>-6.6943575848061876E-3</v>
      </c>
      <c r="F329" s="14">
        <v>-6.6886630956982662E-3</v>
      </c>
      <c r="G329" s="14">
        <v>-3.4372579395816061E-3</v>
      </c>
      <c r="H329" s="14">
        <v>-3.4259249129091839E-3</v>
      </c>
    </row>
    <row r="330" spans="2:8" x14ac:dyDescent="0.25">
      <c r="B330" s="29">
        <v>322</v>
      </c>
      <c r="C330" s="30">
        <v>0.23401162790697674</v>
      </c>
      <c r="D330" s="28">
        <v>35751</v>
      </c>
      <c r="E330" s="14">
        <v>-6.6836167653729905E-3</v>
      </c>
      <c r="F330" s="14">
        <v>-6.6706186164089409E-3</v>
      </c>
      <c r="G330" s="14">
        <v>-3.3922527866088181E-3</v>
      </c>
      <c r="H330" s="14">
        <v>-3.3850505379804385E-3</v>
      </c>
    </row>
    <row r="331" spans="2:8" x14ac:dyDescent="0.25">
      <c r="B331" s="29">
        <v>323</v>
      </c>
      <c r="C331" s="30">
        <v>0.23473837209302326</v>
      </c>
      <c r="D331" s="28">
        <v>35752</v>
      </c>
      <c r="E331" s="14">
        <v>-6.5663364305433847E-3</v>
      </c>
      <c r="F331" s="14">
        <v>-6.585743801652777E-3</v>
      </c>
      <c r="G331" s="14">
        <v>-3.3916117321104444E-3</v>
      </c>
      <c r="H331" s="14">
        <v>-3.3763215337516252E-3</v>
      </c>
    </row>
    <row r="332" spans="2:8" x14ac:dyDescent="0.25">
      <c r="B332" s="29">
        <v>324</v>
      </c>
      <c r="C332" s="30">
        <v>0.23546511627906977</v>
      </c>
      <c r="D332" s="28">
        <v>35753</v>
      </c>
      <c r="E332" s="14">
        <v>-6.5491969437081465E-3</v>
      </c>
      <c r="F332" s="14">
        <v>-6.5524579372006064E-3</v>
      </c>
      <c r="G332" s="14">
        <v>-3.3858953274644721E-3</v>
      </c>
      <c r="H332" s="14">
        <v>-3.3728272533660951E-3</v>
      </c>
    </row>
    <row r="333" spans="2:8" x14ac:dyDescent="0.25">
      <c r="B333" s="29">
        <v>325</v>
      </c>
      <c r="C333" s="30">
        <v>0.23619186046511628</v>
      </c>
      <c r="D333" s="28">
        <v>35754</v>
      </c>
      <c r="E333" s="14">
        <v>-6.4921752420203926E-3</v>
      </c>
      <c r="F333" s="14">
        <v>-6.5367656969019805E-3</v>
      </c>
      <c r="G333" s="14">
        <v>-3.3829351769116833E-3</v>
      </c>
      <c r="H333" s="14">
        <v>-3.3728115525227809E-3</v>
      </c>
    </row>
    <row r="334" spans="2:8" x14ac:dyDescent="0.25">
      <c r="B334" s="29">
        <v>326</v>
      </c>
      <c r="C334" s="30">
        <v>0.2369186046511628</v>
      </c>
      <c r="D334" s="28">
        <v>35755</v>
      </c>
      <c r="E334" s="14">
        <v>-6.4805075832117254E-3</v>
      </c>
      <c r="F334" s="14">
        <v>-6.5345841689435913E-3</v>
      </c>
      <c r="G334" s="14">
        <v>-3.3638469173925545E-3</v>
      </c>
      <c r="H334" s="14">
        <v>-3.3687353848194991E-3</v>
      </c>
    </row>
    <row r="335" spans="2:8" x14ac:dyDescent="0.25">
      <c r="B335" s="29">
        <v>327</v>
      </c>
      <c r="C335" s="30">
        <v>0.23764534883720931</v>
      </c>
      <c r="D335" s="28">
        <v>35758</v>
      </c>
      <c r="E335" s="14">
        <v>-6.397969377282986E-3</v>
      </c>
      <c r="F335" s="14">
        <v>-6.5280867126989994E-3</v>
      </c>
      <c r="G335" s="14">
        <v>-3.355513848603775E-3</v>
      </c>
      <c r="H335" s="14">
        <v>-3.3620626969781851E-3</v>
      </c>
    </row>
    <row r="336" spans="2:8" x14ac:dyDescent="0.25">
      <c r="B336" s="29">
        <v>328</v>
      </c>
      <c r="C336" s="30">
        <v>0.23837209302325582</v>
      </c>
      <c r="D336" s="28">
        <v>35759</v>
      </c>
      <c r="E336" s="14">
        <v>-6.3781079295593957E-3</v>
      </c>
      <c r="F336" s="14">
        <v>-6.5188253929571172E-3</v>
      </c>
      <c r="G336" s="14">
        <v>-3.3548389341186979E-3</v>
      </c>
      <c r="H336" s="14">
        <v>-3.3558748127667129E-3</v>
      </c>
    </row>
    <row r="337" spans="2:8" x14ac:dyDescent="0.25">
      <c r="B337" s="29">
        <v>329</v>
      </c>
      <c r="C337" s="30">
        <v>0.23909883720930233</v>
      </c>
      <c r="D337" s="28">
        <v>35760</v>
      </c>
      <c r="E337" s="14">
        <v>-6.3747693340044931E-3</v>
      </c>
      <c r="F337" s="14">
        <v>-6.50925096985977E-3</v>
      </c>
      <c r="G337" s="14">
        <v>-3.3450504592356101E-3</v>
      </c>
      <c r="H337" s="14">
        <v>-3.3535219271953578E-3</v>
      </c>
    </row>
    <row r="338" spans="2:8" x14ac:dyDescent="0.25">
      <c r="B338" s="29">
        <v>330</v>
      </c>
      <c r="C338" s="30">
        <v>0.23982558139534885</v>
      </c>
      <c r="D338" s="28">
        <v>35761</v>
      </c>
      <c r="E338" s="14">
        <v>-6.3507572056666906E-3</v>
      </c>
      <c r="F338" s="14">
        <v>-6.4926771117165272E-3</v>
      </c>
      <c r="G338" s="14">
        <v>-3.334259516532434E-3</v>
      </c>
      <c r="H338" s="14">
        <v>-3.3525435787531864E-3</v>
      </c>
    </row>
    <row r="339" spans="2:8" x14ac:dyDescent="0.25">
      <c r="B339" s="29">
        <v>331</v>
      </c>
      <c r="C339" s="30">
        <v>0.24055232558139536</v>
      </c>
      <c r="D339" s="28">
        <v>35762</v>
      </c>
      <c r="E339" s="14">
        <v>-6.3274265503082683E-3</v>
      </c>
      <c r="F339" s="14">
        <v>-6.4917859035507064E-3</v>
      </c>
      <c r="G339" s="14">
        <v>-3.330701412103565E-3</v>
      </c>
      <c r="H339" s="14">
        <v>-3.3032605572949512E-3</v>
      </c>
    </row>
    <row r="340" spans="2:8" x14ac:dyDescent="0.25">
      <c r="B340" s="29">
        <v>332</v>
      </c>
      <c r="C340" s="30">
        <v>0.24127906976744187</v>
      </c>
      <c r="D340" s="28">
        <v>35765</v>
      </c>
      <c r="E340" s="14">
        <v>-6.2550120288694666E-3</v>
      </c>
      <c r="F340" s="14">
        <v>-6.4640150264504426E-3</v>
      </c>
      <c r="G340" s="14">
        <v>-3.3253869904870115E-3</v>
      </c>
      <c r="H340" s="14">
        <v>-3.2967740727069426E-3</v>
      </c>
    </row>
    <row r="341" spans="2:8" x14ac:dyDescent="0.25">
      <c r="B341" s="29">
        <v>333</v>
      </c>
      <c r="C341" s="30">
        <v>0.24200581395348839</v>
      </c>
      <c r="D341" s="28">
        <v>35766</v>
      </c>
      <c r="E341" s="14">
        <v>-6.2122281330829754E-3</v>
      </c>
      <c r="F341" s="14">
        <v>-6.4612766560898649E-3</v>
      </c>
      <c r="G341" s="14">
        <v>-3.2856465965038772E-3</v>
      </c>
      <c r="H341" s="14">
        <v>-3.2752410528299699E-3</v>
      </c>
    </row>
    <row r="342" spans="2:8" x14ac:dyDescent="0.25">
      <c r="B342" s="29">
        <v>334</v>
      </c>
      <c r="C342" s="30">
        <v>0.24273255813953487</v>
      </c>
      <c r="D342" s="28">
        <v>35767</v>
      </c>
      <c r="E342" s="14">
        <v>-6.2121709924052304E-3</v>
      </c>
      <c r="F342" s="14">
        <v>-6.4233041983898786E-3</v>
      </c>
      <c r="G342" s="14">
        <v>-3.2757505167765322E-3</v>
      </c>
      <c r="H342" s="14">
        <v>-3.2600743774267916E-3</v>
      </c>
    </row>
    <row r="343" spans="2:8" x14ac:dyDescent="0.25">
      <c r="B343" s="29">
        <v>335</v>
      </c>
      <c r="C343" s="30">
        <v>0.24345930232558138</v>
      </c>
      <c r="D343" s="28">
        <v>35768</v>
      </c>
      <c r="E343" s="14">
        <v>-6.1646117960678648E-3</v>
      </c>
      <c r="F343" s="14">
        <v>-6.421451409226453E-3</v>
      </c>
      <c r="G343" s="14">
        <v>-3.2730186787388593E-3</v>
      </c>
      <c r="H343" s="14">
        <v>-3.2327250299528211E-3</v>
      </c>
    </row>
    <row r="344" spans="2:8" x14ac:dyDescent="0.25">
      <c r="B344" s="29">
        <v>336</v>
      </c>
      <c r="C344" s="30">
        <v>0.2441860465116279</v>
      </c>
      <c r="D344" s="28">
        <v>35769</v>
      </c>
      <c r="E344" s="14">
        <v>-6.1386408176952179E-3</v>
      </c>
      <c r="F344" s="14">
        <v>-6.3991078422261927E-3</v>
      </c>
      <c r="G344" s="14">
        <v>-3.2715376226826187E-3</v>
      </c>
      <c r="H344" s="14">
        <v>-3.2085963168588362E-3</v>
      </c>
    </row>
    <row r="345" spans="2:8" x14ac:dyDescent="0.25">
      <c r="B345" s="29">
        <v>337</v>
      </c>
      <c r="C345" s="30">
        <v>0.24491279069767441</v>
      </c>
      <c r="D345" s="28">
        <v>35772</v>
      </c>
      <c r="E345" s="14">
        <v>-6.1358519241768716E-3</v>
      </c>
      <c r="F345" s="14">
        <v>-6.3787037936108293E-3</v>
      </c>
      <c r="G345" s="14">
        <v>-3.2530588463779431E-3</v>
      </c>
      <c r="H345" s="14">
        <v>-3.1948400050632927E-3</v>
      </c>
    </row>
    <row r="346" spans="2:8" x14ac:dyDescent="0.25">
      <c r="B346" s="29">
        <v>338</v>
      </c>
      <c r="C346" s="30">
        <v>0.24563953488372092</v>
      </c>
      <c r="D346" s="28">
        <v>35773</v>
      </c>
      <c r="E346" s="14">
        <v>-6.1300457619014592E-3</v>
      </c>
      <c r="F346" s="14">
        <v>-6.3565989049028104E-3</v>
      </c>
      <c r="G346" s="14">
        <v>-3.2510197361240722E-3</v>
      </c>
      <c r="H346" s="14">
        <v>-3.1911641126403769E-3</v>
      </c>
    </row>
    <row r="347" spans="2:8" x14ac:dyDescent="0.25">
      <c r="B347" s="29">
        <v>339</v>
      </c>
      <c r="C347" s="30">
        <v>0.24636627906976744</v>
      </c>
      <c r="D347" s="28">
        <v>35774</v>
      </c>
      <c r="E347" s="14">
        <v>-6.1284864339279377E-3</v>
      </c>
      <c r="F347" s="14">
        <v>-6.3514216776269228E-3</v>
      </c>
      <c r="G347" s="14">
        <v>-3.2199154171471678E-3</v>
      </c>
      <c r="H347" s="14">
        <v>-3.1420045190037049E-3</v>
      </c>
    </row>
    <row r="348" spans="2:8" x14ac:dyDescent="0.25">
      <c r="B348" s="29">
        <v>340</v>
      </c>
      <c r="C348" s="30">
        <v>0.24709302325581395</v>
      </c>
      <c r="D348" s="28">
        <v>35775</v>
      </c>
      <c r="E348" s="14">
        <v>-6.1203164651439934E-3</v>
      </c>
      <c r="F348" s="14">
        <v>-6.2629064106235477E-3</v>
      </c>
      <c r="G348" s="14">
        <v>-3.1956614256187788E-3</v>
      </c>
      <c r="H348" s="14">
        <v>-3.1285613241125E-3</v>
      </c>
    </row>
    <row r="349" spans="2:8" x14ac:dyDescent="0.25">
      <c r="B349" s="29">
        <v>341</v>
      </c>
      <c r="C349" s="30">
        <v>0.24781976744186046</v>
      </c>
      <c r="D349" s="28">
        <v>35776</v>
      </c>
      <c r="E349" s="14">
        <v>-6.0986866887476898E-3</v>
      </c>
      <c r="F349" s="14">
        <v>-6.2427280050120215E-3</v>
      </c>
      <c r="G349" s="14">
        <v>-3.17477525572607E-3</v>
      </c>
      <c r="H349" s="14">
        <v>-3.1050182123615322E-3</v>
      </c>
    </row>
    <row r="350" spans="2:8" x14ac:dyDescent="0.25">
      <c r="B350" s="29">
        <v>342</v>
      </c>
      <c r="C350" s="30">
        <v>0.24854651162790697</v>
      </c>
      <c r="D350" s="28">
        <v>35779</v>
      </c>
      <c r="E350" s="14">
        <v>-6.0676676852727818E-3</v>
      </c>
      <c r="F350" s="14">
        <v>-6.204910279397402E-3</v>
      </c>
      <c r="G350" s="14">
        <v>-3.1707850426415662E-3</v>
      </c>
      <c r="H350" s="14">
        <v>-3.1027185530700051E-3</v>
      </c>
    </row>
    <row r="351" spans="2:8" x14ac:dyDescent="0.25">
      <c r="B351" s="29">
        <v>343</v>
      </c>
      <c r="C351" s="30">
        <v>0.24927325581395349</v>
      </c>
      <c r="D351" s="28">
        <v>35780</v>
      </c>
      <c r="E351" s="14">
        <v>-6.0461416070008989E-3</v>
      </c>
      <c r="F351" s="14">
        <v>-6.1771137026238598E-3</v>
      </c>
      <c r="G351" s="14">
        <v>-3.1299118853060914E-3</v>
      </c>
      <c r="H351" s="14">
        <v>-3.0540144491021833E-3</v>
      </c>
    </row>
    <row r="352" spans="2:8" x14ac:dyDescent="0.25">
      <c r="B352" s="29">
        <v>344</v>
      </c>
      <c r="C352" s="30">
        <v>0.25</v>
      </c>
      <c r="D352" s="28">
        <v>35781</v>
      </c>
      <c r="E352" s="14">
        <v>-6.0206193377321249E-3</v>
      </c>
      <c r="F352" s="14">
        <v>-6.1614105174201406E-3</v>
      </c>
      <c r="G352" s="14">
        <v>-3.1264747522417036E-3</v>
      </c>
      <c r="H352" s="14">
        <v>-3.0531471345605302E-3</v>
      </c>
    </row>
    <row r="353" spans="2:8" x14ac:dyDescent="0.25">
      <c r="B353" s="29">
        <v>345</v>
      </c>
      <c r="C353" s="30">
        <v>0.25072674418604651</v>
      </c>
      <c r="D353" s="28">
        <v>35782</v>
      </c>
      <c r="E353" s="14">
        <v>-6.0063049610088459E-3</v>
      </c>
      <c r="F353" s="14">
        <v>-6.138678800549302E-3</v>
      </c>
      <c r="G353" s="14">
        <v>-3.1262236383633457E-3</v>
      </c>
      <c r="H353" s="14">
        <v>-3.0506768240727844E-3</v>
      </c>
    </row>
    <row r="354" spans="2:8" x14ac:dyDescent="0.25">
      <c r="B354" s="29">
        <v>346</v>
      </c>
      <c r="C354" s="30">
        <v>0.25145348837209303</v>
      </c>
      <c r="D354" s="28">
        <v>35783</v>
      </c>
      <c r="E354" s="14">
        <v>-5.9869361026300139E-3</v>
      </c>
      <c r="F354" s="14">
        <v>-5.992710359786213E-3</v>
      </c>
      <c r="G354" s="14">
        <v>-3.1179239645675594E-3</v>
      </c>
      <c r="H354" s="14">
        <v>-3.046581445654973E-3</v>
      </c>
    </row>
    <row r="355" spans="2:8" x14ac:dyDescent="0.25">
      <c r="B355" s="29">
        <v>347</v>
      </c>
      <c r="C355" s="30">
        <v>0.25218023255813954</v>
      </c>
      <c r="D355" s="28">
        <v>35786</v>
      </c>
      <c r="E355" s="14">
        <v>-5.9514916642424698E-3</v>
      </c>
      <c r="F355" s="14">
        <v>-5.9811534447151704E-3</v>
      </c>
      <c r="G355" s="14">
        <v>-3.0845420418337266E-3</v>
      </c>
      <c r="H355" s="14">
        <v>-3.0307484797656996E-3</v>
      </c>
    </row>
    <row r="356" spans="2:8" x14ac:dyDescent="0.25">
      <c r="B356" s="29">
        <v>348</v>
      </c>
      <c r="C356" s="30">
        <v>0.25290697674418605</v>
      </c>
      <c r="D356" s="28">
        <v>35787</v>
      </c>
      <c r="E356" s="14">
        <v>-5.9231739800925665E-3</v>
      </c>
      <c r="F356" s="14">
        <v>-5.9730705632234926E-3</v>
      </c>
      <c r="G356" s="14">
        <v>-3.0663445456236005E-3</v>
      </c>
      <c r="H356" s="14">
        <v>-3.0298542808011144E-3</v>
      </c>
    </row>
    <row r="357" spans="2:8" x14ac:dyDescent="0.25">
      <c r="B357" s="29">
        <v>349</v>
      </c>
      <c r="C357" s="30">
        <v>0.25363372093023256</v>
      </c>
      <c r="D357" s="28">
        <v>35788</v>
      </c>
      <c r="E357" s="14">
        <v>-5.8978938751208521E-3</v>
      </c>
      <c r="F357" s="14">
        <v>-5.9052232607162969E-3</v>
      </c>
      <c r="G357" s="14">
        <v>-3.0562323699795391E-3</v>
      </c>
      <c r="H357" s="14">
        <v>-2.9985992167208772E-3</v>
      </c>
    </row>
    <row r="358" spans="2:8" x14ac:dyDescent="0.25">
      <c r="B358" s="29">
        <v>350</v>
      </c>
      <c r="C358" s="30">
        <v>0.25436046511627908</v>
      </c>
      <c r="D358" s="28">
        <v>35789</v>
      </c>
      <c r="E358" s="14">
        <v>-5.8871826286044371E-3</v>
      </c>
      <c r="F358" s="14">
        <v>-5.8831029269803548E-3</v>
      </c>
      <c r="G358" s="14">
        <v>-3.0403103213293425E-3</v>
      </c>
      <c r="H358" s="14">
        <v>-2.991080376302158E-3</v>
      </c>
    </row>
    <row r="359" spans="2:8" x14ac:dyDescent="0.25">
      <c r="B359" s="29">
        <v>351</v>
      </c>
      <c r="C359" s="30">
        <v>0.25508720930232559</v>
      </c>
      <c r="D359" s="28">
        <v>35790</v>
      </c>
      <c r="E359" s="14">
        <v>-5.8773884043912261E-3</v>
      </c>
      <c r="F359" s="14">
        <v>-5.8634153024180735E-3</v>
      </c>
      <c r="G359" s="14">
        <v>-3.0271277215042636E-3</v>
      </c>
      <c r="H359" s="14">
        <v>-2.983785011325458E-3</v>
      </c>
    </row>
    <row r="360" spans="2:8" x14ac:dyDescent="0.25">
      <c r="B360" s="29">
        <v>352</v>
      </c>
      <c r="C360" s="30">
        <v>0.2558139534883721</v>
      </c>
      <c r="D360" s="28">
        <v>35793</v>
      </c>
      <c r="E360" s="14">
        <v>-5.8421353428022016E-3</v>
      </c>
      <c r="F360" s="14">
        <v>-5.8552496724803005E-3</v>
      </c>
      <c r="G360" s="14">
        <v>-3.0213170704415093E-3</v>
      </c>
      <c r="H360" s="14">
        <v>-2.9801831241592419E-3</v>
      </c>
    </row>
    <row r="361" spans="2:8" x14ac:dyDescent="0.25">
      <c r="B361" s="29">
        <v>353</v>
      </c>
      <c r="C361" s="30">
        <v>0.25654069767441862</v>
      </c>
      <c r="D361" s="28">
        <v>35794</v>
      </c>
      <c r="E361" s="14">
        <v>-5.8159425248032193E-3</v>
      </c>
      <c r="F361" s="14">
        <v>-5.8548362758412686E-3</v>
      </c>
      <c r="G361" s="14">
        <v>-3.0188360866671982E-3</v>
      </c>
      <c r="H361" s="14">
        <v>-2.959147744195412E-3</v>
      </c>
    </row>
    <row r="362" spans="2:8" x14ac:dyDescent="0.25">
      <c r="B362" s="29">
        <v>354</v>
      </c>
      <c r="C362" s="30">
        <v>0.25726744186046513</v>
      </c>
      <c r="D362" s="28">
        <v>35795</v>
      </c>
      <c r="E362" s="14">
        <v>-5.8030380611026056E-3</v>
      </c>
      <c r="F362" s="14">
        <v>-5.852972732990569E-3</v>
      </c>
      <c r="G362" s="14">
        <v>-3.0081207004402089E-3</v>
      </c>
      <c r="H362" s="14">
        <v>-2.9338830022112459E-3</v>
      </c>
    </row>
    <row r="363" spans="2:8" x14ac:dyDescent="0.25">
      <c r="B363" s="29">
        <v>355</v>
      </c>
      <c r="C363" s="30">
        <v>0.25799418604651164</v>
      </c>
      <c r="D363" s="28">
        <v>35796</v>
      </c>
      <c r="E363" s="14">
        <v>-5.7589218563660616E-3</v>
      </c>
      <c r="F363" s="14">
        <v>-5.8327691517934266E-3</v>
      </c>
      <c r="G363" s="14">
        <v>-3.006753631233261E-3</v>
      </c>
      <c r="H363" s="14">
        <v>-2.9179011733937886E-3</v>
      </c>
    </row>
    <row r="364" spans="2:8" x14ac:dyDescent="0.25">
      <c r="B364" s="29">
        <v>356</v>
      </c>
      <c r="C364" s="30">
        <v>0.25872093023255816</v>
      </c>
      <c r="D364" s="28">
        <v>35797</v>
      </c>
      <c r="E364" s="14">
        <v>-5.7484123022906175E-3</v>
      </c>
      <c r="F364" s="14">
        <v>-5.8225281140539265E-3</v>
      </c>
      <c r="G364" s="14">
        <v>-3.0061793687023997E-3</v>
      </c>
      <c r="H364" s="14">
        <v>-2.9156607281749288E-3</v>
      </c>
    </row>
    <row r="365" spans="2:8" x14ac:dyDescent="0.25">
      <c r="B365" s="29">
        <v>357</v>
      </c>
      <c r="C365" s="30">
        <v>0.25944767441860467</v>
      </c>
      <c r="D365" s="28">
        <v>35800</v>
      </c>
      <c r="E365" s="14">
        <v>-5.7143256761904571E-3</v>
      </c>
      <c r="F365" s="14">
        <v>-5.8149440357935234E-3</v>
      </c>
      <c r="G365" s="14">
        <v>-2.973381159146693E-3</v>
      </c>
      <c r="H365" s="14">
        <v>-2.9083088156340196E-3</v>
      </c>
    </row>
    <row r="366" spans="2:8" x14ac:dyDescent="0.25">
      <c r="B366" s="29">
        <v>358</v>
      </c>
      <c r="C366" s="30">
        <v>0.26017441860465118</v>
      </c>
      <c r="D366" s="28">
        <v>35801</v>
      </c>
      <c r="E366" s="14">
        <v>-5.6723584036969532E-3</v>
      </c>
      <c r="F366" s="14">
        <v>-5.7919133507732257E-3</v>
      </c>
      <c r="G366" s="14">
        <v>-2.9572338489536332E-3</v>
      </c>
      <c r="H366" s="14">
        <v>-2.9053141789823216E-3</v>
      </c>
    </row>
    <row r="367" spans="2:8" x14ac:dyDescent="0.25">
      <c r="B367" s="29">
        <v>359</v>
      </c>
      <c r="C367" s="30">
        <v>0.26090116279069769</v>
      </c>
      <c r="D367" s="28">
        <v>35802</v>
      </c>
      <c r="E367" s="14">
        <v>-5.5921466088596494E-3</v>
      </c>
      <c r="F367" s="14">
        <v>-5.7227208809352836E-3</v>
      </c>
      <c r="G367" s="14">
        <v>-2.9352839770768746E-3</v>
      </c>
      <c r="H367" s="14">
        <v>-2.89545582766082E-3</v>
      </c>
    </row>
    <row r="368" spans="2:8" x14ac:dyDescent="0.25">
      <c r="B368" s="29">
        <v>360</v>
      </c>
      <c r="C368" s="30">
        <v>0.26162790697674421</v>
      </c>
      <c r="D368" s="28">
        <v>35803</v>
      </c>
      <c r="E368" s="14">
        <v>-5.5612443063451922E-3</v>
      </c>
      <c r="F368" s="14">
        <v>-5.6969236612228746E-3</v>
      </c>
      <c r="G368" s="14">
        <v>-2.9229958311371984E-3</v>
      </c>
      <c r="H368" s="14">
        <v>-2.8450200263797415E-3</v>
      </c>
    </row>
    <row r="369" spans="2:8" x14ac:dyDescent="0.25">
      <c r="B369" s="29">
        <v>361</v>
      </c>
      <c r="C369" s="30">
        <v>0.26235465116279072</v>
      </c>
      <c r="D369" s="28">
        <v>35804</v>
      </c>
      <c r="E369" s="14">
        <v>-5.5302850917826607E-3</v>
      </c>
      <c r="F369" s="14">
        <v>-5.6724788087794131E-3</v>
      </c>
      <c r="G369" s="14">
        <v>-2.9179058414231518E-3</v>
      </c>
      <c r="H369" s="14">
        <v>-2.8421397603673793E-3</v>
      </c>
    </row>
    <row r="370" spans="2:8" x14ac:dyDescent="0.25">
      <c r="B370" s="29">
        <v>362</v>
      </c>
      <c r="C370" s="30">
        <v>0.26308139534883723</v>
      </c>
      <c r="D370" s="28">
        <v>35807</v>
      </c>
      <c r="E370" s="14">
        <v>-5.5001766850305556E-3</v>
      </c>
      <c r="F370" s="14">
        <v>-5.6591626516031557E-3</v>
      </c>
      <c r="G370" s="14">
        <v>-2.9175382582847798E-3</v>
      </c>
      <c r="H370" s="14">
        <v>-2.8060227991059342E-3</v>
      </c>
    </row>
    <row r="371" spans="2:8" x14ac:dyDescent="0.25">
      <c r="B371" s="29">
        <v>363</v>
      </c>
      <c r="C371" s="30">
        <v>0.26380813953488375</v>
      </c>
      <c r="D371" s="28">
        <v>35808</v>
      </c>
      <c r="E371" s="14">
        <v>-5.4953935671570031E-3</v>
      </c>
      <c r="F371" s="14">
        <v>-5.6562284745402813E-3</v>
      </c>
      <c r="G371" s="14">
        <v>-2.9066387629346213E-3</v>
      </c>
      <c r="H371" s="14">
        <v>-2.7979930947335417E-3</v>
      </c>
    </row>
    <row r="372" spans="2:8" x14ac:dyDescent="0.25">
      <c r="B372" s="29">
        <v>364</v>
      </c>
      <c r="C372" s="30">
        <v>0.26453488372093026</v>
      </c>
      <c r="D372" s="28">
        <v>35809</v>
      </c>
      <c r="E372" s="14">
        <v>-5.4316537133670684E-3</v>
      </c>
      <c r="F372" s="14">
        <v>-5.6203088257776868E-3</v>
      </c>
      <c r="G372" s="14">
        <v>-2.8944246737840906E-3</v>
      </c>
      <c r="H372" s="14">
        <v>-2.7956929649212369E-3</v>
      </c>
    </row>
    <row r="373" spans="2:8" x14ac:dyDescent="0.25">
      <c r="B373" s="29">
        <v>365</v>
      </c>
      <c r="C373" s="30">
        <v>0.26526162790697677</v>
      </c>
      <c r="D373" s="28">
        <v>35810</v>
      </c>
      <c r="E373" s="14">
        <v>-5.4272818829497194E-3</v>
      </c>
      <c r="F373" s="14">
        <v>-5.573686617725726E-3</v>
      </c>
      <c r="G373" s="14">
        <v>-2.892608743962688E-3</v>
      </c>
      <c r="H373" s="14">
        <v>-2.7942174440973356E-3</v>
      </c>
    </row>
    <row r="374" spans="2:8" x14ac:dyDescent="0.25">
      <c r="B374" s="29">
        <v>366</v>
      </c>
      <c r="C374" s="30">
        <v>0.26598837209302323</v>
      </c>
      <c r="D374" s="28">
        <v>35811</v>
      </c>
      <c r="E374" s="14">
        <v>-5.4190548914284653E-3</v>
      </c>
      <c r="F374" s="14">
        <v>-5.5709276001361108E-3</v>
      </c>
      <c r="G374" s="14">
        <v>-2.8772753963595132E-3</v>
      </c>
      <c r="H374" s="14">
        <v>-2.7920787091253894E-3</v>
      </c>
    </row>
    <row r="375" spans="2:8" x14ac:dyDescent="0.25">
      <c r="B375" s="29">
        <v>367</v>
      </c>
      <c r="C375" s="30">
        <v>0.26671511627906974</v>
      </c>
      <c r="D375" s="28">
        <v>35814</v>
      </c>
      <c r="E375" s="14">
        <v>-5.4037826478534612E-3</v>
      </c>
      <c r="F375" s="14">
        <v>-5.566339346882776E-3</v>
      </c>
      <c r="G375" s="14">
        <v>-2.8495378117328052E-3</v>
      </c>
      <c r="H375" s="14">
        <v>-2.7858882158208424E-3</v>
      </c>
    </row>
    <row r="376" spans="2:8" x14ac:dyDescent="0.25">
      <c r="B376" s="29">
        <v>368</v>
      </c>
      <c r="C376" s="30">
        <v>0.26744186046511625</v>
      </c>
      <c r="D376" s="28">
        <v>35815</v>
      </c>
      <c r="E376" s="14">
        <v>-5.3837774426011009E-3</v>
      </c>
      <c r="F376" s="14">
        <v>-5.5481491534083993E-3</v>
      </c>
      <c r="G376" s="14">
        <v>-2.8372933596383376E-3</v>
      </c>
      <c r="H376" s="14">
        <v>-2.756838438189124E-3</v>
      </c>
    </row>
    <row r="377" spans="2:8" x14ac:dyDescent="0.25">
      <c r="B377" s="29">
        <v>369</v>
      </c>
      <c r="C377" s="30">
        <v>0.26816860465116277</v>
      </c>
      <c r="D377" s="28">
        <v>35816</v>
      </c>
      <c r="E377" s="14">
        <v>-5.380746247864665E-3</v>
      </c>
      <c r="F377" s="14">
        <v>-5.5416488257962193E-3</v>
      </c>
      <c r="G377" s="14">
        <v>-2.8354315526823992E-3</v>
      </c>
      <c r="H377" s="14">
        <v>-2.7400389026293495E-3</v>
      </c>
    </row>
    <row r="378" spans="2:8" x14ac:dyDescent="0.25">
      <c r="B378" s="29">
        <v>370</v>
      </c>
      <c r="C378" s="30">
        <v>0.26889534883720928</v>
      </c>
      <c r="D378" s="28">
        <v>35817</v>
      </c>
      <c r="E378" s="14">
        <v>-5.3595155954393459E-3</v>
      </c>
      <c r="F378" s="14">
        <v>-5.5086301872934174E-3</v>
      </c>
      <c r="G378" s="14">
        <v>-2.8328849380057086E-3</v>
      </c>
      <c r="H378" s="14">
        <v>-2.7352325870576791E-3</v>
      </c>
    </row>
    <row r="379" spans="2:8" x14ac:dyDescent="0.25">
      <c r="B379" s="29">
        <v>371</v>
      </c>
      <c r="C379" s="30">
        <v>0.26962209302325579</v>
      </c>
      <c r="D379" s="28">
        <v>35818</v>
      </c>
      <c r="E379" s="14">
        <v>-5.3525160276314265E-3</v>
      </c>
      <c r="F379" s="14">
        <v>-5.4821390401226244E-3</v>
      </c>
      <c r="G379" s="14">
        <v>-2.8228938380033819E-3</v>
      </c>
      <c r="H379" s="14">
        <v>-2.7289139203834356E-3</v>
      </c>
    </row>
    <row r="380" spans="2:8" x14ac:dyDescent="0.25">
      <c r="B380" s="29">
        <v>372</v>
      </c>
      <c r="C380" s="30">
        <v>0.27034883720930231</v>
      </c>
      <c r="D380" s="28">
        <v>35821</v>
      </c>
      <c r="E380" s="14">
        <v>-5.3497045659078868E-3</v>
      </c>
      <c r="F380" s="14">
        <v>-5.4809953416010693E-3</v>
      </c>
      <c r="G380" s="14">
        <v>-2.8225992077253181E-3</v>
      </c>
      <c r="H380" s="14">
        <v>-2.7003998614891778E-3</v>
      </c>
    </row>
    <row r="381" spans="2:8" x14ac:dyDescent="0.25">
      <c r="B381" s="29">
        <v>373</v>
      </c>
      <c r="C381" s="30">
        <v>0.27107558139534882</v>
      </c>
      <c r="D381" s="28">
        <v>35822</v>
      </c>
      <c r="E381" s="14">
        <v>-5.3294370447598549E-3</v>
      </c>
      <c r="F381" s="14">
        <v>-5.4422377288722013E-3</v>
      </c>
      <c r="G381" s="14">
        <v>-2.8107472627107999E-3</v>
      </c>
      <c r="H381" s="14">
        <v>-2.6516885375806876E-3</v>
      </c>
    </row>
    <row r="382" spans="2:8" x14ac:dyDescent="0.25">
      <c r="B382" s="29">
        <v>374</v>
      </c>
      <c r="C382" s="30">
        <v>0.27180232558139533</v>
      </c>
      <c r="D382" s="28">
        <v>35823</v>
      </c>
      <c r="E382" s="14">
        <v>-5.3292011786117977E-3</v>
      </c>
      <c r="F382" s="14">
        <v>-5.4079220686197305E-3</v>
      </c>
      <c r="G382" s="14">
        <v>-2.8065754052351011E-3</v>
      </c>
      <c r="H382" s="14">
        <v>-2.6447072242439251E-3</v>
      </c>
    </row>
    <row r="383" spans="2:8" x14ac:dyDescent="0.25">
      <c r="B383" s="29">
        <v>375</v>
      </c>
      <c r="C383" s="30">
        <v>0.27252906976744184</v>
      </c>
      <c r="D383" s="28">
        <v>35824</v>
      </c>
      <c r="E383" s="14">
        <v>-5.3070507960576441E-3</v>
      </c>
      <c r="F383" s="14">
        <v>-5.3734076561019473E-3</v>
      </c>
      <c r="G383" s="14">
        <v>-2.7487049370968908E-3</v>
      </c>
      <c r="H383" s="14">
        <v>-2.6416866056299341E-3</v>
      </c>
    </row>
    <row r="384" spans="2:8" x14ac:dyDescent="0.25">
      <c r="B384" s="29">
        <v>376</v>
      </c>
      <c r="C384" s="30">
        <v>0.27325581395348836</v>
      </c>
      <c r="D384" s="28">
        <v>35825</v>
      </c>
      <c r="E384" s="14">
        <v>-5.2943205395040716E-3</v>
      </c>
      <c r="F384" s="14">
        <v>-5.3689505114632441E-3</v>
      </c>
      <c r="G384" s="14">
        <v>-2.6942294503772279E-3</v>
      </c>
      <c r="H384" s="14">
        <v>-2.6398176759227622E-3</v>
      </c>
    </row>
    <row r="385" spans="2:8" x14ac:dyDescent="0.25">
      <c r="B385" s="29">
        <v>377</v>
      </c>
      <c r="C385" s="30">
        <v>0.27398255813953487</v>
      </c>
      <c r="D385" s="28">
        <v>35828</v>
      </c>
      <c r="E385" s="14">
        <v>-5.2938062466914015E-3</v>
      </c>
      <c r="F385" s="14">
        <v>-5.3534725873524147E-3</v>
      </c>
      <c r="G385" s="14">
        <v>-2.6628794603230643E-3</v>
      </c>
      <c r="H385" s="14">
        <v>-2.6360329741713208E-3</v>
      </c>
    </row>
    <row r="386" spans="2:8" x14ac:dyDescent="0.25">
      <c r="B386" s="29">
        <v>378</v>
      </c>
      <c r="C386" s="30">
        <v>0.27470930232558138</v>
      </c>
      <c r="D386" s="28">
        <v>35829</v>
      </c>
      <c r="E386" s="14">
        <v>-5.2769401682273287E-3</v>
      </c>
      <c r="F386" s="14">
        <v>-5.3454412818997321E-3</v>
      </c>
      <c r="G386" s="14">
        <v>-2.6604898954306622E-3</v>
      </c>
      <c r="H386" s="14">
        <v>-2.6008071199868704E-3</v>
      </c>
    </row>
    <row r="387" spans="2:8" x14ac:dyDescent="0.25">
      <c r="B387" s="29">
        <v>379</v>
      </c>
      <c r="C387" s="30">
        <v>0.2754360465116279</v>
      </c>
      <c r="D387" s="28">
        <v>35830</v>
      </c>
      <c r="E387" s="14">
        <v>-5.2092277749156146E-3</v>
      </c>
      <c r="F387" s="14">
        <v>-5.3355282981428775E-3</v>
      </c>
      <c r="G387" s="14">
        <v>-2.6489081251037661E-3</v>
      </c>
      <c r="H387" s="14">
        <v>-2.5972463803685115E-3</v>
      </c>
    </row>
    <row r="388" spans="2:8" x14ac:dyDescent="0.25">
      <c r="B388" s="29">
        <v>380</v>
      </c>
      <c r="C388" s="30">
        <v>0.27616279069767441</v>
      </c>
      <c r="D388" s="28">
        <v>35831</v>
      </c>
      <c r="E388" s="14">
        <v>-5.1634910761478858E-3</v>
      </c>
      <c r="F388" s="14">
        <v>-5.3310793272590695E-3</v>
      </c>
      <c r="G388" s="14">
        <v>-2.6304462193313949E-3</v>
      </c>
      <c r="H388" s="14">
        <v>-2.5707063649333065E-3</v>
      </c>
    </row>
    <row r="389" spans="2:8" x14ac:dyDescent="0.25">
      <c r="B389" s="29">
        <v>381</v>
      </c>
      <c r="C389" s="30">
        <v>0.27688953488372092</v>
      </c>
      <c r="D389" s="28">
        <v>35832</v>
      </c>
      <c r="E389" s="14">
        <v>-5.1407607549672774E-3</v>
      </c>
      <c r="F389" s="14">
        <v>-5.3212090595267103E-3</v>
      </c>
      <c r="G389" s="14">
        <v>-2.6268296062742502E-3</v>
      </c>
      <c r="H389" s="14">
        <v>-2.5682990842368805E-3</v>
      </c>
    </row>
    <row r="390" spans="2:8" x14ac:dyDescent="0.25">
      <c r="B390" s="29">
        <v>382</v>
      </c>
      <c r="C390" s="30">
        <v>0.27761627906976744</v>
      </c>
      <c r="D390" s="28">
        <v>35835</v>
      </c>
      <c r="E390" s="14">
        <v>-5.1258334342937362E-3</v>
      </c>
      <c r="F390" s="14">
        <v>-5.3171611911295713E-3</v>
      </c>
      <c r="G390" s="14">
        <v>-2.6243788039532756E-3</v>
      </c>
      <c r="H390" s="14">
        <v>-2.5651339910660381E-3</v>
      </c>
    </row>
    <row r="391" spans="2:8" x14ac:dyDescent="0.25">
      <c r="B391" s="29">
        <v>383</v>
      </c>
      <c r="C391" s="30">
        <v>0.27834302325581395</v>
      </c>
      <c r="D391" s="28">
        <v>35836</v>
      </c>
      <c r="E391" s="14">
        <v>-5.0854724273878826E-3</v>
      </c>
      <c r="F391" s="14">
        <v>-5.2867101644867853E-3</v>
      </c>
      <c r="G391" s="14">
        <v>-2.6182995334665948E-3</v>
      </c>
      <c r="H391" s="14">
        <v>-2.5591778653079045E-3</v>
      </c>
    </row>
    <row r="392" spans="2:8" x14ac:dyDescent="0.25">
      <c r="B392" s="29">
        <v>384</v>
      </c>
      <c r="C392" s="30">
        <v>0.27906976744186046</v>
      </c>
      <c r="D392" s="28">
        <v>35837</v>
      </c>
      <c r="E392" s="14">
        <v>-5.0369375419745399E-3</v>
      </c>
      <c r="F392" s="14">
        <v>-5.2707410041764602E-3</v>
      </c>
      <c r="G392" s="14">
        <v>-2.6032540049627517E-3</v>
      </c>
      <c r="H392" s="14">
        <v>-2.5575600424015302E-3</v>
      </c>
    </row>
    <row r="393" spans="2:8" x14ac:dyDescent="0.25">
      <c r="B393" s="29">
        <v>385</v>
      </c>
      <c r="C393" s="30">
        <v>0.27979651162790697</v>
      </c>
      <c r="D393" s="28">
        <v>35838</v>
      </c>
      <c r="E393" s="14">
        <v>-5.0076051234830832E-3</v>
      </c>
      <c r="F393" s="14">
        <v>-5.2426786811387016E-3</v>
      </c>
      <c r="G393" s="14">
        <v>-2.5969274575733392E-3</v>
      </c>
      <c r="H393" s="14">
        <v>-2.5550945330438338E-3</v>
      </c>
    </row>
    <row r="394" spans="2:8" x14ac:dyDescent="0.25">
      <c r="B394" s="29">
        <v>386</v>
      </c>
      <c r="C394" s="30">
        <v>0.28052325581395349</v>
      </c>
      <c r="D394" s="28">
        <v>35839</v>
      </c>
      <c r="E394" s="14">
        <v>-5.0054053959885936E-3</v>
      </c>
      <c r="F394" s="14">
        <v>-5.2307614367496091E-3</v>
      </c>
      <c r="G394" s="14">
        <v>-2.5876155674933177E-3</v>
      </c>
      <c r="H394" s="14">
        <v>-2.545672104289087E-3</v>
      </c>
    </row>
    <row r="395" spans="2:8" x14ac:dyDescent="0.25">
      <c r="B395" s="29">
        <v>387</v>
      </c>
      <c r="C395" s="30">
        <v>0.28125</v>
      </c>
      <c r="D395" s="28">
        <v>35842</v>
      </c>
      <c r="E395" s="14">
        <v>-4.9648670357644864E-3</v>
      </c>
      <c r="F395" s="14">
        <v>-5.2217086115390332E-3</v>
      </c>
      <c r="G395" s="14">
        <v>-2.5540485412111069E-3</v>
      </c>
      <c r="H395" s="14">
        <v>-2.5372862430236291E-3</v>
      </c>
    </row>
    <row r="396" spans="2:8" x14ac:dyDescent="0.25">
      <c r="B396" s="29">
        <v>388</v>
      </c>
      <c r="C396" s="30">
        <v>0.28197674418604651</v>
      </c>
      <c r="D396" s="28">
        <v>35843</v>
      </c>
      <c r="E396" s="14">
        <v>-4.9616588460293931E-3</v>
      </c>
      <c r="F396" s="14">
        <v>-5.188959394829884E-3</v>
      </c>
      <c r="G396" s="14">
        <v>-2.5353272638295454E-3</v>
      </c>
      <c r="H396" s="14">
        <v>-2.5371545926222705E-3</v>
      </c>
    </row>
    <row r="397" spans="2:8" x14ac:dyDescent="0.25">
      <c r="B397" s="29">
        <v>389</v>
      </c>
      <c r="C397" s="30">
        <v>0.28270348837209303</v>
      </c>
      <c r="D397" s="28">
        <v>35844</v>
      </c>
      <c r="E397" s="14">
        <v>-4.9199860741296897E-3</v>
      </c>
      <c r="F397" s="14">
        <v>-5.1700606487882217E-3</v>
      </c>
      <c r="G397" s="14">
        <v>-2.5226294702478391E-3</v>
      </c>
      <c r="H397" s="14">
        <v>-2.5364559209420491E-3</v>
      </c>
    </row>
    <row r="398" spans="2:8" x14ac:dyDescent="0.25">
      <c r="B398" s="29">
        <v>390</v>
      </c>
      <c r="C398" s="30">
        <v>0.28343023255813954</v>
      </c>
      <c r="D398" s="28">
        <v>35845</v>
      </c>
      <c r="E398" s="14">
        <v>-4.9169209901661626E-3</v>
      </c>
      <c r="F398" s="14">
        <v>-5.1603974099153627E-3</v>
      </c>
      <c r="G398" s="14">
        <v>-2.4952535937076137E-3</v>
      </c>
      <c r="H398" s="14">
        <v>-2.5012601771122081E-3</v>
      </c>
    </row>
    <row r="399" spans="2:8" x14ac:dyDescent="0.25">
      <c r="B399" s="29">
        <v>391</v>
      </c>
      <c r="C399" s="30">
        <v>0.28415697674418605</v>
      </c>
      <c r="D399" s="28">
        <v>35846</v>
      </c>
      <c r="E399" s="14">
        <v>-4.8863984155039786E-3</v>
      </c>
      <c r="F399" s="14">
        <v>-5.1476682807659602E-3</v>
      </c>
      <c r="G399" s="14">
        <v>-2.4895293439940458E-3</v>
      </c>
      <c r="H399" s="14">
        <v>-2.4923361531299817E-3</v>
      </c>
    </row>
    <row r="400" spans="2:8" x14ac:dyDescent="0.25">
      <c r="B400" s="29">
        <v>392</v>
      </c>
      <c r="C400" s="30">
        <v>0.28488372093023256</v>
      </c>
      <c r="D400" s="28">
        <v>35849</v>
      </c>
      <c r="E400" s="14">
        <v>-4.8766244239992762E-3</v>
      </c>
      <c r="F400" s="14">
        <v>-5.0355050355050945E-3</v>
      </c>
      <c r="G400" s="14">
        <v>-2.48098747416714E-3</v>
      </c>
      <c r="H400" s="14">
        <v>-2.475408110655497E-3</v>
      </c>
    </row>
    <row r="401" spans="2:8" x14ac:dyDescent="0.25">
      <c r="B401" s="29">
        <v>393</v>
      </c>
      <c r="C401" s="30">
        <v>0.28561046511627908</v>
      </c>
      <c r="D401" s="28">
        <v>35850</v>
      </c>
      <c r="E401" s="14">
        <v>-4.8659409254182551E-3</v>
      </c>
      <c r="F401" s="14">
        <v>-5.0171835886121396E-3</v>
      </c>
      <c r="G401" s="14">
        <v>-2.4734137251205546E-3</v>
      </c>
      <c r="H401" s="14">
        <v>-2.4530657875115216E-3</v>
      </c>
    </row>
    <row r="402" spans="2:8" x14ac:dyDescent="0.25">
      <c r="B402" s="29">
        <v>394</v>
      </c>
      <c r="C402" s="30">
        <v>0.28633720930232559</v>
      </c>
      <c r="D402" s="28">
        <v>35851</v>
      </c>
      <c r="E402" s="14">
        <v>-4.8486287791177363E-3</v>
      </c>
      <c r="F402" s="14">
        <v>-5.0027997995932827E-3</v>
      </c>
      <c r="G402" s="14">
        <v>-2.4690207770425854E-3</v>
      </c>
      <c r="H402" s="14">
        <v>-2.4524735659032346E-3</v>
      </c>
    </row>
    <row r="403" spans="2:8" x14ac:dyDescent="0.25">
      <c r="B403" s="29">
        <v>395</v>
      </c>
      <c r="C403" s="30">
        <v>0.2870639534883721</v>
      </c>
      <c r="D403" s="28">
        <v>35852</v>
      </c>
      <c r="E403" s="14">
        <v>-4.8226345778261681E-3</v>
      </c>
      <c r="F403" s="14">
        <v>-4.9769112365315449E-3</v>
      </c>
      <c r="G403" s="14">
        <v>-2.425410350496815E-3</v>
      </c>
      <c r="H403" s="14">
        <v>-2.430316109238051E-3</v>
      </c>
    </row>
    <row r="404" spans="2:8" x14ac:dyDescent="0.25">
      <c r="B404" s="29">
        <v>396</v>
      </c>
      <c r="C404" s="30">
        <v>0.28779069767441862</v>
      </c>
      <c r="D404" s="28">
        <v>35853</v>
      </c>
      <c r="E404" s="14">
        <v>-4.7925510064356081E-3</v>
      </c>
      <c r="F404" s="14">
        <v>-4.9397085855825695E-3</v>
      </c>
      <c r="G404" s="14">
        <v>-2.4068647969861523E-3</v>
      </c>
      <c r="H404" s="14">
        <v>-2.4231930509282188E-3</v>
      </c>
    </row>
    <row r="405" spans="2:8" x14ac:dyDescent="0.25">
      <c r="B405" s="29">
        <v>397</v>
      </c>
      <c r="C405" s="30">
        <v>0.28851744186046513</v>
      </c>
      <c r="D405" s="28">
        <v>35856</v>
      </c>
      <c r="E405" s="14">
        <v>-4.7653716328015516E-3</v>
      </c>
      <c r="F405" s="14">
        <v>-4.9270999247371661E-3</v>
      </c>
      <c r="G405" s="14">
        <v>-2.4041091529678482E-3</v>
      </c>
      <c r="H405" s="14">
        <v>-2.4113887022437996E-3</v>
      </c>
    </row>
    <row r="406" spans="2:8" x14ac:dyDescent="0.25">
      <c r="B406" s="29">
        <v>398</v>
      </c>
      <c r="C406" s="30">
        <v>0.28924418604651164</v>
      </c>
      <c r="D406" s="28">
        <v>35857</v>
      </c>
      <c r="E406" s="14">
        <v>-4.7607548211267003E-3</v>
      </c>
      <c r="F406" s="14">
        <v>-4.9261707570346092E-3</v>
      </c>
      <c r="G406" s="14">
        <v>-2.3955989509677478E-3</v>
      </c>
      <c r="H406" s="14">
        <v>-2.3452793704036084E-3</v>
      </c>
    </row>
    <row r="407" spans="2:8" x14ac:dyDescent="0.25">
      <c r="B407" s="29">
        <v>399</v>
      </c>
      <c r="C407" s="30">
        <v>0.28997093023255816</v>
      </c>
      <c r="D407" s="28">
        <v>35858</v>
      </c>
      <c r="E407" s="14">
        <v>-4.7401297160933886E-3</v>
      </c>
      <c r="F407" s="14">
        <v>-4.9239662012537933E-3</v>
      </c>
      <c r="G407" s="14">
        <v>-2.383367139959458E-3</v>
      </c>
      <c r="H407" s="14">
        <v>-2.3315139176476544E-3</v>
      </c>
    </row>
    <row r="408" spans="2:8" x14ac:dyDescent="0.25">
      <c r="B408" s="29">
        <v>400</v>
      </c>
      <c r="C408" s="30">
        <v>0.29069767441860467</v>
      </c>
      <c r="D408" s="28">
        <v>35859</v>
      </c>
      <c r="E408" s="14">
        <v>-4.7381974248927872E-3</v>
      </c>
      <c r="F408" s="14">
        <v>-4.8832306729469366E-3</v>
      </c>
      <c r="G408" s="14">
        <v>-2.3791052495476528E-3</v>
      </c>
      <c r="H408" s="14">
        <v>-2.3094691457119952E-3</v>
      </c>
    </row>
    <row r="409" spans="2:8" x14ac:dyDescent="0.25">
      <c r="B409" s="29">
        <v>401</v>
      </c>
      <c r="C409" s="30">
        <v>0.29142441860465118</v>
      </c>
      <c r="D409" s="28">
        <v>35860</v>
      </c>
      <c r="E409" s="14">
        <v>-4.7299819292451195E-3</v>
      </c>
      <c r="F409" s="14">
        <v>-4.8816190591299824E-3</v>
      </c>
      <c r="G409" s="14">
        <v>-2.3759531439937476E-3</v>
      </c>
      <c r="H409" s="14">
        <v>-2.3086727135219311E-3</v>
      </c>
    </row>
    <row r="410" spans="2:8" x14ac:dyDescent="0.25">
      <c r="B410" s="29">
        <v>402</v>
      </c>
      <c r="C410" s="30">
        <v>0.29215116279069769</v>
      </c>
      <c r="D410" s="28">
        <v>35863</v>
      </c>
      <c r="E410" s="14">
        <v>-4.7117951939690261E-3</v>
      </c>
      <c r="F410" s="14">
        <v>-4.8691860465115422E-3</v>
      </c>
      <c r="G410" s="14">
        <v>-2.3368803818432093E-3</v>
      </c>
      <c r="H410" s="14">
        <v>-2.2818492801468752E-3</v>
      </c>
    </row>
    <row r="411" spans="2:8" x14ac:dyDescent="0.25">
      <c r="B411" s="29">
        <v>403</v>
      </c>
      <c r="C411" s="30">
        <v>0.29287790697674421</v>
      </c>
      <c r="D411" s="28">
        <v>35864</v>
      </c>
      <c r="E411" s="14">
        <v>-4.6595289079230939E-3</v>
      </c>
      <c r="F411" s="14">
        <v>-4.867624361866274E-3</v>
      </c>
      <c r="G411" s="14">
        <v>-2.335030121888737E-3</v>
      </c>
      <c r="H411" s="14">
        <v>-2.2385309465089431E-3</v>
      </c>
    </row>
    <row r="412" spans="2:8" x14ac:dyDescent="0.25">
      <c r="B412" s="29">
        <v>404</v>
      </c>
      <c r="C412" s="30">
        <v>0.29360465116279072</v>
      </c>
      <c r="D412" s="28">
        <v>35865</v>
      </c>
      <c r="E412" s="14">
        <v>-4.5833089540303629E-3</v>
      </c>
      <c r="F412" s="14">
        <v>-4.8272893757437263E-3</v>
      </c>
      <c r="G412" s="14">
        <v>-2.2624434389140191E-3</v>
      </c>
      <c r="H412" s="14">
        <v>-2.2311817255566079E-3</v>
      </c>
    </row>
    <row r="413" spans="2:8" x14ac:dyDescent="0.25">
      <c r="B413" s="29">
        <v>405</v>
      </c>
      <c r="C413" s="30">
        <v>0.29433139534883723</v>
      </c>
      <c r="D413" s="28">
        <v>35866</v>
      </c>
      <c r="E413" s="14">
        <v>-4.5697012872879528E-3</v>
      </c>
      <c r="F413" s="14">
        <v>-4.7802300946658827E-3</v>
      </c>
      <c r="G413" s="14">
        <v>-2.2382631078283755E-3</v>
      </c>
      <c r="H413" s="14">
        <v>-2.216493234243866E-3</v>
      </c>
    </row>
    <row r="414" spans="2:8" x14ac:dyDescent="0.25">
      <c r="B414" s="29">
        <v>406</v>
      </c>
      <c r="C414" s="30">
        <v>0.29505813953488375</v>
      </c>
      <c r="D414" s="28">
        <v>35867</v>
      </c>
      <c r="E414" s="14">
        <v>-4.5375218150087715E-3</v>
      </c>
      <c r="F414" s="14">
        <v>-4.7228702494845898E-3</v>
      </c>
      <c r="G414" s="14">
        <v>-2.2381274244043237E-3</v>
      </c>
      <c r="H414" s="14">
        <v>-2.2067338747853165E-3</v>
      </c>
    </row>
    <row r="415" spans="2:8" x14ac:dyDescent="0.25">
      <c r="B415" s="29">
        <v>407</v>
      </c>
      <c r="C415" s="30">
        <v>0.29578488372093026</v>
      </c>
      <c r="D415" s="28">
        <v>35870</v>
      </c>
      <c r="E415" s="14">
        <v>-4.4896526525223246E-3</v>
      </c>
      <c r="F415" s="14">
        <v>-4.7224262776786041E-3</v>
      </c>
      <c r="G415" s="14">
        <v>-2.2009386480489335E-3</v>
      </c>
      <c r="H415" s="14">
        <v>-2.191845477889798E-3</v>
      </c>
    </row>
    <row r="416" spans="2:8" x14ac:dyDescent="0.25">
      <c r="B416" s="29">
        <v>408</v>
      </c>
      <c r="C416" s="30">
        <v>0.29651162790697677</v>
      </c>
      <c r="D416" s="28">
        <v>35871</v>
      </c>
      <c r="E416" s="14">
        <v>-4.4778849070706839E-3</v>
      </c>
      <c r="F416" s="14">
        <v>-4.7115469825420586E-3</v>
      </c>
      <c r="G416" s="14">
        <v>-2.187366623986442E-3</v>
      </c>
      <c r="H416" s="14">
        <v>-2.1860036538331245E-3</v>
      </c>
    </row>
    <row r="417" spans="2:8" x14ac:dyDescent="0.25">
      <c r="B417" s="29">
        <v>409</v>
      </c>
      <c r="C417" s="30">
        <v>0.29723837209302323</v>
      </c>
      <c r="D417" s="28">
        <v>35872</v>
      </c>
      <c r="E417" s="14">
        <v>-4.4721825176819996E-3</v>
      </c>
      <c r="F417" s="14">
        <v>-4.7010430439252682E-3</v>
      </c>
      <c r="G417" s="14">
        <v>-2.1759980914071164E-3</v>
      </c>
      <c r="H417" s="14">
        <v>-2.1810212939790356E-3</v>
      </c>
    </row>
    <row r="418" spans="2:8" x14ac:dyDescent="0.25">
      <c r="B418" s="29">
        <v>410</v>
      </c>
      <c r="C418" s="30">
        <v>0.29796511627906974</v>
      </c>
      <c r="D418" s="28">
        <v>35873</v>
      </c>
      <c r="E418" s="14">
        <v>-4.4677698140088706E-3</v>
      </c>
      <c r="F418" s="14">
        <v>-4.6996743208145286E-3</v>
      </c>
      <c r="G418" s="14">
        <v>-2.1759637101912421E-3</v>
      </c>
      <c r="H418" s="14">
        <v>-2.1787599539697662E-3</v>
      </c>
    </row>
    <row r="419" spans="2:8" x14ac:dyDescent="0.25">
      <c r="B419" s="29">
        <v>411</v>
      </c>
      <c r="C419" s="30">
        <v>0.29869186046511625</v>
      </c>
      <c r="D419" s="28">
        <v>35874</v>
      </c>
      <c r="E419" s="14">
        <v>-4.4597846316906109E-3</v>
      </c>
      <c r="F419" s="14">
        <v>-4.6763535947927926E-3</v>
      </c>
      <c r="G419" s="14">
        <v>-2.1487429576821926E-3</v>
      </c>
      <c r="H419" s="14">
        <v>-2.1266185744028389E-3</v>
      </c>
    </row>
    <row r="420" spans="2:8" x14ac:dyDescent="0.25">
      <c r="B420" s="29">
        <v>412</v>
      </c>
      <c r="C420" s="30">
        <v>0.29941860465116277</v>
      </c>
      <c r="D420" s="28">
        <v>35877</v>
      </c>
      <c r="E420" s="14">
        <v>-4.4334946311848089E-3</v>
      </c>
      <c r="F420" s="14">
        <v>-4.6651116294568196E-3</v>
      </c>
      <c r="G420" s="14">
        <v>-2.1473895072918747E-3</v>
      </c>
      <c r="H420" s="14">
        <v>-2.1152442040534235E-3</v>
      </c>
    </row>
    <row r="421" spans="2:8" x14ac:dyDescent="0.25">
      <c r="B421" s="29">
        <v>413</v>
      </c>
      <c r="C421" s="30">
        <v>0.30014534883720928</v>
      </c>
      <c r="D421" s="28">
        <v>35878</v>
      </c>
      <c r="E421" s="14">
        <v>-4.3955181413237732E-3</v>
      </c>
      <c r="F421" s="14">
        <v>-4.6552083205723127E-3</v>
      </c>
      <c r="G421" s="14">
        <v>-2.1164915465404777E-3</v>
      </c>
      <c r="H421" s="14">
        <v>-2.1069907229587462E-3</v>
      </c>
    </row>
    <row r="422" spans="2:8" x14ac:dyDescent="0.25">
      <c r="B422" s="29">
        <v>414</v>
      </c>
      <c r="C422" s="30">
        <v>0.30087209302325579</v>
      </c>
      <c r="D422" s="28">
        <v>35879</v>
      </c>
      <c r="E422" s="14">
        <v>-4.3125731212171337E-3</v>
      </c>
      <c r="F422" s="14">
        <v>-4.647714320493046E-3</v>
      </c>
      <c r="G422" s="14">
        <v>-2.1032163760861255E-3</v>
      </c>
      <c r="H422" s="14">
        <v>-2.0942956869618003E-3</v>
      </c>
    </row>
    <row r="423" spans="2:8" x14ac:dyDescent="0.25">
      <c r="B423" s="29">
        <v>415</v>
      </c>
      <c r="C423" s="30">
        <v>0.30159883720930231</v>
      </c>
      <c r="D423" s="28">
        <v>35880</v>
      </c>
      <c r="E423" s="14">
        <v>-4.3118316660918365E-3</v>
      </c>
      <c r="F423" s="14">
        <v>-4.6302317717138441E-3</v>
      </c>
      <c r="G423" s="14">
        <v>-2.0906524748158795E-3</v>
      </c>
      <c r="H423" s="14">
        <v>-2.0807068422297849E-3</v>
      </c>
    </row>
    <row r="424" spans="2:8" x14ac:dyDescent="0.25">
      <c r="B424" s="29">
        <v>416</v>
      </c>
      <c r="C424" s="30">
        <v>0.30232558139534882</v>
      </c>
      <c r="D424" s="28">
        <v>35881</v>
      </c>
      <c r="E424" s="14">
        <v>-4.2975206611569616E-3</v>
      </c>
      <c r="F424" s="14">
        <v>-4.6206945129252386E-3</v>
      </c>
      <c r="G424" s="14">
        <v>-2.0882607822885202E-3</v>
      </c>
      <c r="H424" s="14">
        <v>-2.0539640870010922E-3</v>
      </c>
    </row>
    <row r="425" spans="2:8" x14ac:dyDescent="0.25">
      <c r="B425" s="29">
        <v>417</v>
      </c>
      <c r="C425" s="30">
        <v>0.30305232558139533</v>
      </c>
      <c r="D425" s="28">
        <v>35884</v>
      </c>
      <c r="E425" s="14">
        <v>-4.2616623871123416E-3</v>
      </c>
      <c r="F425" s="14">
        <v>-4.6062307296060867E-3</v>
      </c>
      <c r="G425" s="14">
        <v>-2.0567902645260983E-3</v>
      </c>
      <c r="H425" s="14">
        <v>-2.0061656933028083E-3</v>
      </c>
    </row>
    <row r="426" spans="2:8" x14ac:dyDescent="0.25">
      <c r="B426" s="29">
        <v>418</v>
      </c>
      <c r="C426" s="30">
        <v>0.30377906976744184</v>
      </c>
      <c r="D426" s="28">
        <v>35885</v>
      </c>
      <c r="E426" s="14">
        <v>-4.2506954715613166E-3</v>
      </c>
      <c r="F426" s="14">
        <v>-4.5168747489486849E-3</v>
      </c>
      <c r="G426" s="14">
        <v>-2.0368903474030642E-3</v>
      </c>
      <c r="H426" s="14">
        <v>-2.0027489330430642E-3</v>
      </c>
    </row>
    <row r="427" spans="2:8" x14ac:dyDescent="0.25">
      <c r="B427" s="29">
        <v>419</v>
      </c>
      <c r="C427" s="30">
        <v>0.30450581395348836</v>
      </c>
      <c r="D427" s="28">
        <v>35886</v>
      </c>
      <c r="E427" s="14">
        <v>-4.2471911572578014E-3</v>
      </c>
      <c r="F427" s="14">
        <v>-4.5136222982249397E-3</v>
      </c>
      <c r="G427" s="14">
        <v>-2.0356101052586562E-3</v>
      </c>
      <c r="H427" s="14">
        <v>-1.9958084195369043E-3</v>
      </c>
    </row>
    <row r="428" spans="2:8" x14ac:dyDescent="0.25">
      <c r="B428" s="29">
        <v>420</v>
      </c>
      <c r="C428" s="30">
        <v>0.30523255813953487</v>
      </c>
      <c r="D428" s="28">
        <v>35887</v>
      </c>
      <c r="E428" s="14">
        <v>-4.2412275920683529E-3</v>
      </c>
      <c r="F428" s="14">
        <v>-4.4877894069140778E-3</v>
      </c>
      <c r="G428" s="14">
        <v>-2.0216886727514316E-3</v>
      </c>
      <c r="H428" s="14">
        <v>-1.9939137986109139E-3</v>
      </c>
    </row>
    <row r="429" spans="2:8" x14ac:dyDescent="0.25">
      <c r="B429" s="29">
        <v>421</v>
      </c>
      <c r="C429" s="30">
        <v>0.30595930232558138</v>
      </c>
      <c r="D429" s="28">
        <v>35888</v>
      </c>
      <c r="E429" s="14">
        <v>-4.2408821034773947E-3</v>
      </c>
      <c r="F429" s="14">
        <v>-4.4809559372666063E-3</v>
      </c>
      <c r="G429" s="14">
        <v>-2.0166551544774647E-3</v>
      </c>
      <c r="H429" s="14">
        <v>-1.9932004753548506E-3</v>
      </c>
    </row>
    <row r="430" spans="2:8" x14ac:dyDescent="0.25">
      <c r="B430" s="29">
        <v>422</v>
      </c>
      <c r="C430" s="30">
        <v>0.3066860465116279</v>
      </c>
      <c r="D430" s="28">
        <v>35891</v>
      </c>
      <c r="E430" s="14">
        <v>-4.2309181729091039E-3</v>
      </c>
      <c r="F430" s="14">
        <v>-4.4580901503774584E-3</v>
      </c>
      <c r="G430" s="14">
        <v>-1.9916817995430103E-3</v>
      </c>
      <c r="H430" s="14">
        <v>-1.9712074424243836E-3</v>
      </c>
    </row>
    <row r="431" spans="2:8" x14ac:dyDescent="0.25">
      <c r="B431" s="29">
        <v>423</v>
      </c>
      <c r="C431" s="30">
        <v>0.30741279069767441</v>
      </c>
      <c r="D431" s="28">
        <v>35892</v>
      </c>
      <c r="E431" s="14">
        <v>-4.2208340368057318E-3</v>
      </c>
      <c r="F431" s="14">
        <v>-4.4503822197055065E-3</v>
      </c>
      <c r="G431" s="14">
        <v>-1.9866878817424993E-3</v>
      </c>
      <c r="H431" s="14">
        <v>-1.9643163115086182E-3</v>
      </c>
    </row>
    <row r="432" spans="2:8" x14ac:dyDescent="0.25">
      <c r="B432" s="29">
        <v>424</v>
      </c>
      <c r="C432" s="30">
        <v>0.30813953488372092</v>
      </c>
      <c r="D432" s="28">
        <v>35893</v>
      </c>
      <c r="E432" s="14">
        <v>-4.2159883249553998E-3</v>
      </c>
      <c r="F432" s="14">
        <v>-4.4280180532357827E-3</v>
      </c>
      <c r="G432" s="14">
        <v>-1.9828693953070076E-3</v>
      </c>
      <c r="H432" s="14">
        <v>-1.9556427376454357E-3</v>
      </c>
    </row>
    <row r="433" spans="2:8" x14ac:dyDescent="0.25">
      <c r="B433" s="29">
        <v>425</v>
      </c>
      <c r="C433" s="30">
        <v>0.30886627906976744</v>
      </c>
      <c r="D433" s="28">
        <v>35894</v>
      </c>
      <c r="E433" s="14">
        <v>-4.2075736325386526E-3</v>
      </c>
      <c r="F433" s="14">
        <v>-4.4200143066901454E-3</v>
      </c>
      <c r="G433" s="14">
        <v>-1.976729794635923E-3</v>
      </c>
      <c r="H433" s="14">
        <v>-1.9548938771426719E-3</v>
      </c>
    </row>
    <row r="434" spans="2:8" x14ac:dyDescent="0.25">
      <c r="B434" s="29">
        <v>426</v>
      </c>
      <c r="C434" s="30">
        <v>0.30959302325581395</v>
      </c>
      <c r="D434" s="28">
        <v>35895</v>
      </c>
      <c r="E434" s="14">
        <v>-4.2031274717735378E-3</v>
      </c>
      <c r="F434" s="14">
        <v>-4.3962590099482224E-3</v>
      </c>
      <c r="G434" s="14">
        <v>-1.9755838103440171E-3</v>
      </c>
      <c r="H434" s="14">
        <v>-1.9232389288500904E-3</v>
      </c>
    </row>
    <row r="435" spans="2:8" x14ac:dyDescent="0.25">
      <c r="B435" s="29">
        <v>427</v>
      </c>
      <c r="C435" s="30">
        <v>0.31031976744186046</v>
      </c>
      <c r="D435" s="28">
        <v>35898</v>
      </c>
      <c r="E435" s="14">
        <v>-4.1920393682032264E-3</v>
      </c>
      <c r="F435" s="14">
        <v>-4.3931628247532162E-3</v>
      </c>
      <c r="G435" s="14">
        <v>-1.9560945129094565E-3</v>
      </c>
      <c r="H435" s="14">
        <v>-1.9231959902118682E-3</v>
      </c>
    </row>
    <row r="436" spans="2:8" x14ac:dyDescent="0.25">
      <c r="B436" s="29">
        <v>428</v>
      </c>
      <c r="C436" s="30">
        <v>0.31104651162790697</v>
      </c>
      <c r="D436" s="28">
        <v>35899</v>
      </c>
      <c r="E436" s="14">
        <v>-4.1828503137137929E-3</v>
      </c>
      <c r="F436" s="14">
        <v>-4.3863307752196601E-3</v>
      </c>
      <c r="G436" s="14">
        <v>-1.9523835348989049E-3</v>
      </c>
      <c r="H436" s="14">
        <v>-1.9184615785402316E-3</v>
      </c>
    </row>
    <row r="437" spans="2:8" x14ac:dyDescent="0.25">
      <c r="B437" s="29">
        <v>429</v>
      </c>
      <c r="C437" s="30">
        <v>0.31177325581395349</v>
      </c>
      <c r="D437" s="28">
        <v>35900</v>
      </c>
      <c r="E437" s="14">
        <v>-4.1768869366338723E-3</v>
      </c>
      <c r="F437" s="14">
        <v>-4.2768613074977146E-3</v>
      </c>
      <c r="G437" s="14">
        <v>-1.9464544861792499E-3</v>
      </c>
      <c r="H437" s="14">
        <v>-1.9086053413308159E-3</v>
      </c>
    </row>
    <row r="438" spans="2:8" x14ac:dyDescent="0.25">
      <c r="B438" s="29">
        <v>430</v>
      </c>
      <c r="C438" s="30">
        <v>0.3125</v>
      </c>
      <c r="D438" s="28">
        <v>35901</v>
      </c>
      <c r="E438" s="14">
        <v>-4.1500664010625243E-3</v>
      </c>
      <c r="F438" s="14">
        <v>-4.2497460843533563E-3</v>
      </c>
      <c r="G438" s="14">
        <v>-1.9402824188853307E-3</v>
      </c>
      <c r="H438" s="14">
        <v>-1.9020050410506252E-3</v>
      </c>
    </row>
    <row r="439" spans="2:8" x14ac:dyDescent="0.25">
      <c r="B439" s="29">
        <v>431</v>
      </c>
      <c r="C439" s="30">
        <v>0.31322674418604651</v>
      </c>
      <c r="D439" s="28">
        <v>35902</v>
      </c>
      <c r="E439" s="14">
        <v>-4.1450143228566327E-3</v>
      </c>
      <c r="F439" s="14">
        <v>-4.2126763260356137E-3</v>
      </c>
      <c r="G439" s="14">
        <v>-1.9253345855836379E-3</v>
      </c>
      <c r="H439" s="14">
        <v>-1.8997165972143735E-3</v>
      </c>
    </row>
    <row r="440" spans="2:8" x14ac:dyDescent="0.25">
      <c r="B440" s="29">
        <v>432</v>
      </c>
      <c r="C440" s="30">
        <v>0.31395348837209303</v>
      </c>
      <c r="D440" s="28">
        <v>35905</v>
      </c>
      <c r="E440" s="14">
        <v>-4.1425341116302361E-3</v>
      </c>
      <c r="F440" s="14">
        <v>-4.2004155249767416E-3</v>
      </c>
      <c r="G440" s="14">
        <v>-1.9170784582649425E-3</v>
      </c>
      <c r="H440" s="14">
        <v>-1.8658526894096191E-3</v>
      </c>
    </row>
    <row r="441" spans="2:8" x14ac:dyDescent="0.25">
      <c r="B441" s="29">
        <v>433</v>
      </c>
      <c r="C441" s="30">
        <v>0.31468023255813954</v>
      </c>
      <c r="D441" s="28">
        <v>35906</v>
      </c>
      <c r="E441" s="14">
        <v>-4.1385434695061507E-3</v>
      </c>
      <c r="F441" s="14">
        <v>-4.1225968326192852E-3</v>
      </c>
      <c r="G441" s="14">
        <v>-1.9118243438964733E-3</v>
      </c>
      <c r="H441" s="14">
        <v>-1.8410697427467149E-3</v>
      </c>
    </row>
    <row r="442" spans="2:8" x14ac:dyDescent="0.25">
      <c r="B442" s="29">
        <v>434</v>
      </c>
      <c r="C442" s="30">
        <v>0.31540697674418605</v>
      </c>
      <c r="D442" s="28">
        <v>35907</v>
      </c>
      <c r="E442" s="14">
        <v>-4.1284403669725744E-3</v>
      </c>
      <c r="F442" s="14">
        <v>-4.1142125101624183E-3</v>
      </c>
      <c r="G442" s="14">
        <v>-1.9023477514885645E-3</v>
      </c>
      <c r="H442" s="14">
        <v>-1.833847358763041E-3</v>
      </c>
    </row>
    <row r="443" spans="2:8" x14ac:dyDescent="0.25">
      <c r="B443" s="29">
        <v>435</v>
      </c>
      <c r="C443" s="30">
        <v>0.31613372093023256</v>
      </c>
      <c r="D443" s="28">
        <v>35908</v>
      </c>
      <c r="E443" s="14">
        <v>-4.121329856313305E-3</v>
      </c>
      <c r="F443" s="14">
        <v>-4.0843573505258135E-3</v>
      </c>
      <c r="G443" s="14">
        <v>-1.8961455227543E-3</v>
      </c>
      <c r="H443" s="14">
        <v>-1.8262861960281818E-3</v>
      </c>
    </row>
    <row r="444" spans="2:8" x14ac:dyDescent="0.25">
      <c r="B444" s="29">
        <v>436</v>
      </c>
      <c r="C444" s="30">
        <v>0.31686046511627908</v>
      </c>
      <c r="D444" s="28">
        <v>35909</v>
      </c>
      <c r="E444" s="14">
        <v>-4.1066322086289464E-3</v>
      </c>
      <c r="F444" s="14">
        <v>-4.0636640704370119E-3</v>
      </c>
      <c r="G444" s="14">
        <v>-1.8904450524204197E-3</v>
      </c>
      <c r="H444" s="14">
        <v>-1.8261342524220408E-3</v>
      </c>
    </row>
    <row r="445" spans="2:8" x14ac:dyDescent="0.25">
      <c r="B445" s="29">
        <v>437</v>
      </c>
      <c r="C445" s="30">
        <v>0.31758720930232559</v>
      </c>
      <c r="D445" s="28">
        <v>35912</v>
      </c>
      <c r="E445" s="14">
        <v>-4.1000359837274347E-3</v>
      </c>
      <c r="F445" s="14">
        <v>-4.0421171648645782E-3</v>
      </c>
      <c r="G445" s="14">
        <v>-1.8822238691861282E-3</v>
      </c>
      <c r="H445" s="14">
        <v>-1.8013986900007773E-3</v>
      </c>
    </row>
    <row r="446" spans="2:8" x14ac:dyDescent="0.25">
      <c r="B446" s="29">
        <v>438</v>
      </c>
      <c r="C446" s="30">
        <v>0.3183139534883721</v>
      </c>
      <c r="D446" s="28">
        <v>35913</v>
      </c>
      <c r="E446" s="14">
        <v>-4.084790749166789E-3</v>
      </c>
      <c r="F446" s="14">
        <v>-4.0282795611178424E-3</v>
      </c>
      <c r="G446" s="14">
        <v>-1.868841318382608E-3</v>
      </c>
      <c r="H446" s="14">
        <v>-1.7955942450351035E-3</v>
      </c>
    </row>
    <row r="447" spans="2:8" x14ac:dyDescent="0.25">
      <c r="B447" s="29">
        <v>439</v>
      </c>
      <c r="C447" s="30">
        <v>0.31904069767441862</v>
      </c>
      <c r="D447" s="28">
        <v>35914</v>
      </c>
      <c r="E447" s="14">
        <v>-4.0806847588084061E-3</v>
      </c>
      <c r="F447" s="14">
        <v>-4.0171696807839163E-3</v>
      </c>
      <c r="G447" s="14">
        <v>-1.8624014022786683E-3</v>
      </c>
      <c r="H447" s="14">
        <v>-1.7791780246575683E-3</v>
      </c>
    </row>
    <row r="448" spans="2:8" x14ac:dyDescent="0.25">
      <c r="B448" s="29">
        <v>440</v>
      </c>
      <c r="C448" s="30">
        <v>0.31976744186046513</v>
      </c>
      <c r="D448" s="28">
        <v>35915</v>
      </c>
      <c r="E448" s="14">
        <v>-4.0785529294206091E-3</v>
      </c>
      <c r="F448" s="14">
        <v>-4.0159423808366901E-3</v>
      </c>
      <c r="G448" s="14">
        <v>-1.8542917093641309E-3</v>
      </c>
      <c r="H448" s="14">
        <v>-1.7773872067454958E-3</v>
      </c>
    </row>
    <row r="449" spans="2:8" x14ac:dyDescent="0.25">
      <c r="B449" s="29">
        <v>441</v>
      </c>
      <c r="C449" s="30">
        <v>0.32049418604651164</v>
      </c>
      <c r="D449" s="28">
        <v>35916</v>
      </c>
      <c r="E449" s="14">
        <v>-4.0632054176070742E-3</v>
      </c>
      <c r="F449" s="14">
        <v>-3.9706275373201372E-3</v>
      </c>
      <c r="G449" s="14">
        <v>-1.8268765783676644E-3</v>
      </c>
      <c r="H449" s="14">
        <v>-1.7611655915901858E-3</v>
      </c>
    </row>
    <row r="450" spans="2:8" x14ac:dyDescent="0.25">
      <c r="B450" s="29">
        <v>442</v>
      </c>
      <c r="C450" s="30">
        <v>0.32122093023255816</v>
      </c>
      <c r="D450" s="28">
        <v>35919</v>
      </c>
      <c r="E450" s="14">
        <v>-4.0450692001301469E-3</v>
      </c>
      <c r="F450" s="14">
        <v>-3.9596883710957265E-3</v>
      </c>
      <c r="G450" s="14">
        <v>-1.8252273918319961E-3</v>
      </c>
      <c r="H450" s="14">
        <v>-1.7539117858269559E-3</v>
      </c>
    </row>
    <row r="451" spans="2:8" x14ac:dyDescent="0.25">
      <c r="B451" s="29">
        <v>443</v>
      </c>
      <c r="C451" s="30">
        <v>0.32194767441860467</v>
      </c>
      <c r="D451" s="28">
        <v>35920</v>
      </c>
      <c r="E451" s="14">
        <v>-4.0444854005181607E-3</v>
      </c>
      <c r="F451" s="14">
        <v>-3.9545374655809429E-3</v>
      </c>
      <c r="G451" s="14">
        <v>-1.8216243209642213E-3</v>
      </c>
      <c r="H451" s="14">
        <v>-1.750324590372987E-3</v>
      </c>
    </row>
    <row r="452" spans="2:8" x14ac:dyDescent="0.25">
      <c r="B452" s="29">
        <v>444</v>
      </c>
      <c r="C452" s="30">
        <v>0.32267441860465118</v>
      </c>
      <c r="D452" s="28">
        <v>35921</v>
      </c>
      <c r="E452" s="14">
        <v>-4.0203312865280116E-3</v>
      </c>
      <c r="F452" s="14">
        <v>-3.9497435347521925E-3</v>
      </c>
      <c r="G452" s="14">
        <v>-1.8117237844296197E-3</v>
      </c>
      <c r="H452" s="14">
        <v>-1.7202175121130872E-3</v>
      </c>
    </row>
    <row r="453" spans="2:8" x14ac:dyDescent="0.25">
      <c r="B453" s="29">
        <v>445</v>
      </c>
      <c r="C453" s="30">
        <v>0.32340116279069769</v>
      </c>
      <c r="D453" s="28">
        <v>35922</v>
      </c>
      <c r="E453" s="14">
        <v>-4.0195738873629594E-3</v>
      </c>
      <c r="F453" s="14">
        <v>-3.938493971184176E-3</v>
      </c>
      <c r="G453" s="14">
        <v>-1.8086537123774837E-3</v>
      </c>
      <c r="H453" s="14">
        <v>-1.7089103701156019E-3</v>
      </c>
    </row>
    <row r="454" spans="2:8" x14ac:dyDescent="0.25">
      <c r="B454" s="29">
        <v>446</v>
      </c>
      <c r="C454" s="30">
        <v>0.32412790697674421</v>
      </c>
      <c r="D454" s="28">
        <v>35923</v>
      </c>
      <c r="E454" s="14">
        <v>-4.0147171871893761E-3</v>
      </c>
      <c r="F454" s="14">
        <v>-3.8980540585016321E-3</v>
      </c>
      <c r="G454" s="14">
        <v>-1.8067831178124605E-3</v>
      </c>
      <c r="H454" s="14">
        <v>-1.6804674696111021E-3</v>
      </c>
    </row>
    <row r="455" spans="2:8" x14ac:dyDescent="0.25">
      <c r="B455" s="29">
        <v>447</v>
      </c>
      <c r="C455" s="30">
        <v>0.32485465116279072</v>
      </c>
      <c r="D455" s="28">
        <v>35926</v>
      </c>
      <c r="E455" s="14">
        <v>-4.0030925178248244E-3</v>
      </c>
      <c r="F455" s="14">
        <v>-3.8848293449965654E-3</v>
      </c>
      <c r="G455" s="14">
        <v>-1.8018018018017834E-3</v>
      </c>
      <c r="H455" s="14">
        <v>-1.6683027214058567E-3</v>
      </c>
    </row>
    <row r="456" spans="2:8" x14ac:dyDescent="0.25">
      <c r="B456" s="29">
        <v>448</v>
      </c>
      <c r="C456" s="30">
        <v>0.32558139534883723</v>
      </c>
      <c r="D456" s="28">
        <v>35927</v>
      </c>
      <c r="E456" s="14">
        <v>-3.9789753100867298E-3</v>
      </c>
      <c r="F456" s="14">
        <v>-3.8388261722638317E-3</v>
      </c>
      <c r="G456" s="14">
        <v>-1.7540910096677242E-3</v>
      </c>
      <c r="H456" s="14">
        <v>-1.6648338827928383E-3</v>
      </c>
    </row>
    <row r="457" spans="2:8" x14ac:dyDescent="0.25">
      <c r="B457" s="29">
        <v>449</v>
      </c>
      <c r="C457" s="30">
        <v>0.32630813953488375</v>
      </c>
      <c r="D457" s="28">
        <v>35928</v>
      </c>
      <c r="E457" s="14">
        <v>-3.9741864057003529E-3</v>
      </c>
      <c r="F457" s="14">
        <v>-3.8277833273173689E-3</v>
      </c>
      <c r="G457" s="14">
        <v>-1.7341957795681262E-3</v>
      </c>
      <c r="H457" s="14">
        <v>-1.6512731171797856E-3</v>
      </c>
    </row>
    <row r="458" spans="2:8" x14ac:dyDescent="0.25">
      <c r="B458" s="29">
        <v>450</v>
      </c>
      <c r="C458" s="30">
        <v>0.32703488372093026</v>
      </c>
      <c r="D458" s="28">
        <v>35929</v>
      </c>
      <c r="E458" s="14">
        <v>-3.9478953850868859E-3</v>
      </c>
      <c r="F458" s="14">
        <v>-3.8118801923038292E-3</v>
      </c>
      <c r="G458" s="14">
        <v>-1.7255000687106392E-3</v>
      </c>
      <c r="H458" s="14">
        <v>-1.6508027130838433E-3</v>
      </c>
    </row>
    <row r="459" spans="2:8" x14ac:dyDescent="0.25">
      <c r="B459" s="29">
        <v>451</v>
      </c>
      <c r="C459" s="30">
        <v>0.32776162790697677</v>
      </c>
      <c r="D459" s="28">
        <v>35930</v>
      </c>
      <c r="E459" s="14">
        <v>-3.9377553105587326E-3</v>
      </c>
      <c r="F459" s="14">
        <v>-3.7572816527943198E-3</v>
      </c>
      <c r="G459" s="14">
        <v>-1.7053581252064465E-3</v>
      </c>
      <c r="H459" s="14">
        <v>-1.6489180976992702E-3</v>
      </c>
    </row>
    <row r="460" spans="2:8" x14ac:dyDescent="0.25">
      <c r="B460" s="29">
        <v>452</v>
      </c>
      <c r="C460" s="30">
        <v>0.32848837209302323</v>
      </c>
      <c r="D460" s="28">
        <v>35933</v>
      </c>
      <c r="E460" s="14">
        <v>-3.920374528984194E-3</v>
      </c>
      <c r="F460" s="14">
        <v>-3.753982840963066E-3</v>
      </c>
      <c r="G460" s="14">
        <v>-1.6923317676464933E-3</v>
      </c>
      <c r="H460" s="14">
        <v>-1.6431361062319019E-3</v>
      </c>
    </row>
    <row r="461" spans="2:8" x14ac:dyDescent="0.25">
      <c r="B461" s="29">
        <v>453</v>
      </c>
      <c r="C461" s="30">
        <v>0.32921511627906974</v>
      </c>
      <c r="D461" s="28">
        <v>35934</v>
      </c>
      <c r="E461" s="14">
        <v>-3.9007645498515542E-3</v>
      </c>
      <c r="F461" s="14">
        <v>-3.7501802971297016E-3</v>
      </c>
      <c r="G461" s="14">
        <v>-1.6817867343686954E-3</v>
      </c>
      <c r="H461" s="14">
        <v>-1.6252664253353375E-3</v>
      </c>
    </row>
    <row r="462" spans="2:8" x14ac:dyDescent="0.25">
      <c r="B462" s="29">
        <v>454</v>
      </c>
      <c r="C462" s="30">
        <v>0.32994186046511625</v>
      </c>
      <c r="D462" s="28">
        <v>35935</v>
      </c>
      <c r="E462" s="14">
        <v>-3.899669319624155E-3</v>
      </c>
      <c r="F462" s="14">
        <v>-3.7411182085695938E-3</v>
      </c>
      <c r="G462" s="14">
        <v>-1.6772458720757388E-3</v>
      </c>
      <c r="H462" s="14">
        <v>-1.6097672504283627E-3</v>
      </c>
    </row>
    <row r="463" spans="2:8" x14ac:dyDescent="0.25">
      <c r="B463" s="29">
        <v>455</v>
      </c>
      <c r="C463" s="30">
        <v>0.33066860465116277</v>
      </c>
      <c r="D463" s="28">
        <v>35936</v>
      </c>
      <c r="E463" s="14">
        <v>-3.8421129613731564E-3</v>
      </c>
      <c r="F463" s="14">
        <v>-3.6944795269177044E-3</v>
      </c>
      <c r="G463" s="14">
        <v>-1.6758840288252363E-3</v>
      </c>
      <c r="H463" s="14">
        <v>-1.5941233128866641E-3</v>
      </c>
    </row>
    <row r="464" spans="2:8" x14ac:dyDescent="0.25">
      <c r="B464" s="29">
        <v>456</v>
      </c>
      <c r="C464" s="30">
        <v>0.33139534883720928</v>
      </c>
      <c r="D464" s="28">
        <v>35937</v>
      </c>
      <c r="E464" s="14">
        <v>-3.8314141195077145E-3</v>
      </c>
      <c r="F464" s="14">
        <v>-3.6818851251840812E-3</v>
      </c>
      <c r="G464" s="14">
        <v>-1.6552647779267682E-3</v>
      </c>
      <c r="H464" s="14">
        <v>-1.5931868672171225E-3</v>
      </c>
    </row>
    <row r="465" spans="2:8" x14ac:dyDescent="0.25">
      <c r="B465" s="29">
        <v>457</v>
      </c>
      <c r="C465" s="30">
        <v>0.33212209302325579</v>
      </c>
      <c r="D465" s="28">
        <v>35940</v>
      </c>
      <c r="E465" s="14">
        <v>-3.7749706214197376E-3</v>
      </c>
      <c r="F465" s="14">
        <v>-3.6706188078609037E-3</v>
      </c>
      <c r="G465" s="14">
        <v>-1.6516445660893497E-3</v>
      </c>
      <c r="H465" s="14">
        <v>-1.5868331108483289E-3</v>
      </c>
    </row>
    <row r="466" spans="2:8" x14ac:dyDescent="0.25">
      <c r="B466" s="29">
        <v>458</v>
      </c>
      <c r="C466" s="30">
        <v>0.33284883720930231</v>
      </c>
      <c r="D466" s="28">
        <v>35941</v>
      </c>
      <c r="E466" s="14">
        <v>-3.7680798469762466E-3</v>
      </c>
      <c r="F466" s="14">
        <v>-3.6632720345812775E-3</v>
      </c>
      <c r="G466" s="14">
        <v>-1.6276664163062948E-3</v>
      </c>
      <c r="H466" s="14">
        <v>-1.5833559076128046E-3</v>
      </c>
    </row>
    <row r="467" spans="2:8" x14ac:dyDescent="0.25">
      <c r="B467" s="29">
        <v>459</v>
      </c>
      <c r="C467" s="30">
        <v>0.33357558139534882</v>
      </c>
      <c r="D467" s="28">
        <v>35942</v>
      </c>
      <c r="E467" s="14">
        <v>-3.7601871800930775E-3</v>
      </c>
      <c r="F467" s="14">
        <v>-3.5066264007788117E-3</v>
      </c>
      <c r="G467" s="14">
        <v>-1.6225098430548979E-3</v>
      </c>
      <c r="H467" s="14">
        <v>-1.5776432610156378E-3</v>
      </c>
    </row>
    <row r="468" spans="2:8" x14ac:dyDescent="0.25">
      <c r="B468" s="29">
        <v>460</v>
      </c>
      <c r="C468" s="30">
        <v>0.33430232558139533</v>
      </c>
      <c r="D468" s="28">
        <v>35943</v>
      </c>
      <c r="E468" s="14">
        <v>-3.7532637075717856E-3</v>
      </c>
      <c r="F468" s="14">
        <v>-3.5061893609903416E-3</v>
      </c>
      <c r="G468" s="14">
        <v>-1.6105224937462692E-3</v>
      </c>
      <c r="H468" s="14">
        <v>-1.5712660583780294E-3</v>
      </c>
    </row>
    <row r="469" spans="2:8" x14ac:dyDescent="0.25">
      <c r="B469" s="29">
        <v>461</v>
      </c>
      <c r="C469" s="30">
        <v>0.33502906976744184</v>
      </c>
      <c r="D469" s="28">
        <v>35944</v>
      </c>
      <c r="E469" s="14">
        <v>-3.7476534652319815E-3</v>
      </c>
      <c r="F469" s="14">
        <v>-3.4944237918216325E-3</v>
      </c>
      <c r="G469" s="14">
        <v>-1.598060285446512E-3</v>
      </c>
      <c r="H469" s="14">
        <v>-1.5551177617974421E-3</v>
      </c>
    </row>
    <row r="470" spans="2:8" x14ac:dyDescent="0.25">
      <c r="B470" s="29">
        <v>462</v>
      </c>
      <c r="C470" s="30">
        <v>0.33575581395348836</v>
      </c>
      <c r="D470" s="28">
        <v>35947</v>
      </c>
      <c r="E470" s="14">
        <v>-3.6777766168635262E-3</v>
      </c>
      <c r="F470" s="14">
        <v>-3.432042270909208E-3</v>
      </c>
      <c r="G470" s="14">
        <v>-1.5895566700786512E-3</v>
      </c>
      <c r="H470" s="14">
        <v>-1.5516249466157371E-3</v>
      </c>
    </row>
    <row r="471" spans="2:8" x14ac:dyDescent="0.25">
      <c r="B471" s="29">
        <v>463</v>
      </c>
      <c r="C471" s="30">
        <v>0.33648255813953487</v>
      </c>
      <c r="D471" s="28">
        <v>35948</v>
      </c>
      <c r="E471" s="14">
        <v>-3.6436423336965174E-3</v>
      </c>
      <c r="F471" s="14">
        <v>-3.4289701177591114E-3</v>
      </c>
      <c r="G471" s="14">
        <v>-1.5855783787663835E-3</v>
      </c>
      <c r="H471" s="14">
        <v>-1.5269939663905331E-3</v>
      </c>
    </row>
    <row r="472" spans="2:8" x14ac:dyDescent="0.25">
      <c r="B472" s="29">
        <v>464</v>
      </c>
      <c r="C472" s="30">
        <v>0.33720930232558138</v>
      </c>
      <c r="D472" s="28">
        <v>35949</v>
      </c>
      <c r="E472" s="14">
        <v>-3.6224384185469249E-3</v>
      </c>
      <c r="F472" s="14">
        <v>-3.3645366978700686E-3</v>
      </c>
      <c r="G472" s="14">
        <v>-1.5740829832575631E-3</v>
      </c>
      <c r="H472" s="14">
        <v>-1.5159811191456376E-3</v>
      </c>
    </row>
    <row r="473" spans="2:8" x14ac:dyDescent="0.25">
      <c r="B473" s="29">
        <v>465</v>
      </c>
      <c r="C473" s="30">
        <v>0.3379360465116279</v>
      </c>
      <c r="D473" s="28">
        <v>35950</v>
      </c>
      <c r="E473" s="14">
        <v>-3.6068352484380783E-3</v>
      </c>
      <c r="F473" s="14">
        <v>-3.352012300427698E-3</v>
      </c>
      <c r="G473" s="14">
        <v>-1.5708633930650029E-3</v>
      </c>
      <c r="H473" s="14">
        <v>-1.5154074247515582E-3</v>
      </c>
    </row>
    <row r="474" spans="2:8" x14ac:dyDescent="0.25">
      <c r="B474" s="29">
        <v>466</v>
      </c>
      <c r="C474" s="30">
        <v>0.33866279069767441</v>
      </c>
      <c r="D474" s="28">
        <v>35951</v>
      </c>
      <c r="E474" s="14">
        <v>-3.5934291581107836E-3</v>
      </c>
      <c r="F474" s="14">
        <v>-3.3369748733736992E-3</v>
      </c>
      <c r="G474" s="14">
        <v>-1.5470076480079697E-3</v>
      </c>
      <c r="H474" s="14">
        <v>-1.5046872309564694E-3</v>
      </c>
    </row>
    <row r="475" spans="2:8" x14ac:dyDescent="0.25">
      <c r="B475" s="29">
        <v>467</v>
      </c>
      <c r="C475" s="30">
        <v>0.33938953488372092</v>
      </c>
      <c r="D475" s="28">
        <v>35954</v>
      </c>
      <c r="E475" s="14">
        <v>-3.56318377998599E-3</v>
      </c>
      <c r="F475" s="14">
        <v>-3.3064979873490552E-3</v>
      </c>
      <c r="G475" s="14">
        <v>-1.5352188951516244E-3</v>
      </c>
      <c r="H475" s="14">
        <v>-1.4715338842162138E-3</v>
      </c>
    </row>
    <row r="476" spans="2:8" x14ac:dyDescent="0.25">
      <c r="B476" s="29">
        <v>468</v>
      </c>
      <c r="C476" s="30">
        <v>0.34011627906976744</v>
      </c>
      <c r="D476" s="28">
        <v>35955</v>
      </c>
      <c r="E476" s="14">
        <v>-3.5377358490564781E-3</v>
      </c>
      <c r="F476" s="14">
        <v>-3.2843262127444373E-3</v>
      </c>
      <c r="G476" s="14">
        <v>-1.5047291487532144E-3</v>
      </c>
      <c r="H476" s="14">
        <v>-1.4684135986281709E-3</v>
      </c>
    </row>
    <row r="477" spans="2:8" x14ac:dyDescent="0.25">
      <c r="B477" s="29">
        <v>469</v>
      </c>
      <c r="C477" s="30">
        <v>0.34084302325581395</v>
      </c>
      <c r="D477" s="28">
        <v>35956</v>
      </c>
      <c r="E477" s="14">
        <v>-3.5311767791686988E-3</v>
      </c>
      <c r="F477" s="14">
        <v>-3.270780795844197E-3</v>
      </c>
      <c r="G477" s="14">
        <v>-1.5033407572384583E-3</v>
      </c>
      <c r="H477" s="14">
        <v>-1.4247376446345772E-3</v>
      </c>
    </row>
    <row r="478" spans="2:8" x14ac:dyDescent="0.25">
      <c r="B478" s="29">
        <v>470</v>
      </c>
      <c r="C478" s="30">
        <v>0.34156976744186046</v>
      </c>
      <c r="D478" s="28">
        <v>35957</v>
      </c>
      <c r="E478" s="14">
        <v>-3.5300050428643814E-3</v>
      </c>
      <c r="F478" s="14">
        <v>-3.2291830577353409E-3</v>
      </c>
      <c r="G478" s="14">
        <v>-1.4840872863189913E-3</v>
      </c>
      <c r="H478" s="14">
        <v>-1.4149693402391696E-3</v>
      </c>
    </row>
    <row r="479" spans="2:8" x14ac:dyDescent="0.25">
      <c r="B479" s="29">
        <v>471</v>
      </c>
      <c r="C479" s="30">
        <v>0.34229651162790697</v>
      </c>
      <c r="D479" s="28">
        <v>35958</v>
      </c>
      <c r="E479" s="14">
        <v>-3.4912219421245894E-3</v>
      </c>
      <c r="F479" s="14">
        <v>-3.2277144064215557E-3</v>
      </c>
      <c r="G479" s="14">
        <v>-1.4708477966699496E-3</v>
      </c>
      <c r="H479" s="14">
        <v>-1.4103027268733024E-3</v>
      </c>
    </row>
    <row r="480" spans="2:8" x14ac:dyDescent="0.25">
      <c r="B480" s="29">
        <v>472</v>
      </c>
      <c r="C480" s="30">
        <v>0.34302325581395349</v>
      </c>
      <c r="D480" s="28">
        <v>35961</v>
      </c>
      <c r="E480" s="14">
        <v>-3.4785435630688699E-3</v>
      </c>
      <c r="F480" s="14">
        <v>-3.2016974680068033E-3</v>
      </c>
      <c r="G480" s="14">
        <v>-1.4470590574610087E-3</v>
      </c>
      <c r="H480" s="14">
        <v>-1.4052946349976999E-3</v>
      </c>
    </row>
    <row r="481" spans="2:8" x14ac:dyDescent="0.25">
      <c r="B481" s="29">
        <v>473</v>
      </c>
      <c r="C481" s="30">
        <v>0.34375</v>
      </c>
      <c r="D481" s="28">
        <v>35962</v>
      </c>
      <c r="E481" s="14">
        <v>-3.4746523816625574E-3</v>
      </c>
      <c r="F481" s="14">
        <v>-3.1797735380797443E-3</v>
      </c>
      <c r="G481" s="14">
        <v>-1.4360193468215821E-3</v>
      </c>
      <c r="H481" s="14">
        <v>-1.4037971835616058E-3</v>
      </c>
    </row>
    <row r="482" spans="2:8" x14ac:dyDescent="0.25">
      <c r="B482" s="29">
        <v>474</v>
      </c>
      <c r="C482" s="30">
        <v>0.34447674418604651</v>
      </c>
      <c r="D482" s="28">
        <v>35963</v>
      </c>
      <c r="E482" s="14">
        <v>-3.4428794992175105E-3</v>
      </c>
      <c r="F482" s="14">
        <v>-3.1777416849093632E-3</v>
      </c>
      <c r="G482" s="14">
        <v>-1.4354965176174295E-3</v>
      </c>
      <c r="H482" s="14">
        <v>-1.3925790123483941E-3</v>
      </c>
    </row>
    <row r="483" spans="2:8" x14ac:dyDescent="0.25">
      <c r="B483" s="29">
        <v>475</v>
      </c>
      <c r="C483" s="30">
        <v>0.34520348837209303</v>
      </c>
      <c r="D483" s="28">
        <v>35964</v>
      </c>
      <c r="E483" s="14">
        <v>-3.4417631454725095E-3</v>
      </c>
      <c r="F483" s="14">
        <v>-3.1699785590447727E-3</v>
      </c>
      <c r="G483" s="14">
        <v>-1.4336207938714374E-3</v>
      </c>
      <c r="H483" s="14">
        <v>-1.3830258727087763E-3</v>
      </c>
    </row>
    <row r="484" spans="2:8" x14ac:dyDescent="0.25">
      <c r="B484" s="29">
        <v>476</v>
      </c>
      <c r="C484" s="30">
        <v>0.34593023255813954</v>
      </c>
      <c r="D484" s="28">
        <v>35965</v>
      </c>
      <c r="E484" s="14">
        <v>-3.426257592275328E-3</v>
      </c>
      <c r="F484" s="14">
        <v>-3.1650864472951845E-3</v>
      </c>
      <c r="G484" s="14">
        <v>-1.4334348683031628E-3</v>
      </c>
      <c r="H484" s="14">
        <v>-1.3818356431070766E-3</v>
      </c>
    </row>
    <row r="485" spans="2:8" x14ac:dyDescent="0.25">
      <c r="B485" s="29">
        <v>477</v>
      </c>
      <c r="C485" s="30">
        <v>0.34665697674418605</v>
      </c>
      <c r="D485" s="28">
        <v>35968</v>
      </c>
      <c r="E485" s="14">
        <v>-3.4058936768844861E-3</v>
      </c>
      <c r="F485" s="14">
        <v>-3.1562982496892156E-3</v>
      </c>
      <c r="G485" s="14">
        <v>-1.4316789298806087E-3</v>
      </c>
      <c r="H485" s="14">
        <v>-1.3776964048756836E-3</v>
      </c>
    </row>
    <row r="486" spans="2:8" x14ac:dyDescent="0.25">
      <c r="B486" s="29">
        <v>478</v>
      </c>
      <c r="C486" s="30">
        <v>0.34738372093023256</v>
      </c>
      <c r="D486" s="28">
        <v>35969</v>
      </c>
      <c r="E486" s="14">
        <v>-3.3797925613555657E-3</v>
      </c>
      <c r="F486" s="14">
        <v>-3.1429471914833362E-3</v>
      </c>
      <c r="G486" s="14">
        <v>-1.4141150689594983E-3</v>
      </c>
      <c r="H486" s="14">
        <v>-1.3656882594109908E-3</v>
      </c>
    </row>
    <row r="487" spans="2:8" x14ac:dyDescent="0.25">
      <c r="B487" s="29">
        <v>479</v>
      </c>
      <c r="C487" s="30">
        <v>0.34811046511627908</v>
      </c>
      <c r="D487" s="28">
        <v>35970</v>
      </c>
      <c r="E487" s="14">
        <v>-3.2786885245901232E-3</v>
      </c>
      <c r="F487" s="14">
        <v>-3.0853593635268295E-3</v>
      </c>
      <c r="G487" s="14">
        <v>-1.4028948793236573E-3</v>
      </c>
      <c r="H487" s="14">
        <v>-1.3649994745134288E-3</v>
      </c>
    </row>
    <row r="488" spans="2:8" x14ac:dyDescent="0.25">
      <c r="B488" s="29">
        <v>480</v>
      </c>
      <c r="C488" s="30">
        <v>0.34883720930232559</v>
      </c>
      <c r="D488" s="28">
        <v>35971</v>
      </c>
      <c r="E488" s="14">
        <v>-3.2748785125713553E-3</v>
      </c>
      <c r="F488" s="14">
        <v>-3.057094468524868E-3</v>
      </c>
      <c r="G488" s="14">
        <v>-1.3886231336430743E-3</v>
      </c>
      <c r="H488" s="14">
        <v>-1.3526529949227761E-3</v>
      </c>
    </row>
    <row r="489" spans="2:8" x14ac:dyDescent="0.25">
      <c r="B489" s="29">
        <v>481</v>
      </c>
      <c r="C489" s="30">
        <v>0.3495639534883721</v>
      </c>
      <c r="D489" s="28">
        <v>35972</v>
      </c>
      <c r="E489" s="14">
        <v>-3.2334072889256271E-3</v>
      </c>
      <c r="F489" s="14">
        <v>-2.9870880709192971E-3</v>
      </c>
      <c r="G489" s="14">
        <v>-1.3718512291850393E-3</v>
      </c>
      <c r="H489" s="14">
        <v>-1.3487893263567142E-3</v>
      </c>
    </row>
    <row r="490" spans="2:8" x14ac:dyDescent="0.25">
      <c r="B490" s="29">
        <v>482</v>
      </c>
      <c r="C490" s="30">
        <v>0.35029069767441862</v>
      </c>
      <c r="D490" s="28">
        <v>35975</v>
      </c>
      <c r="E490" s="14">
        <v>-3.2205130315524633E-3</v>
      </c>
      <c r="F490" s="14">
        <v>-2.9787355338920518E-3</v>
      </c>
      <c r="G490" s="14">
        <v>-1.3585536628696326E-3</v>
      </c>
      <c r="H490" s="14">
        <v>-1.3298273037631422E-3</v>
      </c>
    </row>
    <row r="491" spans="2:8" x14ac:dyDescent="0.25">
      <c r="B491" s="29">
        <v>483</v>
      </c>
      <c r="C491" s="30">
        <v>0.35101744186046513</v>
      </c>
      <c r="D491" s="28">
        <v>35976</v>
      </c>
      <c r="E491" s="14">
        <v>-3.2040677522078287E-3</v>
      </c>
      <c r="F491" s="14">
        <v>-2.9713384170391155E-3</v>
      </c>
      <c r="G491" s="14">
        <v>-1.3567720622935653E-3</v>
      </c>
      <c r="H491" s="14">
        <v>-1.3244973844418252E-3</v>
      </c>
    </row>
    <row r="492" spans="2:8" x14ac:dyDescent="0.25">
      <c r="B492" s="29">
        <v>484</v>
      </c>
      <c r="C492" s="30">
        <v>0.35174418604651164</v>
      </c>
      <c r="D492" s="28">
        <v>35977</v>
      </c>
      <c r="E492" s="14">
        <v>-3.1692282935696925E-3</v>
      </c>
      <c r="F492" s="14">
        <v>-2.9611233164581474E-3</v>
      </c>
      <c r="G492" s="14">
        <v>-1.3517365008888227E-3</v>
      </c>
      <c r="H492" s="14">
        <v>-1.3144529641966551E-3</v>
      </c>
    </row>
    <row r="493" spans="2:8" x14ac:dyDescent="0.25">
      <c r="B493" s="29">
        <v>485</v>
      </c>
      <c r="C493" s="30">
        <v>0.35247093023255816</v>
      </c>
      <c r="D493" s="28">
        <v>35978</v>
      </c>
      <c r="E493" s="14">
        <v>-3.1565676759196526E-3</v>
      </c>
      <c r="F493" s="14">
        <v>-2.9609475032010835E-3</v>
      </c>
      <c r="G493" s="14">
        <v>-1.3424874934663267E-3</v>
      </c>
      <c r="H493" s="14">
        <v>-1.3105697882401567E-3</v>
      </c>
    </row>
    <row r="494" spans="2:8" x14ac:dyDescent="0.25">
      <c r="B494" s="29">
        <v>486</v>
      </c>
      <c r="C494" s="30">
        <v>0.35319767441860467</v>
      </c>
      <c r="D494" s="28">
        <v>35979</v>
      </c>
      <c r="E494" s="14">
        <v>-3.1294182745545962E-3</v>
      </c>
      <c r="F494" s="14">
        <v>-2.9421802732697566E-3</v>
      </c>
      <c r="G494" s="14">
        <v>-1.3336382545529046E-3</v>
      </c>
      <c r="H494" s="14">
        <v>-1.3063754073441959E-3</v>
      </c>
    </row>
    <row r="495" spans="2:8" x14ac:dyDescent="0.25">
      <c r="B495" s="29">
        <v>487</v>
      </c>
      <c r="C495" s="30">
        <v>0.35392441860465118</v>
      </c>
      <c r="D495" s="28">
        <v>35982</v>
      </c>
      <c r="E495" s="14">
        <v>-3.1013443729496215E-3</v>
      </c>
      <c r="F495" s="14">
        <v>-2.9260372712918148E-3</v>
      </c>
      <c r="G495" s="14">
        <v>-1.3314307709302309E-3</v>
      </c>
      <c r="H495" s="14">
        <v>-1.306044135531881E-3</v>
      </c>
    </row>
    <row r="496" spans="2:8" x14ac:dyDescent="0.25">
      <c r="B496" s="29">
        <v>488</v>
      </c>
      <c r="C496" s="30">
        <v>0.35465116279069769</v>
      </c>
      <c r="D496" s="28">
        <v>35983</v>
      </c>
      <c r="E496" s="14">
        <v>-3.0970406056436417E-3</v>
      </c>
      <c r="F496" s="14">
        <v>-2.9180452351250663E-3</v>
      </c>
      <c r="G496" s="14">
        <v>-1.3049645390070808E-3</v>
      </c>
      <c r="H496" s="14">
        <v>-1.3055850706378271E-3</v>
      </c>
    </row>
    <row r="497" spans="2:8" x14ac:dyDescent="0.25">
      <c r="B497" s="29">
        <v>489</v>
      </c>
      <c r="C497" s="30">
        <v>0.35537790697674421</v>
      </c>
      <c r="D497" s="28">
        <v>35984</v>
      </c>
      <c r="E497" s="14">
        <v>-3.0566780644493141E-3</v>
      </c>
      <c r="F497" s="14">
        <v>-2.9179202636711032E-3</v>
      </c>
      <c r="G497" s="14">
        <v>-1.3007290217482703E-3</v>
      </c>
      <c r="H497" s="14">
        <v>-1.3032915896983078E-3</v>
      </c>
    </row>
    <row r="498" spans="2:8" x14ac:dyDescent="0.25">
      <c r="B498" s="29">
        <v>490</v>
      </c>
      <c r="C498" s="30">
        <v>0.35610465116279072</v>
      </c>
      <c r="D498" s="28">
        <v>35985</v>
      </c>
      <c r="E498" s="14">
        <v>-3.0412053886432755E-3</v>
      </c>
      <c r="F498" s="14">
        <v>-2.91667919535743E-3</v>
      </c>
      <c r="G498" s="14">
        <v>-1.2871453354973417E-3</v>
      </c>
      <c r="H498" s="14">
        <v>-1.2859606676775661E-3</v>
      </c>
    </row>
    <row r="499" spans="2:8" x14ac:dyDescent="0.25">
      <c r="B499" s="29">
        <v>491</v>
      </c>
      <c r="C499" s="30">
        <v>0.35683139534883723</v>
      </c>
      <c r="D499" s="28">
        <v>35986</v>
      </c>
      <c r="E499" s="14">
        <v>-3.0307200603443274E-3</v>
      </c>
      <c r="F499" s="14">
        <v>-2.9123459950054498E-3</v>
      </c>
      <c r="G499" s="14">
        <v>-1.2603774245761867E-3</v>
      </c>
      <c r="H499" s="14">
        <v>-1.2750004488359505E-3</v>
      </c>
    </row>
    <row r="500" spans="2:8" x14ac:dyDescent="0.25">
      <c r="B500" s="29">
        <v>492</v>
      </c>
      <c r="C500" s="30">
        <v>0.35755813953488375</v>
      </c>
      <c r="D500" s="28">
        <v>35989</v>
      </c>
      <c r="E500" s="14">
        <v>-3.0285084078510716E-3</v>
      </c>
      <c r="F500" s="14">
        <v>-2.9076179590526996E-3</v>
      </c>
      <c r="G500" s="14">
        <v>-1.2351397251814111E-3</v>
      </c>
      <c r="H500" s="14">
        <v>-1.2734907632248049E-3</v>
      </c>
    </row>
    <row r="501" spans="2:8" x14ac:dyDescent="0.25">
      <c r="B501" s="29">
        <v>493</v>
      </c>
      <c r="C501" s="30">
        <v>0.35828488372093026</v>
      </c>
      <c r="D501" s="28">
        <v>35990</v>
      </c>
      <c r="E501" s="14">
        <v>-3.0226700251887451E-3</v>
      </c>
      <c r="F501" s="14">
        <v>-2.9011441895776535E-3</v>
      </c>
      <c r="G501" s="14">
        <v>-1.233111730645442E-3</v>
      </c>
      <c r="H501" s="14">
        <v>-1.2718004567467303E-3</v>
      </c>
    </row>
    <row r="502" spans="2:8" x14ac:dyDescent="0.25">
      <c r="B502" s="29">
        <v>494</v>
      </c>
      <c r="C502" s="30">
        <v>0.35901162790697677</v>
      </c>
      <c r="D502" s="28">
        <v>35991</v>
      </c>
      <c r="E502" s="14">
        <v>-3.0093406482972762E-3</v>
      </c>
      <c r="F502" s="14">
        <v>-2.8957009977494952E-3</v>
      </c>
      <c r="G502" s="14">
        <v>-1.198048888477965E-3</v>
      </c>
      <c r="H502" s="14">
        <v>-1.2590910825790666E-3</v>
      </c>
    </row>
    <row r="503" spans="2:8" x14ac:dyDescent="0.25">
      <c r="B503" s="29">
        <v>495</v>
      </c>
      <c r="C503" s="30">
        <v>0.35973837209302323</v>
      </c>
      <c r="D503" s="28">
        <v>35992</v>
      </c>
      <c r="E503" s="14">
        <v>-3.0053046652819271E-3</v>
      </c>
      <c r="F503" s="14">
        <v>-2.8650093771197538E-3</v>
      </c>
      <c r="G503" s="14">
        <v>-1.1977868601057429E-3</v>
      </c>
      <c r="H503" s="14">
        <v>-1.2273082172186145E-3</v>
      </c>
    </row>
    <row r="504" spans="2:8" x14ac:dyDescent="0.25">
      <c r="B504" s="29">
        <v>496</v>
      </c>
      <c r="C504" s="30">
        <v>0.36046511627906974</v>
      </c>
      <c r="D504" s="28">
        <v>35993</v>
      </c>
      <c r="E504" s="14">
        <v>-2.9934222937754162E-3</v>
      </c>
      <c r="F504" s="14">
        <v>-2.8514347984018862E-3</v>
      </c>
      <c r="G504" s="14">
        <v>-1.1616255650891416E-3</v>
      </c>
      <c r="H504" s="14">
        <v>-1.2229766776968632E-3</v>
      </c>
    </row>
    <row r="505" spans="2:8" x14ac:dyDescent="0.25">
      <c r="B505" s="29">
        <v>497</v>
      </c>
      <c r="C505" s="30">
        <v>0.36119186046511625</v>
      </c>
      <c r="D505" s="28">
        <v>35996</v>
      </c>
      <c r="E505" s="14">
        <v>-2.9932504965688445E-3</v>
      </c>
      <c r="F505" s="14">
        <v>-2.839058563264274E-3</v>
      </c>
      <c r="G505" s="14">
        <v>-1.159532321963419E-3</v>
      </c>
      <c r="H505" s="14">
        <v>-1.214233231715567E-3</v>
      </c>
    </row>
    <row r="506" spans="2:8" x14ac:dyDescent="0.25">
      <c r="B506" s="29">
        <v>498</v>
      </c>
      <c r="C506" s="30">
        <v>0.36191860465116277</v>
      </c>
      <c r="D506" s="28">
        <v>35997</v>
      </c>
      <c r="E506" s="14">
        <v>-2.9575757575758255E-3</v>
      </c>
      <c r="F506" s="14">
        <v>-2.7917600778308849E-3</v>
      </c>
      <c r="G506" s="14">
        <v>-1.1512261558669357E-3</v>
      </c>
      <c r="H506" s="14">
        <v>-1.2055314149608254E-3</v>
      </c>
    </row>
    <row r="507" spans="2:8" x14ac:dyDescent="0.25">
      <c r="B507" s="29">
        <v>499</v>
      </c>
      <c r="C507" s="30">
        <v>0.36264534883720928</v>
      </c>
      <c r="D507" s="28">
        <v>35998</v>
      </c>
      <c r="E507" s="14">
        <v>-2.9333657334283947E-3</v>
      </c>
      <c r="F507" s="14">
        <v>-2.7632132222327188E-3</v>
      </c>
      <c r="G507" s="14">
        <v>-1.1461915181828486E-3</v>
      </c>
      <c r="H507" s="14">
        <v>-1.204281491971271E-3</v>
      </c>
    </row>
    <row r="508" spans="2:8" x14ac:dyDescent="0.25">
      <c r="B508" s="29">
        <v>500</v>
      </c>
      <c r="C508" s="30">
        <v>0.36337209302325579</v>
      </c>
      <c r="D508" s="28">
        <v>35999</v>
      </c>
      <c r="E508" s="14">
        <v>-2.930504073421103E-3</v>
      </c>
      <c r="F508" s="14">
        <v>-2.74457619466284E-3</v>
      </c>
      <c r="G508" s="14">
        <v>-1.1346054667354943E-3</v>
      </c>
      <c r="H508" s="14">
        <v>-1.1881750281150349E-3</v>
      </c>
    </row>
    <row r="509" spans="2:8" x14ac:dyDescent="0.25">
      <c r="B509" s="29">
        <v>501</v>
      </c>
      <c r="C509" s="30">
        <v>0.36409883720930231</v>
      </c>
      <c r="D509" s="28">
        <v>36000</v>
      </c>
      <c r="E509" s="14">
        <v>-2.9199110122358762E-3</v>
      </c>
      <c r="F509" s="14">
        <v>-2.7351466342501185E-3</v>
      </c>
      <c r="G509" s="14">
        <v>-1.1296542254147779E-3</v>
      </c>
      <c r="H509" s="14">
        <v>-1.1746198169448438E-3</v>
      </c>
    </row>
    <row r="510" spans="2:8" x14ac:dyDescent="0.25">
      <c r="B510" s="29">
        <v>502</v>
      </c>
      <c r="C510" s="30">
        <v>0.36482558139534882</v>
      </c>
      <c r="D510" s="28">
        <v>36003</v>
      </c>
      <c r="E510" s="14">
        <v>-2.9194848945929275E-3</v>
      </c>
      <c r="F510" s="14">
        <v>-2.7265449162399147E-3</v>
      </c>
      <c r="G510" s="14">
        <v>-1.1278725504015874E-3</v>
      </c>
      <c r="H510" s="14">
        <v>-1.1704149085167259E-3</v>
      </c>
    </row>
    <row r="511" spans="2:8" x14ac:dyDescent="0.25">
      <c r="B511" s="29">
        <v>503</v>
      </c>
      <c r="C511" s="30">
        <v>0.36555232558139533</v>
      </c>
      <c r="D511" s="28">
        <v>36004</v>
      </c>
      <c r="E511" s="14">
        <v>-2.9057219011129343E-3</v>
      </c>
      <c r="F511" s="14">
        <v>-2.7207036116668748E-3</v>
      </c>
      <c r="G511" s="14">
        <v>-1.1188811188812542E-3</v>
      </c>
      <c r="H511" s="14">
        <v>-1.1583605859162959E-3</v>
      </c>
    </row>
    <row r="512" spans="2:8" x14ac:dyDescent="0.25">
      <c r="B512" s="29">
        <v>504</v>
      </c>
      <c r="C512" s="30">
        <v>0.36627906976744184</v>
      </c>
      <c r="D512" s="28">
        <v>36005</v>
      </c>
      <c r="E512" s="14">
        <v>-2.8877187022251505E-3</v>
      </c>
      <c r="F512" s="14">
        <v>-2.6692048252602296E-3</v>
      </c>
      <c r="G512" s="14">
        <v>-1.1182180940713105E-3</v>
      </c>
      <c r="H512" s="14">
        <v>-1.1337490131251736E-3</v>
      </c>
    </row>
    <row r="513" spans="2:8" x14ac:dyDescent="0.25">
      <c r="B513" s="29">
        <v>505</v>
      </c>
      <c r="C513" s="30">
        <v>0.36700581395348836</v>
      </c>
      <c r="D513" s="28">
        <v>36006</v>
      </c>
      <c r="E513" s="14">
        <v>-2.8771458712956166E-3</v>
      </c>
      <c r="F513" s="14">
        <v>-2.6279106967389554E-3</v>
      </c>
      <c r="G513" s="14">
        <v>-1.1180054782268245E-3</v>
      </c>
      <c r="H513" s="14">
        <v>-1.1258724858424609E-3</v>
      </c>
    </row>
    <row r="514" spans="2:8" x14ac:dyDescent="0.25">
      <c r="B514" s="29">
        <v>506</v>
      </c>
      <c r="C514" s="30">
        <v>0.36773255813953487</v>
      </c>
      <c r="D514" s="28">
        <v>36007</v>
      </c>
      <c r="E514" s="14">
        <v>-2.8579416607125152E-3</v>
      </c>
      <c r="F514" s="14">
        <v>-2.6246245704545368E-3</v>
      </c>
      <c r="G514" s="14">
        <v>-1.106154101517598E-3</v>
      </c>
      <c r="H514" s="14">
        <v>-1.1221635951308209E-3</v>
      </c>
    </row>
    <row r="515" spans="2:8" x14ac:dyDescent="0.25">
      <c r="B515" s="29">
        <v>507</v>
      </c>
      <c r="C515" s="30">
        <v>0.36845930232558138</v>
      </c>
      <c r="D515" s="28">
        <v>36010</v>
      </c>
      <c r="E515" s="14">
        <v>-2.8229728956453704E-3</v>
      </c>
      <c r="F515" s="14">
        <v>-2.6039232443548777E-3</v>
      </c>
      <c r="G515" s="14">
        <v>-1.0771992830918009E-3</v>
      </c>
      <c r="H515" s="14">
        <v>-1.1188056930005797E-3</v>
      </c>
    </row>
    <row r="516" spans="2:8" x14ac:dyDescent="0.25">
      <c r="B516" s="29">
        <v>508</v>
      </c>
      <c r="C516" s="30">
        <v>0.3691860465116279</v>
      </c>
      <c r="D516" s="28">
        <v>36011</v>
      </c>
      <c r="E516" s="14">
        <v>-2.7911825534276957E-3</v>
      </c>
      <c r="F516" s="14">
        <v>-2.5825379116565239E-3</v>
      </c>
      <c r="G516" s="14">
        <v>-1.0752780655349792E-3</v>
      </c>
      <c r="H516" s="14">
        <v>-1.1080426766803876E-3</v>
      </c>
    </row>
    <row r="517" spans="2:8" x14ac:dyDescent="0.25">
      <c r="B517" s="29">
        <v>509</v>
      </c>
      <c r="C517" s="30">
        <v>0.36991279069767441</v>
      </c>
      <c r="D517" s="28">
        <v>36012</v>
      </c>
      <c r="E517" s="14">
        <v>-2.7891968150017821E-3</v>
      </c>
      <c r="F517" s="14">
        <v>-2.5783895990384442E-3</v>
      </c>
      <c r="G517" s="14">
        <v>-1.0612894667020312E-3</v>
      </c>
      <c r="H517" s="14">
        <v>-1.1067605518087608E-3</v>
      </c>
    </row>
    <row r="518" spans="2:8" x14ac:dyDescent="0.25">
      <c r="B518" s="29">
        <v>510</v>
      </c>
      <c r="C518" s="30">
        <v>0.37063953488372092</v>
      </c>
      <c r="D518" s="28">
        <v>36013</v>
      </c>
      <c r="E518" s="14">
        <v>-2.7835902555143344E-3</v>
      </c>
      <c r="F518" s="14">
        <v>-2.572351541416884E-3</v>
      </c>
      <c r="G518" s="14">
        <v>-1.0367529073306292E-3</v>
      </c>
      <c r="H518" s="14">
        <v>-1.1010936908216972E-3</v>
      </c>
    </row>
    <row r="519" spans="2:8" x14ac:dyDescent="0.25">
      <c r="B519" s="29">
        <v>511</v>
      </c>
      <c r="C519" s="30">
        <v>0.37136627906976744</v>
      </c>
      <c r="D519" s="28">
        <v>36014</v>
      </c>
      <c r="E519" s="14">
        <v>-2.7425638173106393E-3</v>
      </c>
      <c r="F519" s="14">
        <v>-2.5334414268342043E-3</v>
      </c>
      <c r="G519" s="14">
        <v>-1.0358769182703398E-3</v>
      </c>
      <c r="H519" s="14">
        <v>-1.081285039807645E-3</v>
      </c>
    </row>
    <row r="520" spans="2:8" x14ac:dyDescent="0.25">
      <c r="B520" s="29">
        <v>512</v>
      </c>
      <c r="C520" s="30">
        <v>0.37209302325581395</v>
      </c>
      <c r="D520" s="28">
        <v>36017</v>
      </c>
      <c r="E520" s="14">
        <v>-2.7405859042296532E-3</v>
      </c>
      <c r="F520" s="14">
        <v>-2.4925702233725699E-3</v>
      </c>
      <c r="G520" s="14">
        <v>-1.0330578512396382E-3</v>
      </c>
      <c r="H520" s="14">
        <v>-1.0588400129033727E-3</v>
      </c>
    </row>
    <row r="521" spans="2:8" x14ac:dyDescent="0.25">
      <c r="B521" s="29">
        <v>513</v>
      </c>
      <c r="C521" s="30">
        <v>0.37281976744186046</v>
      </c>
      <c r="D521" s="28">
        <v>36018</v>
      </c>
      <c r="E521" s="14">
        <v>-2.7401318225579452E-3</v>
      </c>
      <c r="F521" s="14">
        <v>-2.4911850375594069E-3</v>
      </c>
      <c r="G521" s="14">
        <v>-1.0145601075901567E-3</v>
      </c>
      <c r="H521" s="14">
        <v>-1.0529676851734229E-3</v>
      </c>
    </row>
    <row r="522" spans="2:8" x14ac:dyDescent="0.25">
      <c r="B522" s="29">
        <v>514</v>
      </c>
      <c r="C522" s="30">
        <v>0.37354651162790697</v>
      </c>
      <c r="D522" s="28">
        <v>36019</v>
      </c>
      <c r="E522" s="14">
        <v>-2.7049873203720542E-3</v>
      </c>
      <c r="F522" s="14">
        <v>-2.4824779983388945E-3</v>
      </c>
      <c r="G522" s="14">
        <v>-1.0133493248469794E-3</v>
      </c>
      <c r="H522" s="14">
        <v>-1.0424419747913527E-3</v>
      </c>
    </row>
    <row r="523" spans="2:8" x14ac:dyDescent="0.25">
      <c r="B523" s="29">
        <v>515</v>
      </c>
      <c r="C523" s="30">
        <v>0.37427325581395349</v>
      </c>
      <c r="D523" s="28">
        <v>36020</v>
      </c>
      <c r="E523" s="14">
        <v>-2.702336384909243E-3</v>
      </c>
      <c r="F523" s="14">
        <v>-2.4474779134855407E-3</v>
      </c>
      <c r="G523" s="14">
        <v>-1.0023787176541843E-3</v>
      </c>
      <c r="H523" s="14">
        <v>-1.0387122057463837E-3</v>
      </c>
    </row>
    <row r="524" spans="2:8" x14ac:dyDescent="0.25">
      <c r="B524" s="29">
        <v>516</v>
      </c>
      <c r="C524" s="30">
        <v>0.375</v>
      </c>
      <c r="D524" s="28">
        <v>36021</v>
      </c>
      <c r="E524" s="14">
        <v>-2.6773387055796238E-3</v>
      </c>
      <c r="F524" s="14">
        <v>-2.4448952404019231E-3</v>
      </c>
      <c r="G524" s="14">
        <v>-9.948501872660831E-4</v>
      </c>
      <c r="H524" s="14">
        <v>-1.0214344103122164E-3</v>
      </c>
    </row>
    <row r="525" spans="2:8" x14ac:dyDescent="0.25">
      <c r="B525" s="29">
        <v>517</v>
      </c>
      <c r="C525" s="30">
        <v>0.37572674418604651</v>
      </c>
      <c r="D525" s="28">
        <v>36024</v>
      </c>
      <c r="E525" s="14">
        <v>-2.6766925774334149E-3</v>
      </c>
      <c r="F525" s="14">
        <v>-2.4343514031330837E-3</v>
      </c>
      <c r="G525" s="14">
        <v>-9.8979897936257721E-4</v>
      </c>
      <c r="H525" s="14">
        <v>-1.0075905949708643E-3</v>
      </c>
    </row>
    <row r="526" spans="2:8" x14ac:dyDescent="0.25">
      <c r="B526" s="29">
        <v>518</v>
      </c>
      <c r="C526" s="30">
        <v>0.37645348837209303</v>
      </c>
      <c r="D526" s="28">
        <v>36025</v>
      </c>
      <c r="E526" s="14">
        <v>-2.6616564897445905E-3</v>
      </c>
      <c r="F526" s="14">
        <v>-2.3859543817527085E-3</v>
      </c>
      <c r="G526" s="14">
        <v>-9.8925169828123494E-4</v>
      </c>
      <c r="H526" s="14">
        <v>-9.9511249135679773E-4</v>
      </c>
    </row>
    <row r="527" spans="2:8" x14ac:dyDescent="0.25">
      <c r="B527" s="29">
        <v>519</v>
      </c>
      <c r="C527" s="30">
        <v>0.37718023255813954</v>
      </c>
      <c r="D527" s="28">
        <v>36026</v>
      </c>
      <c r="E527" s="14">
        <v>-2.6509572901325384E-3</v>
      </c>
      <c r="F527" s="14">
        <v>-2.3820494997697228E-3</v>
      </c>
      <c r="G527" s="14">
        <v>-9.8873935731957907E-4</v>
      </c>
      <c r="H527" s="14">
        <v>-9.951026205488934E-4</v>
      </c>
    </row>
    <row r="528" spans="2:8" x14ac:dyDescent="0.25">
      <c r="B528" s="29">
        <v>520</v>
      </c>
      <c r="C528" s="30">
        <v>0.37790697674418605</v>
      </c>
      <c r="D528" s="28">
        <v>36027</v>
      </c>
      <c r="E528" s="14">
        <v>-2.6274628861657767E-3</v>
      </c>
      <c r="F528" s="14">
        <v>-2.3811725540966444E-3</v>
      </c>
      <c r="G528" s="14">
        <v>-9.8133128635291555E-4</v>
      </c>
      <c r="H528" s="14">
        <v>-9.9248438874588452E-4</v>
      </c>
    </row>
    <row r="529" spans="2:8" x14ac:dyDescent="0.25">
      <c r="B529" s="29">
        <v>521</v>
      </c>
      <c r="C529" s="30">
        <v>0.37863372093023256</v>
      </c>
      <c r="D529" s="28">
        <v>36028</v>
      </c>
      <c r="E529" s="14">
        <v>-2.5679615583863447E-3</v>
      </c>
      <c r="F529" s="14">
        <v>-2.3568538619670454E-3</v>
      </c>
      <c r="G529" s="14">
        <v>-9.8126718503810384E-4</v>
      </c>
      <c r="H529" s="14">
        <v>-9.7010930652956511E-4</v>
      </c>
    </row>
    <row r="530" spans="2:8" x14ac:dyDescent="0.25">
      <c r="B530" s="29">
        <v>522</v>
      </c>
      <c r="C530" s="30">
        <v>0.37936046511627908</v>
      </c>
      <c r="D530" s="28">
        <v>36031</v>
      </c>
      <c r="E530" s="14">
        <v>-2.5636560326741664E-3</v>
      </c>
      <c r="F530" s="14">
        <v>-2.3522817982641886E-3</v>
      </c>
      <c r="G530" s="14">
        <v>-9.4260058540462932E-4</v>
      </c>
      <c r="H530" s="14">
        <v>-9.6530542524861937E-4</v>
      </c>
    </row>
    <row r="531" spans="2:8" x14ac:dyDescent="0.25">
      <c r="B531" s="29">
        <v>523</v>
      </c>
      <c r="C531" s="30">
        <v>0.38008720930232559</v>
      </c>
      <c r="D531" s="28">
        <v>36032</v>
      </c>
      <c r="E531" s="14">
        <v>-2.5113092070250254E-3</v>
      </c>
      <c r="F531" s="14">
        <v>-2.3070342944534472E-3</v>
      </c>
      <c r="G531" s="14">
        <v>-9.1989898505662193E-4</v>
      </c>
      <c r="H531" s="14">
        <v>-9.582482716181675E-4</v>
      </c>
    </row>
    <row r="532" spans="2:8" x14ac:dyDescent="0.25">
      <c r="B532" s="29">
        <v>524</v>
      </c>
      <c r="C532" s="30">
        <v>0.3808139534883721</v>
      </c>
      <c r="D532" s="28">
        <v>36033</v>
      </c>
      <c r="E532" s="14">
        <v>-2.507774099708926E-3</v>
      </c>
      <c r="F532" s="14">
        <v>-2.305082969889849E-3</v>
      </c>
      <c r="G532" s="14">
        <v>-8.8801103738700427E-4</v>
      </c>
      <c r="H532" s="14">
        <v>-9.3054827990688435E-4</v>
      </c>
    </row>
    <row r="533" spans="2:8" x14ac:dyDescent="0.25">
      <c r="B533" s="29">
        <v>525</v>
      </c>
      <c r="C533" s="30">
        <v>0.38154069767441862</v>
      </c>
      <c r="D533" s="28">
        <v>36034</v>
      </c>
      <c r="E533" s="14">
        <v>-2.5015287320269142E-3</v>
      </c>
      <c r="F533" s="14">
        <v>-2.3012049716141236E-3</v>
      </c>
      <c r="G533" s="14">
        <v>-8.805884617925086E-4</v>
      </c>
      <c r="H533" s="14">
        <v>-9.2582380459873626E-4</v>
      </c>
    </row>
    <row r="534" spans="2:8" x14ac:dyDescent="0.25">
      <c r="B534" s="29">
        <v>526</v>
      </c>
      <c r="C534" s="30">
        <v>0.38226744186046513</v>
      </c>
      <c r="D534" s="28">
        <v>36035</v>
      </c>
      <c r="E534" s="14">
        <v>-2.4589204168455892E-3</v>
      </c>
      <c r="F534" s="14">
        <v>-2.2880875241547693E-3</v>
      </c>
      <c r="G534" s="14">
        <v>-8.5193919968196141E-4</v>
      </c>
      <c r="H534" s="14">
        <v>-9.1932902147631192E-4</v>
      </c>
    </row>
    <row r="535" spans="2:8" x14ac:dyDescent="0.25">
      <c r="B535" s="29">
        <v>527</v>
      </c>
      <c r="C535" s="30">
        <v>0.38299418604651164</v>
      </c>
      <c r="D535" s="28">
        <v>36038</v>
      </c>
      <c r="E535" s="14">
        <v>-2.3883539313064306E-3</v>
      </c>
      <c r="F535" s="14">
        <v>-2.2634035931531349E-3</v>
      </c>
      <c r="G535" s="14">
        <v>-8.4592826528306908E-4</v>
      </c>
      <c r="H535" s="14">
        <v>-8.9191590952009125E-4</v>
      </c>
    </row>
    <row r="536" spans="2:8" x14ac:dyDescent="0.25">
      <c r="B536" s="29">
        <v>528</v>
      </c>
      <c r="C536" s="30">
        <v>0.38372093023255816</v>
      </c>
      <c r="D536" s="28">
        <v>36039</v>
      </c>
      <c r="E536" s="14">
        <v>-2.3477295869581694E-3</v>
      </c>
      <c r="F536" s="14">
        <v>-2.2530072579577398E-3</v>
      </c>
      <c r="G536" s="14">
        <v>-8.3800838761505236E-4</v>
      </c>
      <c r="H536" s="14">
        <v>-8.9184140252855952E-4</v>
      </c>
    </row>
    <row r="537" spans="2:8" x14ac:dyDescent="0.25">
      <c r="B537" s="29">
        <v>529</v>
      </c>
      <c r="C537" s="30">
        <v>0.38444767441860467</v>
      </c>
      <c r="D537" s="28">
        <v>36040</v>
      </c>
      <c r="E537" s="14">
        <v>-2.3390278954286137E-3</v>
      </c>
      <c r="F537" s="14">
        <v>-2.2329892563724973E-3</v>
      </c>
      <c r="G537" s="14">
        <v>-8.2409020952511902E-4</v>
      </c>
      <c r="H537" s="14">
        <v>-8.910064193329958E-4</v>
      </c>
    </row>
    <row r="538" spans="2:8" x14ac:dyDescent="0.25">
      <c r="B538" s="29">
        <v>530</v>
      </c>
      <c r="C538" s="30">
        <v>0.38517441860465118</v>
      </c>
      <c r="D538" s="28">
        <v>36041</v>
      </c>
      <c r="E538" s="14">
        <v>-2.3361215262245327E-3</v>
      </c>
      <c r="F538" s="14">
        <v>-2.2282600882679304E-3</v>
      </c>
      <c r="G538" s="14">
        <v>-8.1219524731501735E-4</v>
      </c>
      <c r="H538" s="14">
        <v>-8.8387560841050048E-4</v>
      </c>
    </row>
    <row r="539" spans="2:8" x14ac:dyDescent="0.25">
      <c r="B539" s="29">
        <v>531</v>
      </c>
      <c r="C539" s="30">
        <v>0.38590116279069769</v>
      </c>
      <c r="D539" s="28">
        <v>36042</v>
      </c>
      <c r="E539" s="14">
        <v>-2.3309160870208512E-3</v>
      </c>
      <c r="F539" s="14">
        <v>-2.2178646291163284E-3</v>
      </c>
      <c r="G539" s="14">
        <v>-7.8131975976414303E-4</v>
      </c>
      <c r="H539" s="14">
        <v>-8.7612694190153384E-4</v>
      </c>
    </row>
    <row r="540" spans="2:8" x14ac:dyDescent="0.25">
      <c r="B540" s="29">
        <v>532</v>
      </c>
      <c r="C540" s="30">
        <v>0.38662790697674421</v>
      </c>
      <c r="D540" s="28">
        <v>36045</v>
      </c>
      <c r="E540" s="14">
        <v>-2.3297511788100689E-3</v>
      </c>
      <c r="F540" s="14">
        <v>-2.1916829689998529E-3</v>
      </c>
      <c r="G540" s="14">
        <v>-7.7840441081067357E-4</v>
      </c>
      <c r="H540" s="14">
        <v>-8.6366465632234943E-4</v>
      </c>
    </row>
    <row r="541" spans="2:8" x14ac:dyDescent="0.25">
      <c r="B541" s="29">
        <v>533</v>
      </c>
      <c r="C541" s="30">
        <v>0.38735465116279072</v>
      </c>
      <c r="D541" s="28">
        <v>36046</v>
      </c>
      <c r="E541" s="14">
        <v>-2.2964140611199113E-3</v>
      </c>
      <c r="F541" s="14">
        <v>-2.1840353085709197E-3</v>
      </c>
      <c r="G541" s="14">
        <v>-7.7604579415591068E-4</v>
      </c>
      <c r="H541" s="14">
        <v>-8.598494834059613E-4</v>
      </c>
    </row>
    <row r="542" spans="2:8" x14ac:dyDescent="0.25">
      <c r="B542" s="29">
        <v>534</v>
      </c>
      <c r="C542" s="30">
        <v>0.38808139534883723</v>
      </c>
      <c r="D542" s="28">
        <v>36047</v>
      </c>
      <c r="E542" s="14">
        <v>-2.2719384183078617E-3</v>
      </c>
      <c r="F542" s="14">
        <v>-2.1590406575968668E-3</v>
      </c>
      <c r="G542" s="14">
        <v>-7.7140912391138183E-4</v>
      </c>
      <c r="H542" s="14">
        <v>-8.5384275130464507E-4</v>
      </c>
    </row>
    <row r="543" spans="2:8" x14ac:dyDescent="0.25">
      <c r="B543" s="29">
        <v>535</v>
      </c>
      <c r="C543" s="30">
        <v>0.38880813953488375</v>
      </c>
      <c r="D543" s="28">
        <v>36048</v>
      </c>
      <c r="E543" s="14">
        <v>-2.2379086702978279E-3</v>
      </c>
      <c r="F543" s="14">
        <v>-2.1524584883005904E-3</v>
      </c>
      <c r="G543" s="14">
        <v>-7.4957046031864927E-4</v>
      </c>
      <c r="H543" s="14">
        <v>-8.43123198366369E-4</v>
      </c>
    </row>
    <row r="544" spans="2:8" x14ac:dyDescent="0.25">
      <c r="B544" s="29">
        <v>536</v>
      </c>
      <c r="C544" s="30">
        <v>0.38953488372093026</v>
      </c>
      <c r="D544" s="28">
        <v>36049</v>
      </c>
      <c r="E544" s="14">
        <v>-2.2311023029232269E-3</v>
      </c>
      <c r="F544" s="14">
        <v>-2.1311559595337259E-3</v>
      </c>
      <c r="G544" s="14">
        <v>-7.4387458590485789E-4</v>
      </c>
      <c r="H544" s="14">
        <v>-8.178649215394131E-4</v>
      </c>
    </row>
    <row r="545" spans="2:8" x14ac:dyDescent="0.25">
      <c r="B545" s="29">
        <v>537</v>
      </c>
      <c r="C545" s="30">
        <v>0.39026162790697677</v>
      </c>
      <c r="D545" s="28">
        <v>36052</v>
      </c>
      <c r="E545" s="14">
        <v>-2.1819431320332372E-3</v>
      </c>
      <c r="F545" s="14">
        <v>-2.1268450380704795E-3</v>
      </c>
      <c r="G545" s="14">
        <v>-7.246444512876149E-4</v>
      </c>
      <c r="H545" s="14">
        <v>-7.9563071485200265E-4</v>
      </c>
    </row>
    <row r="546" spans="2:8" x14ac:dyDescent="0.25">
      <c r="B546" s="29">
        <v>538</v>
      </c>
      <c r="C546" s="30">
        <v>0.39098837209302323</v>
      </c>
      <c r="D546" s="28">
        <v>36053</v>
      </c>
      <c r="E546" s="14">
        <v>-2.1813757009904178E-3</v>
      </c>
      <c r="F546" s="14">
        <v>-2.1109680510226214E-3</v>
      </c>
      <c r="G546" s="14">
        <v>-7.2062084257218384E-4</v>
      </c>
      <c r="H546" s="14">
        <v>-7.8948437700105973E-4</v>
      </c>
    </row>
    <row r="547" spans="2:8" x14ac:dyDescent="0.25">
      <c r="B547" s="29">
        <v>539</v>
      </c>
      <c r="C547" s="30">
        <v>0.39171511627906974</v>
      </c>
      <c r="D547" s="28">
        <v>36054</v>
      </c>
      <c r="E547" s="14">
        <v>-2.1742766348887832E-3</v>
      </c>
      <c r="F547" s="14">
        <v>-2.0689218383849184E-3</v>
      </c>
      <c r="G547" s="14">
        <v>-6.7416405713149885E-4</v>
      </c>
      <c r="H547" s="14">
        <v>-7.8264978011310937E-4</v>
      </c>
    </row>
    <row r="548" spans="2:8" x14ac:dyDescent="0.25">
      <c r="B548" s="29">
        <v>540</v>
      </c>
      <c r="C548" s="30">
        <v>0.39244186046511625</v>
      </c>
      <c r="D548" s="28">
        <v>36055</v>
      </c>
      <c r="E548" s="14">
        <v>-2.1631380831531599E-3</v>
      </c>
      <c r="F548" s="14">
        <v>-2.0632447682008559E-3</v>
      </c>
      <c r="G548" s="14">
        <v>-6.7239805965124688E-4</v>
      </c>
      <c r="H548" s="14">
        <v>-7.7555309689500982E-4</v>
      </c>
    </row>
    <row r="549" spans="2:8" x14ac:dyDescent="0.25">
      <c r="B549" s="29">
        <v>541</v>
      </c>
      <c r="C549" s="30">
        <v>0.39316860465116277</v>
      </c>
      <c r="D549" s="28">
        <v>36056</v>
      </c>
      <c r="E549" s="14">
        <v>-2.1533376733937626E-3</v>
      </c>
      <c r="F549" s="14">
        <v>-2.0513384787084199E-3</v>
      </c>
      <c r="G549" s="14">
        <v>-6.720806496779419E-4</v>
      </c>
      <c r="H549" s="14">
        <v>-7.5904191622808701E-4</v>
      </c>
    </row>
    <row r="550" spans="2:8" x14ac:dyDescent="0.25">
      <c r="B550" s="29">
        <v>542</v>
      </c>
      <c r="C550" s="30">
        <v>0.39389534883720928</v>
      </c>
      <c r="D550" s="28">
        <v>36059</v>
      </c>
      <c r="E550" s="14">
        <v>-2.1186440677964935E-3</v>
      </c>
      <c r="F550" s="14">
        <v>-2.034730748991298E-3</v>
      </c>
      <c r="G550" s="14">
        <v>-6.621784025654387E-4</v>
      </c>
      <c r="H550" s="14">
        <v>-7.5577001337132641E-4</v>
      </c>
    </row>
    <row r="551" spans="2:8" x14ac:dyDescent="0.25">
      <c r="B551" s="29">
        <v>543</v>
      </c>
      <c r="C551" s="30">
        <v>0.39462209302325579</v>
      </c>
      <c r="D551" s="28">
        <v>36060</v>
      </c>
      <c r="E551" s="14">
        <v>-2.0955110380090902E-3</v>
      </c>
      <c r="F551" s="14">
        <v>-1.9599563391839991E-3</v>
      </c>
      <c r="G551" s="14">
        <v>-6.5306726371838764E-4</v>
      </c>
      <c r="H551" s="14">
        <v>-7.4263606357911666E-4</v>
      </c>
    </row>
    <row r="552" spans="2:8" x14ac:dyDescent="0.25">
      <c r="B552" s="29">
        <v>544</v>
      </c>
      <c r="C552" s="30">
        <v>0.39534883720930231</v>
      </c>
      <c r="D552" s="28">
        <v>36061</v>
      </c>
      <c r="E552" s="14">
        <v>-2.0947470190139095E-3</v>
      </c>
      <c r="F552" s="14">
        <v>-1.9551602264549217E-3</v>
      </c>
      <c r="G552" s="14">
        <v>-6.4394852034732608E-4</v>
      </c>
      <c r="H552" s="14">
        <v>-7.4178561645250603E-4</v>
      </c>
    </row>
    <row r="553" spans="2:8" x14ac:dyDescent="0.25">
      <c r="B553" s="29">
        <v>545</v>
      </c>
      <c r="C553" s="30">
        <v>0.39607558139534882</v>
      </c>
      <c r="D553" s="28">
        <v>36062</v>
      </c>
      <c r="E553" s="14">
        <v>-2.0836593667885595E-3</v>
      </c>
      <c r="F553" s="14">
        <v>-1.950761081604524E-3</v>
      </c>
      <c r="G553" s="14">
        <v>-6.4305235517925219E-4</v>
      </c>
      <c r="H553" s="14">
        <v>-7.4016606851117221E-4</v>
      </c>
    </row>
    <row r="554" spans="2:8" x14ac:dyDescent="0.25">
      <c r="B554" s="29">
        <v>546</v>
      </c>
      <c r="C554" s="30">
        <v>0.39680232558139533</v>
      </c>
      <c r="D554" s="28">
        <v>36063</v>
      </c>
      <c r="E554" s="14">
        <v>-2.0791619745029744E-3</v>
      </c>
      <c r="F554" s="14">
        <v>-1.9278170226244562E-3</v>
      </c>
      <c r="G554" s="14">
        <v>-6.4030734752695828E-4</v>
      </c>
      <c r="H554" s="14">
        <v>-7.3252852908498609E-4</v>
      </c>
    </row>
    <row r="555" spans="2:8" x14ac:dyDescent="0.25">
      <c r="B555" s="29">
        <v>547</v>
      </c>
      <c r="C555" s="30">
        <v>0.39752906976744184</v>
      </c>
      <c r="D555" s="28">
        <v>36066</v>
      </c>
      <c r="E555" s="14">
        <v>-2.079018238298258E-3</v>
      </c>
      <c r="F555" s="14">
        <v>-1.9178187699773197E-3</v>
      </c>
      <c r="G555" s="14">
        <v>-6.3879887627926735E-4</v>
      </c>
      <c r="H555" s="14">
        <v>-7.1345571217214005E-4</v>
      </c>
    </row>
    <row r="556" spans="2:8" x14ac:dyDescent="0.25">
      <c r="B556" s="29">
        <v>548</v>
      </c>
      <c r="C556" s="30">
        <v>0.39825581395348836</v>
      </c>
      <c r="D556" s="28">
        <v>36067</v>
      </c>
      <c r="E556" s="14">
        <v>-2.0736237043783579E-3</v>
      </c>
      <c r="F556" s="14">
        <v>-1.9149574325727503E-3</v>
      </c>
      <c r="G556" s="14">
        <v>-6.2754941951659315E-4</v>
      </c>
      <c r="H556" s="14">
        <v>-6.9478911405469485E-4</v>
      </c>
    </row>
    <row r="557" spans="2:8" x14ac:dyDescent="0.25">
      <c r="B557" s="29">
        <v>549</v>
      </c>
      <c r="C557" s="30">
        <v>0.39898255813953487</v>
      </c>
      <c r="D557" s="28">
        <v>36068</v>
      </c>
      <c r="E557" s="14">
        <v>-2.0621827411165805E-3</v>
      </c>
      <c r="F557" s="14">
        <v>-1.8858056294244196E-3</v>
      </c>
      <c r="G557" s="14">
        <v>-6.2683212439573754E-4</v>
      </c>
      <c r="H557" s="14">
        <v>-6.8759786203123033E-4</v>
      </c>
    </row>
    <row r="558" spans="2:8" x14ac:dyDescent="0.25">
      <c r="B558" s="29">
        <v>550</v>
      </c>
      <c r="C558" s="30">
        <v>0.39970930232558138</v>
      </c>
      <c r="D558" s="28">
        <v>36069</v>
      </c>
      <c r="E558" s="14">
        <v>-1.9777363394924974E-3</v>
      </c>
      <c r="F558" s="14">
        <v>-1.8632026189314699E-3</v>
      </c>
      <c r="G558" s="14">
        <v>-6.164882587010867E-4</v>
      </c>
      <c r="H558" s="14">
        <v>-6.7110276972075504E-4</v>
      </c>
    </row>
    <row r="559" spans="2:8" x14ac:dyDescent="0.25">
      <c r="B559" s="29">
        <v>551</v>
      </c>
      <c r="C559" s="30">
        <v>0.4004360465116279</v>
      </c>
      <c r="D559" s="28">
        <v>36070</v>
      </c>
      <c r="E559" s="14">
        <v>-1.9540791402051783E-3</v>
      </c>
      <c r="F559" s="14">
        <v>-1.847721685903525E-3</v>
      </c>
      <c r="G559" s="14">
        <v>-5.7683987886358867E-4</v>
      </c>
      <c r="H559" s="14">
        <v>-6.6297026923300972E-4</v>
      </c>
    </row>
    <row r="560" spans="2:8" x14ac:dyDescent="0.25">
      <c r="B560" s="29">
        <v>552</v>
      </c>
      <c r="C560" s="30">
        <v>0.40116279069767441</v>
      </c>
      <c r="D560" s="28">
        <v>36073</v>
      </c>
      <c r="E560" s="14">
        <v>-1.9410406522384349E-3</v>
      </c>
      <c r="F560" s="14">
        <v>-1.8282403779945611E-3</v>
      </c>
      <c r="G560" s="14">
        <v>-5.6791271677081312E-4</v>
      </c>
      <c r="H560" s="14">
        <v>-6.4431109435403322E-4</v>
      </c>
    </row>
    <row r="561" spans="2:8" x14ac:dyDescent="0.25">
      <c r="B561" s="29">
        <v>553</v>
      </c>
      <c r="C561" s="30">
        <v>0.40188953488372092</v>
      </c>
      <c r="D561" s="28">
        <v>36074</v>
      </c>
      <c r="E561" s="14">
        <v>-1.9343065659065406E-3</v>
      </c>
      <c r="F561" s="14">
        <v>-1.8274292275473059E-3</v>
      </c>
      <c r="G561" s="14">
        <v>-5.50478916657271E-4</v>
      </c>
      <c r="H561" s="14">
        <v>-6.4425131805405638E-4</v>
      </c>
    </row>
    <row r="562" spans="2:8" x14ac:dyDescent="0.25">
      <c r="B562" s="29">
        <v>554</v>
      </c>
      <c r="C562" s="30">
        <v>0.40261627906976744</v>
      </c>
      <c r="D562" s="28">
        <v>36075</v>
      </c>
      <c r="E562" s="14">
        <v>-1.9342359767891004E-3</v>
      </c>
      <c r="F562" s="14">
        <v>-1.772308756358032E-3</v>
      </c>
      <c r="G562" s="14">
        <v>-5.4970101392248782E-4</v>
      </c>
      <c r="H562" s="14">
        <v>-6.3960193437260235E-4</v>
      </c>
    </row>
    <row r="563" spans="2:8" x14ac:dyDescent="0.25">
      <c r="B563" s="29">
        <v>555</v>
      </c>
      <c r="C563" s="30">
        <v>0.40334302325581395</v>
      </c>
      <c r="D563" s="28">
        <v>36076</v>
      </c>
      <c r="E563" s="14">
        <v>-1.9312188962342658E-3</v>
      </c>
      <c r="F563" s="14">
        <v>-1.7673679606537984E-3</v>
      </c>
      <c r="G563" s="14">
        <v>-5.3285440447536914E-4</v>
      </c>
      <c r="H563" s="14">
        <v>-6.2815081067260138E-4</v>
      </c>
    </row>
    <row r="564" spans="2:8" x14ac:dyDescent="0.25">
      <c r="B564" s="29">
        <v>556</v>
      </c>
      <c r="C564" s="30">
        <v>0.40406976744186046</v>
      </c>
      <c r="D564" s="28">
        <v>36077</v>
      </c>
      <c r="E564" s="14">
        <v>-1.9244014192699721E-3</v>
      </c>
      <c r="F564" s="14">
        <v>-1.7548045470987539E-3</v>
      </c>
      <c r="G564" s="14">
        <v>-5.3147513877405128E-4</v>
      </c>
      <c r="H564" s="14">
        <v>-6.2524472767266914E-4</v>
      </c>
    </row>
    <row r="565" spans="2:8" x14ac:dyDescent="0.25">
      <c r="B565" s="29">
        <v>557</v>
      </c>
      <c r="C565" s="30">
        <v>0.40479651162790697</v>
      </c>
      <c r="D565" s="28">
        <v>36080</v>
      </c>
      <c r="E565" s="14">
        <v>-1.9209250279745849E-3</v>
      </c>
      <c r="F565" s="14">
        <v>-1.7523600332705058E-3</v>
      </c>
      <c r="G565" s="14">
        <v>-5.0866526730741768E-4</v>
      </c>
      <c r="H565" s="14">
        <v>-6.2193452929739648E-4</v>
      </c>
    </row>
    <row r="566" spans="2:8" x14ac:dyDescent="0.25">
      <c r="B566" s="29">
        <v>558</v>
      </c>
      <c r="C566" s="30">
        <v>0.40552325581395349</v>
      </c>
      <c r="D566" s="28">
        <v>36081</v>
      </c>
      <c r="E566" s="14">
        <v>-1.9196638777210229E-3</v>
      </c>
      <c r="F566" s="14">
        <v>-1.7253341123202315E-3</v>
      </c>
      <c r="G566" s="14">
        <v>-5.0020809031203761E-4</v>
      </c>
      <c r="H566" s="14">
        <v>-6.0115201040344957E-4</v>
      </c>
    </row>
    <row r="567" spans="2:8" x14ac:dyDescent="0.25">
      <c r="B567" s="29">
        <v>559</v>
      </c>
      <c r="C567" s="30">
        <v>0.40625</v>
      </c>
      <c r="D567" s="28">
        <v>36082</v>
      </c>
      <c r="E567" s="14">
        <v>-1.903175924824474E-3</v>
      </c>
      <c r="F567" s="14">
        <v>-1.7165103521501468E-3</v>
      </c>
      <c r="G567" s="14">
        <v>-4.9042227694595653E-4</v>
      </c>
      <c r="H567" s="14">
        <v>-5.8715406551579363E-4</v>
      </c>
    </row>
    <row r="568" spans="2:8" x14ac:dyDescent="0.25">
      <c r="B568" s="29">
        <v>560</v>
      </c>
      <c r="C568" s="30">
        <v>0.40697674418604651</v>
      </c>
      <c r="D568" s="28">
        <v>36083</v>
      </c>
      <c r="E568" s="14">
        <v>-1.8788849087246762E-3</v>
      </c>
      <c r="F568" s="14">
        <v>-1.698832546470963E-3</v>
      </c>
      <c r="G568" s="14">
        <v>-4.8488379708511165E-4</v>
      </c>
      <c r="H568" s="14">
        <v>-5.8063250269317905E-4</v>
      </c>
    </row>
    <row r="569" spans="2:8" x14ac:dyDescent="0.25">
      <c r="B569" s="29">
        <v>561</v>
      </c>
      <c r="C569" s="30">
        <v>0.40770348837209303</v>
      </c>
      <c r="D569" s="28">
        <v>36084</v>
      </c>
      <c r="E569" s="14">
        <v>-1.8627590122056725E-3</v>
      </c>
      <c r="F569" s="14">
        <v>-1.6568783789038255E-3</v>
      </c>
      <c r="G569" s="14">
        <v>-4.7169811320735278E-4</v>
      </c>
      <c r="H569" s="14">
        <v>-5.7561883665338E-4</v>
      </c>
    </row>
    <row r="570" spans="2:8" x14ac:dyDescent="0.25">
      <c r="B570" s="29">
        <v>562</v>
      </c>
      <c r="C570" s="30">
        <v>0.40843023255813954</v>
      </c>
      <c r="D570" s="28">
        <v>36087</v>
      </c>
      <c r="E570" s="14">
        <v>-1.8494967043004573E-3</v>
      </c>
      <c r="F570" s="14">
        <v>-1.6361675289299216E-3</v>
      </c>
      <c r="G570" s="14">
        <v>-4.661691515254196E-4</v>
      </c>
      <c r="H570" s="14">
        <v>-5.6743839358810457E-4</v>
      </c>
    </row>
    <row r="571" spans="2:8" x14ac:dyDescent="0.25">
      <c r="B571" s="29">
        <v>563</v>
      </c>
      <c r="C571" s="30">
        <v>0.40915697674418605</v>
      </c>
      <c r="D571" s="28">
        <v>36088</v>
      </c>
      <c r="E571" s="14">
        <v>-1.8476396234562431E-3</v>
      </c>
      <c r="F571" s="14">
        <v>-1.6231386265106451E-3</v>
      </c>
      <c r="G571" s="14">
        <v>-4.6358456056172503E-4</v>
      </c>
      <c r="H571" s="14">
        <v>-5.5513525935588746E-4</v>
      </c>
    </row>
    <row r="572" spans="2:8" x14ac:dyDescent="0.25">
      <c r="B572" s="29">
        <v>564</v>
      </c>
      <c r="C572" s="30">
        <v>0.40988372093023256</v>
      </c>
      <c r="D572" s="28">
        <v>36089</v>
      </c>
      <c r="E572" s="14">
        <v>-1.8456534285659076E-3</v>
      </c>
      <c r="F572" s="14">
        <v>-1.6215339711367349E-3</v>
      </c>
      <c r="G572" s="14">
        <v>-4.5983769870072688E-4</v>
      </c>
      <c r="H572" s="14">
        <v>-5.5347780457923887E-4</v>
      </c>
    </row>
    <row r="573" spans="2:8" x14ac:dyDescent="0.25">
      <c r="B573" s="29">
        <v>565</v>
      </c>
      <c r="C573" s="30">
        <v>0.41061046511627908</v>
      </c>
      <c r="D573" s="28">
        <v>36090</v>
      </c>
      <c r="E573" s="14">
        <v>-1.8380187100878187E-3</v>
      </c>
      <c r="F573" s="14">
        <v>-1.6130116271255712E-3</v>
      </c>
      <c r="G573" s="14">
        <v>-4.5364633367450669E-4</v>
      </c>
      <c r="H573" s="14">
        <v>-5.4360977694276622E-4</v>
      </c>
    </row>
    <row r="574" spans="2:8" x14ac:dyDescent="0.25">
      <c r="B574" s="29">
        <v>566</v>
      </c>
      <c r="C574" s="30">
        <v>0.41133720930232559</v>
      </c>
      <c r="D574" s="28">
        <v>36091</v>
      </c>
      <c r="E574" s="14">
        <v>-1.800824893983588E-3</v>
      </c>
      <c r="F574" s="14">
        <v>-1.6058704668722168E-3</v>
      </c>
      <c r="G574" s="14">
        <v>-4.4691627768378428E-4</v>
      </c>
      <c r="H574" s="14">
        <v>-5.4182503268691568E-4</v>
      </c>
    </row>
    <row r="575" spans="2:8" x14ac:dyDescent="0.25">
      <c r="B575" s="29">
        <v>567</v>
      </c>
      <c r="C575" s="30">
        <v>0.4120639534883721</v>
      </c>
      <c r="D575" s="28">
        <v>36094</v>
      </c>
      <c r="E575" s="14">
        <v>-1.7958983845267618E-3</v>
      </c>
      <c r="F575" s="14">
        <v>-1.577852191767537E-3</v>
      </c>
      <c r="G575" s="14">
        <v>-4.4603033006229698E-4</v>
      </c>
      <c r="H575" s="14">
        <v>-5.2625996785518039E-4</v>
      </c>
    </row>
    <row r="576" spans="2:8" x14ac:dyDescent="0.25">
      <c r="B576" s="29">
        <v>568</v>
      </c>
      <c r="C576" s="30">
        <v>0.41279069767441862</v>
      </c>
      <c r="D576" s="28">
        <v>36095</v>
      </c>
      <c r="E576" s="14">
        <v>-1.7740635878675803E-3</v>
      </c>
      <c r="F576" s="14">
        <v>-1.5628871481120354E-3</v>
      </c>
      <c r="G576" s="14">
        <v>-4.3663355528866798E-4</v>
      </c>
      <c r="H576" s="14">
        <v>-5.2421367644650552E-4</v>
      </c>
    </row>
    <row r="577" spans="2:8" x14ac:dyDescent="0.25">
      <c r="B577" s="29">
        <v>569</v>
      </c>
      <c r="C577" s="30">
        <v>0.41351744186046513</v>
      </c>
      <c r="D577" s="28">
        <v>36096</v>
      </c>
      <c r="E577" s="14">
        <v>-1.7257278131512788E-3</v>
      </c>
      <c r="F577" s="14">
        <v>-1.5217630449927411E-3</v>
      </c>
      <c r="G577" s="14">
        <v>-4.1133339428589544E-4</v>
      </c>
      <c r="H577" s="14">
        <v>-5.0861835928208701E-4</v>
      </c>
    </row>
    <row r="578" spans="2:8" x14ac:dyDescent="0.25">
      <c r="B578" s="29">
        <v>570</v>
      </c>
      <c r="C578" s="30">
        <v>0.41424418604651164</v>
      </c>
      <c r="D578" s="28">
        <v>36097</v>
      </c>
      <c r="E578" s="14">
        <v>-1.7163478623363204E-3</v>
      </c>
      <c r="F578" s="14">
        <v>-1.5205122956810646E-3</v>
      </c>
      <c r="G578" s="14">
        <v>-4.0619741194236614E-4</v>
      </c>
      <c r="H578" s="14">
        <v>-4.9502246281032405E-4</v>
      </c>
    </row>
    <row r="579" spans="2:8" x14ac:dyDescent="0.25">
      <c r="B579" s="29">
        <v>571</v>
      </c>
      <c r="C579" s="30">
        <v>0.41497093023255816</v>
      </c>
      <c r="D579" s="28">
        <v>36098</v>
      </c>
      <c r="E579" s="14">
        <v>-1.6790144185362399E-3</v>
      </c>
      <c r="F579" s="14">
        <v>-1.5099294272115094E-3</v>
      </c>
      <c r="G579" s="14">
        <v>-4.0490231141299127E-4</v>
      </c>
      <c r="H579" s="14">
        <v>-4.7583890256017733E-4</v>
      </c>
    </row>
    <row r="580" spans="2:8" x14ac:dyDescent="0.25">
      <c r="B580" s="29">
        <v>572</v>
      </c>
      <c r="C580" s="30">
        <v>0.41569767441860467</v>
      </c>
      <c r="D580" s="28">
        <v>36101</v>
      </c>
      <c r="E580" s="14">
        <v>-1.6545004048179601E-3</v>
      </c>
      <c r="F580" s="14">
        <v>-1.5064578302576015E-3</v>
      </c>
      <c r="G580" s="14">
        <v>-3.9508668555543469E-4</v>
      </c>
      <c r="H580" s="14">
        <v>-4.7230445194752519E-4</v>
      </c>
    </row>
    <row r="581" spans="2:8" x14ac:dyDescent="0.25">
      <c r="B581" s="29">
        <v>573</v>
      </c>
      <c r="C581" s="30">
        <v>0.41642441860465118</v>
      </c>
      <c r="D581" s="28">
        <v>36102</v>
      </c>
      <c r="E581" s="14">
        <v>-1.6136518009726153E-3</v>
      </c>
      <c r="F581" s="14">
        <v>-1.5005708693526243E-3</v>
      </c>
      <c r="G581" s="14">
        <v>-3.8355426926217628E-4</v>
      </c>
      <c r="H581" s="14">
        <v>-4.6808584973092595E-4</v>
      </c>
    </row>
    <row r="582" spans="2:8" x14ac:dyDescent="0.25">
      <c r="B582" s="29">
        <v>574</v>
      </c>
      <c r="C582" s="30">
        <v>0.41715116279069769</v>
      </c>
      <c r="D582" s="28">
        <v>36103</v>
      </c>
      <c r="E582" s="14">
        <v>-1.6074668884438204E-3</v>
      </c>
      <c r="F582" s="14">
        <v>-1.4497873154648566E-3</v>
      </c>
      <c r="G582" s="14">
        <v>-3.7905109155733641E-4</v>
      </c>
      <c r="H582" s="14">
        <v>-4.4829330471543019E-4</v>
      </c>
    </row>
    <row r="583" spans="2:8" x14ac:dyDescent="0.25">
      <c r="B583" s="29">
        <v>575</v>
      </c>
      <c r="C583" s="30">
        <v>0.41787790697674421</v>
      </c>
      <c r="D583" s="28">
        <v>36104</v>
      </c>
      <c r="E583" s="14">
        <v>-1.5381942399905757E-3</v>
      </c>
      <c r="F583" s="14">
        <v>-1.4433974730378996E-3</v>
      </c>
      <c r="G583" s="14">
        <v>-3.7737629133438588E-4</v>
      </c>
      <c r="H583" s="14">
        <v>-4.4327074585148745E-4</v>
      </c>
    </row>
    <row r="584" spans="2:8" x14ac:dyDescent="0.25">
      <c r="B584" s="29">
        <v>576</v>
      </c>
      <c r="C584" s="30">
        <v>0.41860465116279072</v>
      </c>
      <c r="D584" s="28">
        <v>36105</v>
      </c>
      <c r="E584" s="14">
        <v>-1.5343005374267582E-3</v>
      </c>
      <c r="F584" s="14">
        <v>-1.4134182264903261E-3</v>
      </c>
      <c r="G584" s="14">
        <v>-3.7056643726818272E-4</v>
      </c>
      <c r="H584" s="14">
        <v>-4.4106536932688768E-4</v>
      </c>
    </row>
    <row r="585" spans="2:8" x14ac:dyDescent="0.25">
      <c r="B585" s="29">
        <v>577</v>
      </c>
      <c r="C585" s="30">
        <v>0.41933139534883723</v>
      </c>
      <c r="D585" s="28">
        <v>36108</v>
      </c>
      <c r="E585" s="14">
        <v>-1.5337225608029748E-3</v>
      </c>
      <c r="F585" s="14">
        <v>-1.3787417915114286E-3</v>
      </c>
      <c r="G585" s="14">
        <v>-3.6190361300425522E-4</v>
      </c>
      <c r="H585" s="14">
        <v>-4.4001683501697646E-4</v>
      </c>
    </row>
    <row r="586" spans="2:8" x14ac:dyDescent="0.25">
      <c r="B586" s="29">
        <v>578</v>
      </c>
      <c r="C586" s="30">
        <v>0.42005813953488375</v>
      </c>
      <c r="D586" s="28">
        <v>36109</v>
      </c>
      <c r="E586" s="14">
        <v>-1.5308725973803838E-3</v>
      </c>
      <c r="F586" s="14">
        <v>-1.3646211417799314E-3</v>
      </c>
      <c r="G586" s="14">
        <v>-3.3649262520318857E-4</v>
      </c>
      <c r="H586" s="14">
        <v>-4.3742214085837913E-4</v>
      </c>
    </row>
    <row r="587" spans="2:8" x14ac:dyDescent="0.25">
      <c r="B587" s="29">
        <v>579</v>
      </c>
      <c r="C587" s="30">
        <v>0.42078488372093026</v>
      </c>
      <c r="D587" s="28">
        <v>36110</v>
      </c>
      <c r="E587" s="14">
        <v>-1.5272709121180172E-3</v>
      </c>
      <c r="F587" s="14">
        <v>-1.3536195787535732E-3</v>
      </c>
      <c r="G587" s="14">
        <v>-3.3355428845560642E-4</v>
      </c>
      <c r="H587" s="14">
        <v>-4.2179876024017759E-4</v>
      </c>
    </row>
    <row r="588" spans="2:8" x14ac:dyDescent="0.25">
      <c r="B588" s="29">
        <v>580</v>
      </c>
      <c r="C588" s="30">
        <v>0.42151162790697677</v>
      </c>
      <c r="D588" s="28">
        <v>36111</v>
      </c>
      <c r="E588" s="14">
        <v>-1.5132045135518579E-3</v>
      </c>
      <c r="F588" s="14">
        <v>-1.3317126360760101E-3</v>
      </c>
      <c r="G588" s="14">
        <v>-2.9123149074916643E-4</v>
      </c>
      <c r="H588" s="14">
        <v>-3.9534595892718464E-4</v>
      </c>
    </row>
    <row r="589" spans="2:8" x14ac:dyDescent="0.25">
      <c r="B589" s="29">
        <v>581</v>
      </c>
      <c r="C589" s="30">
        <v>0.42223837209302323</v>
      </c>
      <c r="D589" s="28">
        <v>36112</v>
      </c>
      <c r="E589" s="14">
        <v>-1.5041817829465343E-3</v>
      </c>
      <c r="F589" s="14">
        <v>-1.3161043311797904E-3</v>
      </c>
      <c r="G589" s="14">
        <v>-2.8951711499292099E-4</v>
      </c>
      <c r="H589" s="14">
        <v>-3.9511676206880345E-4</v>
      </c>
    </row>
    <row r="590" spans="2:8" x14ac:dyDescent="0.25">
      <c r="B590" s="29">
        <v>582</v>
      </c>
      <c r="C590" s="30">
        <v>0.42296511627906974</v>
      </c>
      <c r="D590" s="28">
        <v>36115</v>
      </c>
      <c r="E590" s="14">
        <v>-1.483958330847357E-3</v>
      </c>
      <c r="F590" s="14">
        <v>-1.2843674137638095E-3</v>
      </c>
      <c r="G590" s="14">
        <v>-2.8877184810616185E-4</v>
      </c>
      <c r="H590" s="14">
        <v>-3.8805648377706616E-4</v>
      </c>
    </row>
    <row r="591" spans="2:8" x14ac:dyDescent="0.25">
      <c r="B591" s="29">
        <v>583</v>
      </c>
      <c r="C591" s="30">
        <v>0.42369186046511625</v>
      </c>
      <c r="D591" s="28">
        <v>36116</v>
      </c>
      <c r="E591" s="14">
        <v>-1.4808024539012532E-3</v>
      </c>
      <c r="F591" s="14">
        <v>-1.2830094668658809E-3</v>
      </c>
      <c r="G591" s="14">
        <v>-2.6727962794670379E-4</v>
      </c>
      <c r="H591" s="14">
        <v>-3.7829006813971927E-4</v>
      </c>
    </row>
    <row r="592" spans="2:8" x14ac:dyDescent="0.25">
      <c r="B592" s="29">
        <v>584</v>
      </c>
      <c r="C592" s="30">
        <v>0.42441860465116277</v>
      </c>
      <c r="D592" s="28">
        <v>36117</v>
      </c>
      <c r="E592" s="14">
        <v>-1.4780752176056788E-3</v>
      </c>
      <c r="F592" s="14">
        <v>-1.2699084607651345E-3</v>
      </c>
      <c r="G592" s="14">
        <v>-2.6400111852409314E-4</v>
      </c>
      <c r="H592" s="14">
        <v>-3.7182736284218092E-4</v>
      </c>
    </row>
    <row r="593" spans="2:8" x14ac:dyDescent="0.25">
      <c r="B593" s="29">
        <v>585</v>
      </c>
      <c r="C593" s="30">
        <v>0.42514534883720928</v>
      </c>
      <c r="D593" s="28">
        <v>36118</v>
      </c>
      <c r="E593" s="14">
        <v>-1.4665145836726401E-3</v>
      </c>
      <c r="F593" s="14">
        <v>-1.2673348094627279E-3</v>
      </c>
      <c r="G593" s="14">
        <v>-2.2997757718634659E-4</v>
      </c>
      <c r="H593" s="14">
        <v>-3.5863283324455436E-4</v>
      </c>
    </row>
    <row r="594" spans="2:8" x14ac:dyDescent="0.25">
      <c r="B594" s="29">
        <v>586</v>
      </c>
      <c r="C594" s="30">
        <v>0.42587209302325579</v>
      </c>
      <c r="D594" s="28">
        <v>36119</v>
      </c>
      <c r="E594" s="14">
        <v>-1.4601016547278745E-3</v>
      </c>
      <c r="F594" s="14">
        <v>-1.2522430642517568E-3</v>
      </c>
      <c r="G594" s="14">
        <v>-2.1634485369670386E-4</v>
      </c>
      <c r="H594" s="14">
        <v>-3.5038960775990468E-4</v>
      </c>
    </row>
    <row r="595" spans="2:8" x14ac:dyDescent="0.25">
      <c r="B595" s="29">
        <v>587</v>
      </c>
      <c r="C595" s="30">
        <v>0.42659883720930231</v>
      </c>
      <c r="D595" s="28">
        <v>36122</v>
      </c>
      <c r="E595" s="14">
        <v>-1.451841359773276E-3</v>
      </c>
      <c r="F595" s="14">
        <v>-1.2513884787896945E-3</v>
      </c>
      <c r="G595" s="14">
        <v>-1.9388697981226333E-4</v>
      </c>
      <c r="H595" s="14">
        <v>-3.4222019136860289E-4</v>
      </c>
    </row>
    <row r="596" spans="2:8" x14ac:dyDescent="0.25">
      <c r="B596" s="29">
        <v>588</v>
      </c>
      <c r="C596" s="30">
        <v>0.42732558139534882</v>
      </c>
      <c r="D596" s="28">
        <v>36123</v>
      </c>
      <c r="E596" s="14">
        <v>-1.4495691665994404E-3</v>
      </c>
      <c r="F596" s="14">
        <v>-1.2331682479065353E-3</v>
      </c>
      <c r="G596" s="14">
        <v>-1.9263025838534009E-4</v>
      </c>
      <c r="H596" s="14">
        <v>-3.4150186151071793E-4</v>
      </c>
    </row>
    <row r="597" spans="2:8" x14ac:dyDescent="0.25">
      <c r="B597" s="29">
        <v>589</v>
      </c>
      <c r="C597" s="30">
        <v>0.42805232558139533</v>
      </c>
      <c r="D597" s="28">
        <v>36124</v>
      </c>
      <c r="E597" s="14">
        <v>-1.4486578610991563E-3</v>
      </c>
      <c r="F597" s="14">
        <v>-1.2243906086437661E-3</v>
      </c>
      <c r="G597" s="14">
        <v>-1.9224299514597476E-4</v>
      </c>
      <c r="H597" s="14">
        <v>-3.1855985464721579E-4</v>
      </c>
    </row>
    <row r="598" spans="2:8" x14ac:dyDescent="0.25">
      <c r="B598" s="29">
        <v>590</v>
      </c>
      <c r="C598" s="30">
        <v>0.42877906976744184</v>
      </c>
      <c r="D598" s="28">
        <v>36125</v>
      </c>
      <c r="E598" s="14">
        <v>-1.4414235299964329E-3</v>
      </c>
      <c r="F598" s="14">
        <v>-1.1962236580088659E-3</v>
      </c>
      <c r="G598" s="14">
        <v>-1.7452440291398919E-4</v>
      </c>
      <c r="H598" s="14">
        <v>-3.1757721116183475E-4</v>
      </c>
    </row>
    <row r="599" spans="2:8" x14ac:dyDescent="0.25">
      <c r="B599" s="29">
        <v>591</v>
      </c>
      <c r="C599" s="30">
        <v>0.42950581395348836</v>
      </c>
      <c r="D599" s="28">
        <v>36126</v>
      </c>
      <c r="E599" s="14">
        <v>-1.4299332697805811E-3</v>
      </c>
      <c r="F599" s="14">
        <v>-1.1757370624386754E-3</v>
      </c>
      <c r="G599" s="14">
        <v>-1.710716265809209E-4</v>
      </c>
      <c r="H599" s="14">
        <v>-3.0887700306108127E-4</v>
      </c>
    </row>
    <row r="600" spans="2:8" x14ac:dyDescent="0.25">
      <c r="B600" s="29">
        <v>592</v>
      </c>
      <c r="C600" s="30">
        <v>0.43023255813953487</v>
      </c>
      <c r="D600" s="28">
        <v>36129</v>
      </c>
      <c r="E600" s="14">
        <v>-1.4088916718846267E-3</v>
      </c>
      <c r="F600" s="14">
        <v>-1.1482020835665852E-3</v>
      </c>
      <c r="G600" s="14">
        <v>-1.6908082939981472E-4</v>
      </c>
      <c r="H600" s="14">
        <v>-3.0381750254477869E-4</v>
      </c>
    </row>
    <row r="601" spans="2:8" x14ac:dyDescent="0.25">
      <c r="B601" s="29">
        <v>593</v>
      </c>
      <c r="C601" s="30">
        <v>0.43095930232558138</v>
      </c>
      <c r="D601" s="28">
        <v>36130</v>
      </c>
      <c r="E601" s="14">
        <v>-1.4023060143347754E-3</v>
      </c>
      <c r="F601" s="14">
        <v>-1.1341323041504925E-3</v>
      </c>
      <c r="G601" s="14">
        <v>-1.6322089227438497E-4</v>
      </c>
      <c r="H601" s="14">
        <v>-2.9642258248350215E-4</v>
      </c>
    </row>
    <row r="602" spans="2:8" x14ac:dyDescent="0.25">
      <c r="B602" s="29">
        <v>594</v>
      </c>
      <c r="C602" s="30">
        <v>0.4316860465116279</v>
      </c>
      <c r="D602" s="28">
        <v>36131</v>
      </c>
      <c r="E602" s="14">
        <v>-1.3971639178402828E-3</v>
      </c>
      <c r="F602" s="14">
        <v>-1.0781045263803524E-3</v>
      </c>
      <c r="G602" s="14">
        <v>-1.5963390624162965E-4</v>
      </c>
      <c r="H602" s="14">
        <v>-2.8787152346378977E-4</v>
      </c>
    </row>
    <row r="603" spans="2:8" x14ac:dyDescent="0.25">
      <c r="B603" s="29">
        <v>595</v>
      </c>
      <c r="C603" s="30">
        <v>0.43241279069767441</v>
      </c>
      <c r="D603" s="28">
        <v>36132</v>
      </c>
      <c r="E603" s="14">
        <v>-1.3951866062086316E-3</v>
      </c>
      <c r="F603" s="14">
        <v>-1.059191131039583E-3</v>
      </c>
      <c r="G603" s="14">
        <v>-1.5944724953509404E-4</v>
      </c>
      <c r="H603" s="14">
        <v>-2.866167508365435E-4</v>
      </c>
    </row>
    <row r="604" spans="2:8" x14ac:dyDescent="0.25">
      <c r="B604" s="29">
        <v>596</v>
      </c>
      <c r="C604" s="30">
        <v>0.43313953488372092</v>
      </c>
      <c r="D604" s="28">
        <v>36133</v>
      </c>
      <c r="E604" s="14">
        <v>-1.3840219880231208E-3</v>
      </c>
      <c r="F604" s="14">
        <v>-1.0397466798998112E-3</v>
      </c>
      <c r="G604" s="14">
        <v>-1.5249326488064874E-4</v>
      </c>
      <c r="H604" s="14">
        <v>-2.8608596654970935E-4</v>
      </c>
    </row>
    <row r="605" spans="2:8" x14ac:dyDescent="0.25">
      <c r="B605" s="29">
        <v>597</v>
      </c>
      <c r="C605" s="30">
        <v>0.43386627906976744</v>
      </c>
      <c r="D605" s="28">
        <v>36136</v>
      </c>
      <c r="E605" s="14">
        <v>-1.3736263736262577E-3</v>
      </c>
      <c r="F605" s="14">
        <v>-1.0316220824436728E-3</v>
      </c>
      <c r="G605" s="14">
        <v>-1.4666340747981899E-4</v>
      </c>
      <c r="H605" s="14">
        <v>-2.658185069027044E-4</v>
      </c>
    </row>
    <row r="606" spans="2:8" x14ac:dyDescent="0.25">
      <c r="B606" s="29">
        <v>598</v>
      </c>
      <c r="C606" s="30">
        <v>0.43459302325581395</v>
      </c>
      <c r="D606" s="28">
        <v>36137</v>
      </c>
      <c r="E606" s="14">
        <v>-1.3490725126475978E-3</v>
      </c>
      <c r="F606" s="14">
        <v>-1.0254734874266536E-3</v>
      </c>
      <c r="G606" s="14">
        <v>-1.4066676044433013E-4</v>
      </c>
      <c r="H606" s="14">
        <v>-2.5415603807221743E-4</v>
      </c>
    </row>
    <row r="607" spans="2:8" x14ac:dyDescent="0.25">
      <c r="B607" s="29">
        <v>599</v>
      </c>
      <c r="C607" s="30">
        <v>0.43531976744186046</v>
      </c>
      <c r="D607" s="28">
        <v>36138</v>
      </c>
      <c r="E607" s="14">
        <v>-1.2529256906398389E-3</v>
      </c>
      <c r="F607" s="14">
        <v>-9.6631324654417039E-4</v>
      </c>
      <c r="G607" s="14">
        <v>-1.3162985568071495E-4</v>
      </c>
      <c r="H607" s="14">
        <v>-2.4230818573971473E-4</v>
      </c>
    </row>
    <row r="608" spans="2:8" x14ac:dyDescent="0.25">
      <c r="B608" s="29">
        <v>600</v>
      </c>
      <c r="C608" s="30">
        <v>0.43604651162790697</v>
      </c>
      <c r="D608" s="28">
        <v>36139</v>
      </c>
      <c r="E608" s="14">
        <v>-1.2450319356759332E-3</v>
      </c>
      <c r="F608" s="14">
        <v>-9.4607379375599709E-4</v>
      </c>
      <c r="G608" s="14">
        <v>-1.2012058420607374E-4</v>
      </c>
      <c r="H608" s="14">
        <v>-2.3305111753759713E-4</v>
      </c>
    </row>
    <row r="609" spans="2:8" x14ac:dyDescent="0.25">
      <c r="B609" s="29">
        <v>601</v>
      </c>
      <c r="C609" s="30">
        <v>0.43677325581395349</v>
      </c>
      <c r="D609" s="28">
        <v>36140</v>
      </c>
      <c r="E609" s="14">
        <v>-1.2195121951219523E-3</v>
      </c>
      <c r="F609" s="14">
        <v>-9.1927466788155332E-4</v>
      </c>
      <c r="G609" s="14">
        <v>-1.1739136322364008E-4</v>
      </c>
      <c r="H609" s="14">
        <v>-2.2484084668401567E-4</v>
      </c>
    </row>
    <row r="610" spans="2:8" x14ac:dyDescent="0.25">
      <c r="B610" s="29">
        <v>602</v>
      </c>
      <c r="C610" s="30">
        <v>0.4375</v>
      </c>
      <c r="D610" s="28">
        <v>36143</v>
      </c>
      <c r="E610" s="14">
        <v>-1.2098377089130308E-3</v>
      </c>
      <c r="F610" s="14">
        <v>-9.003121081974097E-4</v>
      </c>
      <c r="G610" s="14">
        <v>-1.1083461312433318E-4</v>
      </c>
      <c r="H610" s="14">
        <v>-2.2264177051602995E-4</v>
      </c>
    </row>
    <row r="611" spans="2:8" x14ac:dyDescent="0.25">
      <c r="B611" s="29">
        <v>603</v>
      </c>
      <c r="C611" s="30">
        <v>0.43822674418604651</v>
      </c>
      <c r="D611" s="28">
        <v>36144</v>
      </c>
      <c r="E611" s="14">
        <v>-1.1968880909636326E-3</v>
      </c>
      <c r="F611" s="14">
        <v>-8.8235029306638069E-4</v>
      </c>
      <c r="G611" s="14">
        <v>-9.7016735386867836E-5</v>
      </c>
      <c r="H611" s="14">
        <v>-2.17843600817291E-4</v>
      </c>
    </row>
    <row r="612" spans="2:8" x14ac:dyDescent="0.25">
      <c r="B612" s="29">
        <v>604</v>
      </c>
      <c r="C612" s="30">
        <v>0.43895348837209303</v>
      </c>
      <c r="D612" s="28">
        <v>36145</v>
      </c>
      <c r="E612" s="14">
        <v>-1.172452970411797E-3</v>
      </c>
      <c r="F612" s="14">
        <v>-8.6495079131299057E-4</v>
      </c>
      <c r="G612" s="14">
        <v>-9.461633077867404E-5</v>
      </c>
      <c r="H612" s="14">
        <v>-2.1754529365582988E-4</v>
      </c>
    </row>
    <row r="613" spans="2:8" x14ac:dyDescent="0.25">
      <c r="B613" s="29">
        <v>605</v>
      </c>
      <c r="C613" s="30">
        <v>0.43968023255813954</v>
      </c>
      <c r="D613" s="28">
        <v>36146</v>
      </c>
      <c r="E613" s="14">
        <v>-1.1696579229942827E-3</v>
      </c>
      <c r="F613" s="14">
        <v>-8.5531004989314319E-4</v>
      </c>
      <c r="G613" s="14">
        <v>-9.3462311322900504E-5</v>
      </c>
      <c r="H613" s="14">
        <v>-2.1505561310699586E-4</v>
      </c>
    </row>
    <row r="614" spans="2:8" x14ac:dyDescent="0.25">
      <c r="B614" s="29">
        <v>606</v>
      </c>
      <c r="C614" s="30">
        <v>0.44040697674418605</v>
      </c>
      <c r="D614" s="28">
        <v>36147</v>
      </c>
      <c r="E614" s="14">
        <v>-1.1574286711616422E-3</v>
      </c>
      <c r="F614" s="14">
        <v>-8.5028182728308366E-4</v>
      </c>
      <c r="G614" s="14">
        <v>-8.979379367435314E-5</v>
      </c>
      <c r="H614" s="14">
        <v>-1.7734137857843284E-4</v>
      </c>
    </row>
    <row r="615" spans="2:8" x14ac:dyDescent="0.25">
      <c r="B615" s="29">
        <v>607</v>
      </c>
      <c r="C615" s="30">
        <v>0.44113372093023256</v>
      </c>
      <c r="D615" s="28">
        <v>36150</v>
      </c>
      <c r="E615" s="14">
        <v>-1.150965112549307E-3</v>
      </c>
      <c r="F615" s="14">
        <v>-8.4973435072566161E-4</v>
      </c>
      <c r="G615" s="14">
        <v>-8.5517617119612588E-5</v>
      </c>
      <c r="H615" s="14">
        <v>-1.7008402691494069E-4</v>
      </c>
    </row>
    <row r="616" spans="2:8" x14ac:dyDescent="0.25">
      <c r="B616" s="29">
        <v>608</v>
      </c>
      <c r="C616" s="30">
        <v>0.44186046511627908</v>
      </c>
      <c r="D616" s="28">
        <v>36151</v>
      </c>
      <c r="E616" s="14">
        <v>-1.1494181637577983E-3</v>
      </c>
      <c r="F616" s="14">
        <v>-8.2323969876596514E-4</v>
      </c>
      <c r="G616" s="14">
        <v>-5.8607776055707994E-5</v>
      </c>
      <c r="H616" s="14">
        <v>-1.6716102775697888E-4</v>
      </c>
    </row>
    <row r="617" spans="2:8" x14ac:dyDescent="0.25">
      <c r="B617" s="29">
        <v>609</v>
      </c>
      <c r="C617" s="30">
        <v>0.44258720930232559</v>
      </c>
      <c r="D617" s="28">
        <v>36152</v>
      </c>
      <c r="E617" s="14">
        <v>-1.1000715919606829E-3</v>
      </c>
      <c r="F617" s="14">
        <v>-8.1342696781538937E-4</v>
      </c>
      <c r="G617" s="14">
        <v>-5.7713015568339188E-5</v>
      </c>
      <c r="H617" s="14">
        <v>-1.5932794167845539E-4</v>
      </c>
    </row>
    <row r="618" spans="2:8" x14ac:dyDescent="0.25">
      <c r="B618" s="29">
        <v>610</v>
      </c>
      <c r="C618" s="30">
        <v>0.4433139534883721</v>
      </c>
      <c r="D618" s="28">
        <v>36153</v>
      </c>
      <c r="E618" s="14">
        <v>-1.0683047339253848E-3</v>
      </c>
      <c r="F618" s="14">
        <v>-8.0054728323353253E-4</v>
      </c>
      <c r="G618" s="14">
        <v>-5.6748115077054351E-5</v>
      </c>
      <c r="H618" s="14">
        <v>-1.5520915883118216E-4</v>
      </c>
    </row>
    <row r="619" spans="2:8" x14ac:dyDescent="0.25">
      <c r="B619" s="29">
        <v>611</v>
      </c>
      <c r="C619" s="30">
        <v>0.44404069767441862</v>
      </c>
      <c r="D619" s="28">
        <v>36154</v>
      </c>
      <c r="E619" s="14">
        <v>-1.056566970090933E-3</v>
      </c>
      <c r="F619" s="14">
        <v>-7.6537413035426827E-4</v>
      </c>
      <c r="G619" s="14">
        <v>-5.6242490190649974E-5</v>
      </c>
      <c r="H619" s="14">
        <v>-1.5286073232569926E-4</v>
      </c>
    </row>
    <row r="620" spans="2:8" x14ac:dyDescent="0.25">
      <c r="B620" s="29">
        <v>612</v>
      </c>
      <c r="C620" s="30">
        <v>0.44476744186046513</v>
      </c>
      <c r="D620" s="28">
        <v>36157</v>
      </c>
      <c r="E620" s="14">
        <v>-1.0492491310903906E-3</v>
      </c>
      <c r="F620" s="14">
        <v>-7.5463392393926298E-4</v>
      </c>
      <c r="G620" s="14">
        <v>-5.5427691862175443E-5</v>
      </c>
      <c r="H620" s="14">
        <v>-1.420573495514387E-4</v>
      </c>
    </row>
    <row r="621" spans="2:8" x14ac:dyDescent="0.25">
      <c r="B621" s="29">
        <v>613</v>
      </c>
      <c r="C621" s="30">
        <v>0.44549418604651164</v>
      </c>
      <c r="D621" s="28">
        <v>36158</v>
      </c>
      <c r="E621" s="14">
        <v>-1.0385015027101208E-3</v>
      </c>
      <c r="F621" s="14">
        <v>-7.4542897327700697E-4</v>
      </c>
      <c r="G621" s="14">
        <v>-5.4791518272812034E-5</v>
      </c>
      <c r="H621" s="14">
        <v>-1.4179192715668693E-4</v>
      </c>
    </row>
    <row r="622" spans="2:8" x14ac:dyDescent="0.25">
      <c r="B622" s="29">
        <v>614</v>
      </c>
      <c r="C622" s="30">
        <v>0.44622093023255816</v>
      </c>
      <c r="D622" s="28">
        <v>36159</v>
      </c>
      <c r="E622" s="14">
        <v>-1.0087385417754113E-3</v>
      </c>
      <c r="F622" s="14">
        <v>-6.8369917236410505E-4</v>
      </c>
      <c r="G622" s="14">
        <v>-5.4319999765128912E-5</v>
      </c>
      <c r="H622" s="14">
        <v>-1.2878970406946522E-4</v>
      </c>
    </row>
    <row r="623" spans="2:8" x14ac:dyDescent="0.25">
      <c r="B623" s="29">
        <v>615</v>
      </c>
      <c r="C623" s="30">
        <v>0.44694767441860467</v>
      </c>
      <c r="D623" s="28">
        <v>36160</v>
      </c>
      <c r="E623" s="14">
        <v>-9.4475392535608993E-4</v>
      </c>
      <c r="F623" s="14">
        <v>-6.7316371647563322E-4</v>
      </c>
      <c r="G623" s="14">
        <v>0</v>
      </c>
      <c r="H623" s="14">
        <v>-1.1912809176879425E-4</v>
      </c>
    </row>
    <row r="624" spans="2:8" x14ac:dyDescent="0.25">
      <c r="B624" s="29">
        <v>616</v>
      </c>
      <c r="C624" s="30">
        <v>0.44767441860465118</v>
      </c>
      <c r="D624" s="28">
        <v>36161</v>
      </c>
      <c r="E624" s="14">
        <v>-8.746353931966544E-4</v>
      </c>
      <c r="F624" s="14">
        <v>-6.684069333671161E-4</v>
      </c>
      <c r="G624" s="14">
        <v>0</v>
      </c>
      <c r="H624" s="14">
        <v>-1.164356227487675E-4</v>
      </c>
    </row>
    <row r="625" spans="2:8" x14ac:dyDescent="0.25">
      <c r="B625" s="29">
        <v>617</v>
      </c>
      <c r="C625" s="30">
        <v>0.44840116279069769</v>
      </c>
      <c r="D625" s="28">
        <v>36164</v>
      </c>
      <c r="E625" s="14">
        <v>-8.6205173629616549E-4</v>
      </c>
      <c r="F625" s="14">
        <v>-6.6834448981289984E-4</v>
      </c>
      <c r="G625" s="14">
        <v>0</v>
      </c>
      <c r="H625" s="14">
        <v>-1.0141600928150753E-4</v>
      </c>
    </row>
    <row r="626" spans="2:8" x14ac:dyDescent="0.25">
      <c r="B626" s="29">
        <v>618</v>
      </c>
      <c r="C626" s="30">
        <v>0.44912790697674421</v>
      </c>
      <c r="D626" s="28">
        <v>36165</v>
      </c>
      <c r="E626" s="14">
        <v>-8.2410113813602415E-4</v>
      </c>
      <c r="F626" s="14">
        <v>-6.3607525259523623E-4</v>
      </c>
      <c r="G626" s="14">
        <v>0</v>
      </c>
      <c r="H626" s="14">
        <v>-9.1278096303604227E-5</v>
      </c>
    </row>
    <row r="627" spans="2:8" x14ac:dyDescent="0.25">
      <c r="B627" s="29">
        <v>619</v>
      </c>
      <c r="C627" s="30">
        <v>0.44985465116279072</v>
      </c>
      <c r="D627" s="28">
        <v>36166</v>
      </c>
      <c r="E627" s="14">
        <v>-8.1106787714246842E-4</v>
      </c>
      <c r="F627" s="14">
        <v>-6.0764576893612698E-4</v>
      </c>
      <c r="G627" s="14">
        <v>0</v>
      </c>
      <c r="H627" s="14">
        <v>-8.400305802460647E-5</v>
      </c>
    </row>
    <row r="628" spans="2:8" x14ac:dyDescent="0.25">
      <c r="B628" s="29">
        <v>620</v>
      </c>
      <c r="C628" s="30">
        <v>0.45058139534883723</v>
      </c>
      <c r="D628" s="28">
        <v>36167</v>
      </c>
      <c r="E628" s="14">
        <v>-8.0474816278386374E-4</v>
      </c>
      <c r="F628" s="14">
        <v>-6.0627834912652112E-4</v>
      </c>
      <c r="G628" s="14">
        <v>0</v>
      </c>
      <c r="H628" s="14">
        <v>-7.6103731738230446E-5</v>
      </c>
    </row>
    <row r="629" spans="2:8" x14ac:dyDescent="0.25">
      <c r="B629" s="29">
        <v>621</v>
      </c>
      <c r="C629" s="30">
        <v>0.45130813953488375</v>
      </c>
      <c r="D629" s="28">
        <v>36168</v>
      </c>
      <c r="E629" s="14">
        <v>-8.0361627322966811E-4</v>
      </c>
      <c r="F629" s="14">
        <v>-5.6458300252282267E-4</v>
      </c>
      <c r="G629" s="14">
        <v>0</v>
      </c>
      <c r="H629" s="14">
        <v>-7.268637398074595E-5</v>
      </c>
    </row>
    <row r="630" spans="2:8" x14ac:dyDescent="0.25">
      <c r="B630" s="29">
        <v>622</v>
      </c>
      <c r="C630" s="30">
        <v>0.45203488372093026</v>
      </c>
      <c r="D630" s="28">
        <v>36171</v>
      </c>
      <c r="E630" s="14">
        <v>-7.9101972973660839E-4</v>
      </c>
      <c r="F630" s="14">
        <v>-5.0800101600201319E-4</v>
      </c>
      <c r="G630" s="14">
        <v>0</v>
      </c>
      <c r="H630" s="14">
        <v>-6.6590110615427623E-5</v>
      </c>
    </row>
    <row r="631" spans="2:8" x14ac:dyDescent="0.25">
      <c r="B631" s="29">
        <v>623</v>
      </c>
      <c r="C631" s="30">
        <v>0.45276162790697677</v>
      </c>
      <c r="D631" s="28">
        <v>36172</v>
      </c>
      <c r="E631" s="14">
        <v>-7.7794376617190686E-4</v>
      </c>
      <c r="F631" s="14">
        <v>-5.0424468661569577E-4</v>
      </c>
      <c r="G631" s="14">
        <v>0</v>
      </c>
      <c r="H631" s="14">
        <v>-6.0557003196648604E-5</v>
      </c>
    </row>
    <row r="632" spans="2:8" x14ac:dyDescent="0.25">
      <c r="B632" s="29">
        <v>624</v>
      </c>
      <c r="C632" s="30">
        <v>0.45348837209302323</v>
      </c>
      <c r="D632" s="28">
        <v>36173</v>
      </c>
      <c r="E632" s="14">
        <v>-7.7513763920256107E-4</v>
      </c>
      <c r="F632" s="14">
        <v>-4.4842735126582323E-4</v>
      </c>
      <c r="G632" s="14">
        <v>0</v>
      </c>
      <c r="H632" s="14">
        <v>-5.8387998033038722E-5</v>
      </c>
    </row>
    <row r="633" spans="2:8" x14ac:dyDescent="0.25">
      <c r="B633" s="29">
        <v>625</v>
      </c>
      <c r="C633" s="30">
        <v>0.45421511627906974</v>
      </c>
      <c r="D633" s="28">
        <v>36174</v>
      </c>
      <c r="E633" s="14">
        <v>-7.7060044534582595E-4</v>
      </c>
      <c r="F633" s="14">
        <v>-4.2231469655151788E-4</v>
      </c>
      <c r="G633" s="14">
        <v>0</v>
      </c>
      <c r="H633" s="14">
        <v>-3.9036903815814485E-5</v>
      </c>
    </row>
    <row r="634" spans="2:8" x14ac:dyDescent="0.25">
      <c r="B634" s="29">
        <v>626</v>
      </c>
      <c r="C634" s="30">
        <v>0.45494186046511625</v>
      </c>
      <c r="D634" s="28">
        <v>36175</v>
      </c>
      <c r="E634" s="14">
        <v>-7.4807949457600387E-4</v>
      </c>
      <c r="F634" s="14">
        <v>-4.2106149603160503E-4</v>
      </c>
      <c r="G634" s="14">
        <v>0</v>
      </c>
      <c r="H634" s="14">
        <v>-2.7806087764492516E-5</v>
      </c>
    </row>
    <row r="635" spans="2:8" x14ac:dyDescent="0.25">
      <c r="B635" s="29">
        <v>627</v>
      </c>
      <c r="C635" s="30">
        <v>0.45566860465116277</v>
      </c>
      <c r="D635" s="28">
        <v>36178</v>
      </c>
      <c r="E635" s="14">
        <v>-7.2825556035960304E-4</v>
      </c>
      <c r="F635" s="14">
        <v>-3.5720257185856141E-4</v>
      </c>
      <c r="G635" s="14">
        <v>0</v>
      </c>
      <c r="H635" s="14">
        <v>-2.2138356184431556E-5</v>
      </c>
    </row>
    <row r="636" spans="2:8" x14ac:dyDescent="0.25">
      <c r="B636" s="29">
        <v>628</v>
      </c>
      <c r="C636" s="30">
        <v>0.45639534883720928</v>
      </c>
      <c r="D636" s="28">
        <v>36179</v>
      </c>
      <c r="E636" s="14">
        <v>-7.2608152375808199E-4</v>
      </c>
      <c r="F636" s="14">
        <v>-3.3702349639896934E-4</v>
      </c>
      <c r="G636" s="14">
        <v>0</v>
      </c>
      <c r="H636" s="14">
        <v>-2.1554890297004105E-5</v>
      </c>
    </row>
    <row r="637" spans="2:8" x14ac:dyDescent="0.25">
      <c r="B637" s="29">
        <v>629</v>
      </c>
      <c r="C637" s="30">
        <v>0.45712209302325579</v>
      </c>
      <c r="D637" s="28">
        <v>36180</v>
      </c>
      <c r="E637" s="14">
        <v>-7.2205542012837576E-4</v>
      </c>
      <c r="F637" s="14">
        <v>-3.246111722697842E-4</v>
      </c>
      <c r="G637" s="14">
        <v>0</v>
      </c>
      <c r="H637" s="14">
        <v>0</v>
      </c>
    </row>
    <row r="638" spans="2:8" x14ac:dyDescent="0.25">
      <c r="B638" s="29">
        <v>630</v>
      </c>
      <c r="C638" s="30">
        <v>0.45784883720930231</v>
      </c>
      <c r="D638" s="28">
        <v>36181</v>
      </c>
      <c r="E638" s="14">
        <v>-7.1771115388385986E-4</v>
      </c>
      <c r="F638" s="14">
        <v>-2.8672921611405666E-4</v>
      </c>
      <c r="G638" s="14">
        <v>0</v>
      </c>
      <c r="H638" s="14">
        <v>0</v>
      </c>
    </row>
    <row r="639" spans="2:8" x14ac:dyDescent="0.25">
      <c r="B639" s="29">
        <v>631</v>
      </c>
      <c r="C639" s="30">
        <v>0.45857558139534882</v>
      </c>
      <c r="D639" s="28">
        <v>36182</v>
      </c>
      <c r="E639" s="14">
        <v>-7.1276755837779149E-4</v>
      </c>
      <c r="F639" s="14">
        <v>-2.2773541285669996E-4</v>
      </c>
      <c r="G639" s="14">
        <v>0</v>
      </c>
      <c r="H639" s="14">
        <v>0</v>
      </c>
    </row>
    <row r="640" spans="2:8" x14ac:dyDescent="0.25">
      <c r="B640" s="29">
        <v>632</v>
      </c>
      <c r="C640" s="30">
        <v>0.45930232558139533</v>
      </c>
      <c r="D640" s="28">
        <v>36185</v>
      </c>
      <c r="E640" s="14">
        <v>-7.1068057116230321E-4</v>
      </c>
      <c r="F640" s="14">
        <v>-2.2343404157276758E-4</v>
      </c>
      <c r="G640" s="14">
        <v>0</v>
      </c>
      <c r="H640" s="14">
        <v>0</v>
      </c>
    </row>
    <row r="641" spans="2:8" x14ac:dyDescent="0.25">
      <c r="B641" s="29">
        <v>633</v>
      </c>
      <c r="C641" s="30">
        <v>0.46002906976744184</v>
      </c>
      <c r="D641" s="28">
        <v>36186</v>
      </c>
      <c r="E641" s="14">
        <v>-7.0534297302071725E-4</v>
      </c>
      <c r="F641" s="14">
        <v>-1.9491684708072832E-4</v>
      </c>
      <c r="G641" s="14">
        <v>0</v>
      </c>
      <c r="H641" s="14">
        <v>0</v>
      </c>
    </row>
    <row r="642" spans="2:8" x14ac:dyDescent="0.25">
      <c r="B642" s="29">
        <v>634</v>
      </c>
      <c r="C642" s="30">
        <v>0.46075581395348836</v>
      </c>
      <c r="D642" s="28">
        <v>36187</v>
      </c>
      <c r="E642" s="14">
        <v>-6.8496349237578968E-4</v>
      </c>
      <c r="F642" s="14">
        <v>-1.7443403738959251E-4</v>
      </c>
      <c r="G642" s="14">
        <v>0</v>
      </c>
      <c r="H642" s="14">
        <v>0</v>
      </c>
    </row>
    <row r="643" spans="2:8" x14ac:dyDescent="0.25">
      <c r="B643" s="29">
        <v>635</v>
      </c>
      <c r="C643" s="30">
        <v>0.46148255813953487</v>
      </c>
      <c r="D643" s="28">
        <v>36188</v>
      </c>
      <c r="E643" s="14">
        <v>-6.7773636055579178E-4</v>
      </c>
      <c r="F643" s="14">
        <v>-1.6519368960110636E-4</v>
      </c>
      <c r="G643" s="14">
        <v>0</v>
      </c>
      <c r="H643" s="14">
        <v>0</v>
      </c>
    </row>
    <row r="644" spans="2:8" x14ac:dyDescent="0.25">
      <c r="B644" s="29">
        <v>636</v>
      </c>
      <c r="C644" s="30">
        <v>0.46220930232558138</v>
      </c>
      <c r="D644" s="28">
        <v>36189</v>
      </c>
      <c r="E644" s="14">
        <v>-6.7330739389881433E-4</v>
      </c>
      <c r="F644" s="14">
        <v>-1.1353315168038947E-4</v>
      </c>
      <c r="G644" s="14">
        <v>0</v>
      </c>
      <c r="H644" s="14">
        <v>0</v>
      </c>
    </row>
    <row r="645" spans="2:8" x14ac:dyDescent="0.25">
      <c r="B645" s="29">
        <v>637</v>
      </c>
      <c r="C645" s="30">
        <v>0.4629360465116279</v>
      </c>
      <c r="D645" s="28">
        <v>36192</v>
      </c>
      <c r="E645" s="14">
        <v>-6.621420294654623E-4</v>
      </c>
      <c r="F645" s="14">
        <v>-9.7592259539536208E-5</v>
      </c>
      <c r="G645" s="14">
        <v>0</v>
      </c>
      <c r="H645" s="14">
        <v>0</v>
      </c>
    </row>
    <row r="646" spans="2:8" x14ac:dyDescent="0.25">
      <c r="B646" s="29">
        <v>638</v>
      </c>
      <c r="C646" s="30">
        <v>0.46366279069767441</v>
      </c>
      <c r="D646" s="28">
        <v>36193</v>
      </c>
      <c r="E646" s="14">
        <v>-6.5428654326726843E-4</v>
      </c>
      <c r="F646" s="14">
        <v>-9.1268420424395202E-5</v>
      </c>
      <c r="G646" s="14">
        <v>0</v>
      </c>
      <c r="H646" s="14">
        <v>0</v>
      </c>
    </row>
    <row r="647" spans="2:8" x14ac:dyDescent="0.25">
      <c r="B647" s="29">
        <v>639</v>
      </c>
      <c r="C647" s="30">
        <v>0.46438953488372092</v>
      </c>
      <c r="D647" s="28">
        <v>36194</v>
      </c>
      <c r="E647" s="14">
        <v>-6.5411744928833837E-4</v>
      </c>
      <c r="F647" s="14">
        <v>-8.4492999754881559E-5</v>
      </c>
      <c r="G647" s="14">
        <v>5.3656704405158351E-5</v>
      </c>
      <c r="H647" s="14">
        <v>0</v>
      </c>
    </row>
    <row r="648" spans="2:8" x14ac:dyDescent="0.25">
      <c r="B648" s="29">
        <v>640</v>
      </c>
      <c r="C648" s="30">
        <v>0.46511627906976744</v>
      </c>
      <c r="D648" s="28">
        <v>36195</v>
      </c>
      <c r="E648" s="14">
        <v>-6.5008938729060883E-4</v>
      </c>
      <c r="F648" s="14">
        <v>0</v>
      </c>
      <c r="G648" s="14">
        <v>5.4764512595895098E-5</v>
      </c>
      <c r="H648" s="14">
        <v>0</v>
      </c>
    </row>
    <row r="649" spans="2:8" x14ac:dyDescent="0.25">
      <c r="B649" s="29">
        <v>641</v>
      </c>
      <c r="C649" s="30">
        <v>0.46584302325581395</v>
      </c>
      <c r="D649" s="28">
        <v>36196</v>
      </c>
      <c r="E649" s="14">
        <v>-6.4735394076720354E-4</v>
      </c>
      <c r="F649" s="14">
        <v>0</v>
      </c>
      <c r="G649" s="14">
        <v>5.6898544171790633E-5</v>
      </c>
      <c r="H649" s="14">
        <v>1.6572110168211295E-5</v>
      </c>
    </row>
    <row r="650" spans="2:8" x14ac:dyDescent="0.25">
      <c r="B650" s="29">
        <v>642</v>
      </c>
      <c r="C650" s="30">
        <v>0.46656976744186046</v>
      </c>
      <c r="D650" s="28">
        <v>36199</v>
      </c>
      <c r="E650" s="14">
        <v>-6.4609917622349133E-4</v>
      </c>
      <c r="F650" s="14">
        <v>0</v>
      </c>
      <c r="G650" s="14">
        <v>5.7551784784282134E-5</v>
      </c>
      <c r="H650" s="14">
        <v>1.9557234593370245E-5</v>
      </c>
    </row>
    <row r="651" spans="2:8" x14ac:dyDescent="0.25">
      <c r="B651" s="29">
        <v>643</v>
      </c>
      <c r="C651" s="30">
        <v>0.46729651162790697</v>
      </c>
      <c r="D651" s="28">
        <v>36200</v>
      </c>
      <c r="E651" s="14">
        <v>-6.1628531248036911E-4</v>
      </c>
      <c r="F651" s="14">
        <v>0</v>
      </c>
      <c r="G651" s="14">
        <v>5.7951291049240794E-5</v>
      </c>
      <c r="H651" s="14">
        <v>2.2492038852162306E-5</v>
      </c>
    </row>
    <row r="652" spans="2:8" x14ac:dyDescent="0.25">
      <c r="B652" s="29">
        <v>644</v>
      </c>
      <c r="C652" s="30">
        <v>0.46802325581395349</v>
      </c>
      <c r="D652" s="28">
        <v>36201</v>
      </c>
      <c r="E652" s="14">
        <v>-5.9170567039590338E-4</v>
      </c>
      <c r="F652" s="14">
        <v>0</v>
      </c>
      <c r="G652" s="14">
        <v>5.7976458925468322E-5</v>
      </c>
      <c r="H652" s="14">
        <v>2.3497382251891417E-5</v>
      </c>
    </row>
    <row r="653" spans="2:8" x14ac:dyDescent="0.25">
      <c r="B653" s="29">
        <v>645</v>
      </c>
      <c r="C653" s="30">
        <v>0.46875</v>
      </c>
      <c r="D653" s="28">
        <v>36202</v>
      </c>
      <c r="E653" s="14">
        <v>-5.9029267356347503E-4</v>
      </c>
      <c r="F653" s="14">
        <v>0</v>
      </c>
      <c r="G653" s="14">
        <v>6.5978408318567716E-5</v>
      </c>
      <c r="H653" s="14">
        <v>2.942618930843466E-5</v>
      </c>
    </row>
    <row r="654" spans="2:8" x14ac:dyDescent="0.25">
      <c r="B654" s="29">
        <v>646</v>
      </c>
      <c r="C654" s="30">
        <v>0.46947674418604651</v>
      </c>
      <c r="D654" s="28">
        <v>36203</v>
      </c>
      <c r="E654" s="14">
        <v>-5.8595398543925814E-4</v>
      </c>
      <c r="F654" s="14">
        <v>0</v>
      </c>
      <c r="G654" s="14">
        <v>9.7356763861133899E-5</v>
      </c>
      <c r="H654" s="14">
        <v>4.231329608539449E-5</v>
      </c>
    </row>
    <row r="655" spans="2:8" x14ac:dyDescent="0.25">
      <c r="B655" s="29">
        <v>647</v>
      </c>
      <c r="C655" s="30">
        <v>0.47020348837209303</v>
      </c>
      <c r="D655" s="28">
        <v>36206</v>
      </c>
      <c r="E655" s="14">
        <v>-5.2544162628131996E-4</v>
      </c>
      <c r="F655" s="14">
        <v>0</v>
      </c>
      <c r="G655" s="14">
        <v>1.0996865893231345E-4</v>
      </c>
      <c r="H655" s="14">
        <v>4.7358113369355695E-5</v>
      </c>
    </row>
    <row r="656" spans="2:8" x14ac:dyDescent="0.25">
      <c r="B656" s="29">
        <v>648</v>
      </c>
      <c r="C656" s="30">
        <v>0.47093023255813954</v>
      </c>
      <c r="D656" s="28">
        <v>36207</v>
      </c>
      <c r="E656" s="14">
        <v>-5.2368016234083381E-4</v>
      </c>
      <c r="F656" s="14">
        <v>0</v>
      </c>
      <c r="G656" s="14">
        <v>1.176293814948437E-4</v>
      </c>
      <c r="H656" s="14">
        <v>4.8490244744270496E-5</v>
      </c>
    </row>
    <row r="657" spans="2:8" x14ac:dyDescent="0.25">
      <c r="B657" s="29">
        <v>649</v>
      </c>
      <c r="C657" s="30">
        <v>0.47165697674418605</v>
      </c>
      <c r="D657" s="28">
        <v>36208</v>
      </c>
      <c r="E657" s="14">
        <v>-5.1506109318644189E-4</v>
      </c>
      <c r="F657" s="14">
        <v>0</v>
      </c>
      <c r="G657" s="14">
        <v>1.315601740605743E-4</v>
      </c>
      <c r="H657" s="14">
        <v>5.5574080248987916E-5</v>
      </c>
    </row>
    <row r="658" spans="2:8" x14ac:dyDescent="0.25">
      <c r="B658" s="29">
        <v>650</v>
      </c>
      <c r="C658" s="30">
        <v>0.47238372093023256</v>
      </c>
      <c r="D658" s="28">
        <v>36209</v>
      </c>
      <c r="E658" s="14">
        <v>-4.7949904644251085E-4</v>
      </c>
      <c r="F658" s="14">
        <v>0</v>
      </c>
      <c r="G658" s="14">
        <v>1.4713094654217329E-4</v>
      </c>
      <c r="H658" s="14">
        <v>6.1848709156331295E-5</v>
      </c>
    </row>
    <row r="659" spans="2:8" x14ac:dyDescent="0.25">
      <c r="B659" s="29">
        <v>651</v>
      </c>
      <c r="C659" s="30">
        <v>0.47311046511627908</v>
      </c>
      <c r="D659" s="28">
        <v>36210</v>
      </c>
      <c r="E659" s="14">
        <v>-4.7397011428673697E-4</v>
      </c>
      <c r="F659" s="14">
        <v>0</v>
      </c>
      <c r="G659" s="14">
        <v>1.6270537433227261E-4</v>
      </c>
      <c r="H659" s="14">
        <v>6.5487030664535288E-5</v>
      </c>
    </row>
    <row r="660" spans="2:8" x14ac:dyDescent="0.25">
      <c r="B660" s="29">
        <v>652</v>
      </c>
      <c r="C660" s="30">
        <v>0.47383720930232559</v>
      </c>
      <c r="D660" s="28">
        <v>36213</v>
      </c>
      <c r="E660" s="14">
        <v>-4.2989408440208265E-4</v>
      </c>
      <c r="F660" s="14">
        <v>0</v>
      </c>
      <c r="G660" s="14">
        <v>1.658701045077482E-4</v>
      </c>
      <c r="H660" s="14">
        <v>7.2544455886269831E-5</v>
      </c>
    </row>
    <row r="661" spans="2:8" x14ac:dyDescent="0.25">
      <c r="B661" s="29">
        <v>653</v>
      </c>
      <c r="C661" s="30">
        <v>0.4745639534883721</v>
      </c>
      <c r="D661" s="28">
        <v>36214</v>
      </c>
      <c r="E661" s="14">
        <v>-4.1642705586075746E-4</v>
      </c>
      <c r="F661" s="14">
        <v>0</v>
      </c>
      <c r="G661" s="14">
        <v>1.9130033853231865E-4</v>
      </c>
      <c r="H661" s="14">
        <v>7.3381548303030875E-5</v>
      </c>
    </row>
    <row r="662" spans="2:8" x14ac:dyDescent="0.25">
      <c r="B662" s="29">
        <v>654</v>
      </c>
      <c r="C662" s="30">
        <v>0.47529069767441862</v>
      </c>
      <c r="D662" s="28">
        <v>36215</v>
      </c>
      <c r="E662" s="14">
        <v>-3.9711805752540297E-4</v>
      </c>
      <c r="F662" s="14">
        <v>0</v>
      </c>
      <c r="G662" s="14">
        <v>2.2858449054230512E-4</v>
      </c>
      <c r="H662" s="14">
        <v>8.2046285647763262E-5</v>
      </c>
    </row>
    <row r="663" spans="2:8" x14ac:dyDescent="0.25">
      <c r="B663" s="29">
        <v>655</v>
      </c>
      <c r="C663" s="30">
        <v>0.47601744186046513</v>
      </c>
      <c r="D663" s="28">
        <v>36216</v>
      </c>
      <c r="E663" s="14">
        <v>-3.6557342803411608E-4</v>
      </c>
      <c r="F663" s="14">
        <v>0</v>
      </c>
      <c r="G663" s="14">
        <v>2.3376773590166877E-4</v>
      </c>
      <c r="H663" s="14">
        <v>8.4998250163570497E-5</v>
      </c>
    </row>
    <row r="664" spans="2:8" x14ac:dyDescent="0.25">
      <c r="B664" s="29">
        <v>656</v>
      </c>
      <c r="C664" s="30">
        <v>0.47674418604651164</v>
      </c>
      <c r="D664" s="28">
        <v>36217</v>
      </c>
      <c r="E664" s="14">
        <v>-3.6396408887662268E-4</v>
      </c>
      <c r="F664" s="14">
        <v>0</v>
      </c>
      <c r="G664" s="14">
        <v>2.3679056684677846E-4</v>
      </c>
      <c r="H664" s="14">
        <v>8.6541785507820976E-5</v>
      </c>
    </row>
    <row r="665" spans="2:8" x14ac:dyDescent="0.25">
      <c r="B665" s="29">
        <v>657</v>
      </c>
      <c r="C665" s="30">
        <v>0.47747093023255816</v>
      </c>
      <c r="D665" s="28">
        <v>36220</v>
      </c>
      <c r="E665" s="14">
        <v>-3.6090834299706831E-4</v>
      </c>
      <c r="F665" s="14">
        <v>0</v>
      </c>
      <c r="G665" s="14">
        <v>2.4695825170906183E-4</v>
      </c>
      <c r="H665" s="14">
        <v>8.7136579147450727E-5</v>
      </c>
    </row>
    <row r="666" spans="2:8" x14ac:dyDescent="0.25">
      <c r="B666" s="29">
        <v>658</v>
      </c>
      <c r="C666" s="30">
        <v>0.47819767441860467</v>
      </c>
      <c r="D666" s="28">
        <v>36221</v>
      </c>
      <c r="E666" s="14">
        <v>-3.6066362106290661E-4</v>
      </c>
      <c r="F666" s="14">
        <v>0</v>
      </c>
      <c r="G666" s="14">
        <v>2.7522430781101725E-4</v>
      </c>
      <c r="H666" s="14">
        <v>8.9580803518041186E-5</v>
      </c>
    </row>
    <row r="667" spans="2:8" x14ac:dyDescent="0.25">
      <c r="B667" s="29">
        <v>659</v>
      </c>
      <c r="C667" s="30">
        <v>0.47892441860465118</v>
      </c>
      <c r="D667" s="28">
        <v>36222</v>
      </c>
      <c r="E667" s="14">
        <v>-3.5164997871584003E-4</v>
      </c>
      <c r="F667" s="14">
        <v>0</v>
      </c>
      <c r="G667" s="14">
        <v>2.7787040124493956E-4</v>
      </c>
      <c r="H667" s="14">
        <v>9.5755516179929631E-5</v>
      </c>
    </row>
    <row r="668" spans="2:8" x14ac:dyDescent="0.25">
      <c r="B668" s="29">
        <v>660</v>
      </c>
      <c r="C668" s="30">
        <v>0.47965116279069769</v>
      </c>
      <c r="D668" s="28">
        <v>36223</v>
      </c>
      <c r="E668" s="14">
        <v>-3.3624841388490978E-4</v>
      </c>
      <c r="F668" s="14">
        <v>0</v>
      </c>
      <c r="G668" s="14">
        <v>2.8289649365964564E-4</v>
      </c>
      <c r="H668" s="14">
        <v>9.7266388266170964E-5</v>
      </c>
    </row>
    <row r="669" spans="2:8" x14ac:dyDescent="0.25">
      <c r="B669" s="29">
        <v>661</v>
      </c>
      <c r="C669" s="30">
        <v>0.48037790697674421</v>
      </c>
      <c r="D669" s="28">
        <v>36224</v>
      </c>
      <c r="E669" s="14">
        <v>-3.3321763978677588E-4</v>
      </c>
      <c r="F669" s="14">
        <v>0</v>
      </c>
      <c r="G669" s="14">
        <v>2.8332835358502173E-4</v>
      </c>
      <c r="H669" s="14">
        <v>9.8345857562698487E-5</v>
      </c>
    </row>
    <row r="670" spans="2:8" x14ac:dyDescent="0.25">
      <c r="B670" s="29">
        <v>662</v>
      </c>
      <c r="C670" s="30">
        <v>0.48110465116279072</v>
      </c>
      <c r="D670" s="28">
        <v>36227</v>
      </c>
      <c r="E670" s="14">
        <v>-3.1050765004148051E-4</v>
      </c>
      <c r="F670" s="14">
        <v>0</v>
      </c>
      <c r="G670" s="14">
        <v>3.1343049678755897E-4</v>
      </c>
      <c r="H670" s="14">
        <v>1.0926652762133227E-4</v>
      </c>
    </row>
    <row r="671" spans="2:8" x14ac:dyDescent="0.25">
      <c r="B671" s="29">
        <v>663</v>
      </c>
      <c r="C671" s="30">
        <v>0.48183139534883723</v>
      </c>
      <c r="D671" s="28">
        <v>36228</v>
      </c>
      <c r="E671" s="14">
        <v>-2.4873146950554759E-4</v>
      </c>
      <c r="F671" s="14">
        <v>0</v>
      </c>
      <c r="G671" s="14">
        <v>3.2804782634010543E-4</v>
      </c>
      <c r="H671" s="14">
        <v>1.4238792009759718E-4</v>
      </c>
    </row>
    <row r="672" spans="2:8" x14ac:dyDescent="0.25">
      <c r="B672" s="29">
        <v>664</v>
      </c>
      <c r="C672" s="30">
        <v>0.48255813953488375</v>
      </c>
      <c r="D672" s="28">
        <v>36229</v>
      </c>
      <c r="E672" s="14">
        <v>-1.7186936507873618E-4</v>
      </c>
      <c r="F672" s="14">
        <v>0</v>
      </c>
      <c r="G672" s="14">
        <v>3.3329369523382724E-4</v>
      </c>
      <c r="H672" s="14">
        <v>1.6162043776719588E-4</v>
      </c>
    </row>
    <row r="673" spans="2:8" x14ac:dyDescent="0.25">
      <c r="B673" s="29">
        <v>665</v>
      </c>
      <c r="C673" s="30">
        <v>0.48328488372093026</v>
      </c>
      <c r="D673" s="28">
        <v>36230</v>
      </c>
      <c r="E673" s="14">
        <v>-1.4836761329628523E-4</v>
      </c>
      <c r="F673" s="14">
        <v>0</v>
      </c>
      <c r="G673" s="14">
        <v>3.46689118914556E-4</v>
      </c>
      <c r="H673" s="14">
        <v>1.78916861564371E-4</v>
      </c>
    </row>
    <row r="674" spans="2:8" x14ac:dyDescent="0.25">
      <c r="B674" s="29">
        <v>666</v>
      </c>
      <c r="C674" s="30">
        <v>0.48401162790697677</v>
      </c>
      <c r="D674" s="28">
        <v>36231</v>
      </c>
      <c r="E674" s="14">
        <v>-1.1610356437929958E-4</v>
      </c>
      <c r="F674" s="14">
        <v>0</v>
      </c>
      <c r="G674" s="14">
        <v>3.5450516986723635E-4</v>
      </c>
      <c r="H674" s="14">
        <v>1.8419130766604834E-4</v>
      </c>
    </row>
    <row r="675" spans="2:8" x14ac:dyDescent="0.25">
      <c r="B675" s="29">
        <v>667</v>
      </c>
      <c r="C675" s="30">
        <v>0.48473837209302323</v>
      </c>
      <c r="D675" s="28">
        <v>36234</v>
      </c>
      <c r="E675" s="14">
        <v>0</v>
      </c>
      <c r="F675" s="14">
        <v>0</v>
      </c>
      <c r="G675" s="14">
        <v>3.5911537478106048E-4</v>
      </c>
      <c r="H675" s="14">
        <v>2.0718945778979152E-4</v>
      </c>
    </row>
    <row r="676" spans="2:8" x14ac:dyDescent="0.25">
      <c r="B676" s="29">
        <v>668</v>
      </c>
      <c r="C676" s="30">
        <v>0.48546511627906974</v>
      </c>
      <c r="D676" s="28">
        <v>36235</v>
      </c>
      <c r="E676" s="14">
        <v>0</v>
      </c>
      <c r="F676" s="14">
        <v>0</v>
      </c>
      <c r="G676" s="14">
        <v>3.8057180914319311E-4</v>
      </c>
      <c r="H676" s="14">
        <v>2.1102352843804795E-4</v>
      </c>
    </row>
    <row r="677" spans="2:8" x14ac:dyDescent="0.25">
      <c r="B677" s="29">
        <v>669</v>
      </c>
      <c r="C677" s="30">
        <v>0.48619186046511625</v>
      </c>
      <c r="D677" s="28">
        <v>36236</v>
      </c>
      <c r="E677" s="14">
        <v>0</v>
      </c>
      <c r="F677" s="14">
        <v>0</v>
      </c>
      <c r="G677" s="14">
        <v>3.8408779149512462E-4</v>
      </c>
      <c r="H677" s="14">
        <v>2.1370546989460935E-4</v>
      </c>
    </row>
    <row r="678" spans="2:8" x14ac:dyDescent="0.25">
      <c r="B678" s="29">
        <v>670</v>
      </c>
      <c r="C678" s="30">
        <v>0.48691860465116277</v>
      </c>
      <c r="D678" s="28">
        <v>36237</v>
      </c>
      <c r="E678" s="14">
        <v>0</v>
      </c>
      <c r="F678" s="14">
        <v>0</v>
      </c>
      <c r="G678" s="14">
        <v>3.9106938771826805E-4</v>
      </c>
      <c r="H678" s="14">
        <v>2.2203863983361041E-4</v>
      </c>
    </row>
    <row r="679" spans="2:8" x14ac:dyDescent="0.25">
      <c r="B679" s="29">
        <v>671</v>
      </c>
      <c r="C679" s="30">
        <v>0.48764534883720928</v>
      </c>
      <c r="D679" s="28">
        <v>36238</v>
      </c>
      <c r="E679" s="14">
        <v>0</v>
      </c>
      <c r="F679" s="14">
        <v>0</v>
      </c>
      <c r="G679" s="14">
        <v>3.9524284073944038E-4</v>
      </c>
      <c r="H679" s="14">
        <v>2.246526751403799E-4</v>
      </c>
    </row>
    <row r="680" spans="2:8" x14ac:dyDescent="0.25">
      <c r="B680" s="29">
        <v>672</v>
      </c>
      <c r="C680" s="30">
        <v>0.48837209302325579</v>
      </c>
      <c r="D680" s="28">
        <v>36241</v>
      </c>
      <c r="E680" s="14">
        <v>0</v>
      </c>
      <c r="F680" s="14">
        <v>0</v>
      </c>
      <c r="G680" s="14">
        <v>3.9932334047065865E-4</v>
      </c>
      <c r="H680" s="14">
        <v>2.2513552631759932E-4</v>
      </c>
    </row>
    <row r="681" spans="2:8" x14ac:dyDescent="0.25">
      <c r="B681" s="29">
        <v>673</v>
      </c>
      <c r="C681" s="30">
        <v>0.48909883720930231</v>
      </c>
      <c r="D681" s="28">
        <v>36242</v>
      </c>
      <c r="E681" s="14">
        <v>0</v>
      </c>
      <c r="F681" s="14">
        <v>0</v>
      </c>
      <c r="G681" s="14">
        <v>4.139631893822493E-4</v>
      </c>
      <c r="H681" s="14">
        <v>2.327307318351849E-4</v>
      </c>
    </row>
    <row r="682" spans="2:8" x14ac:dyDescent="0.25">
      <c r="B682" s="29">
        <v>674</v>
      </c>
      <c r="C682" s="30">
        <v>0.48982558139534882</v>
      </c>
      <c r="D682" s="28">
        <v>36243</v>
      </c>
      <c r="E682" s="14">
        <v>0</v>
      </c>
      <c r="F682" s="14">
        <v>0</v>
      </c>
      <c r="G682" s="14">
        <v>4.4182809010306912E-4</v>
      </c>
      <c r="H682" s="14">
        <v>2.3455305517618998E-4</v>
      </c>
    </row>
    <row r="683" spans="2:8" x14ac:dyDescent="0.25">
      <c r="B683" s="29">
        <v>675</v>
      </c>
      <c r="C683" s="30">
        <v>0.49055232558139533</v>
      </c>
      <c r="D683" s="28">
        <v>36244</v>
      </c>
      <c r="E683" s="14">
        <v>0</v>
      </c>
      <c r="F683" s="14">
        <v>0</v>
      </c>
      <c r="G683" s="14">
        <v>4.5220733706408112E-4</v>
      </c>
      <c r="H683" s="14">
        <v>2.4037232000386768E-4</v>
      </c>
    </row>
    <row r="684" spans="2:8" x14ac:dyDescent="0.25">
      <c r="B684" s="29">
        <v>676</v>
      </c>
      <c r="C684" s="30">
        <v>0.49127906976744184</v>
      </c>
      <c r="D684" s="28">
        <v>36245</v>
      </c>
      <c r="E684" s="14">
        <v>0</v>
      </c>
      <c r="F684" s="14">
        <v>0</v>
      </c>
      <c r="G684" s="14">
        <v>4.5319911377639244E-4</v>
      </c>
      <c r="H684" s="14">
        <v>2.4279058042875345E-4</v>
      </c>
    </row>
    <row r="685" spans="2:8" x14ac:dyDescent="0.25">
      <c r="B685" s="29">
        <v>677</v>
      </c>
      <c r="C685" s="30">
        <v>0.49200581395348836</v>
      </c>
      <c r="D685" s="28">
        <v>36248</v>
      </c>
      <c r="E685" s="14">
        <v>0</v>
      </c>
      <c r="F685" s="14">
        <v>0</v>
      </c>
      <c r="G685" s="14">
        <v>4.5643863753075387E-4</v>
      </c>
      <c r="H685" s="14">
        <v>2.5022927218167903E-4</v>
      </c>
    </row>
    <row r="686" spans="2:8" x14ac:dyDescent="0.25">
      <c r="B686" s="29">
        <v>678</v>
      </c>
      <c r="C686" s="30">
        <v>0.49273255813953487</v>
      </c>
      <c r="D686" s="28">
        <v>36249</v>
      </c>
      <c r="E686" s="14">
        <v>0</v>
      </c>
      <c r="F686" s="14">
        <v>0</v>
      </c>
      <c r="G686" s="14">
        <v>4.6004924668752167E-4</v>
      </c>
      <c r="H686" s="14">
        <v>2.6069116715856636E-4</v>
      </c>
    </row>
    <row r="687" spans="2:8" x14ac:dyDescent="0.25">
      <c r="B687" s="29">
        <v>679</v>
      </c>
      <c r="C687" s="30">
        <v>0.49345930232558138</v>
      </c>
      <c r="D687" s="28">
        <v>36250</v>
      </c>
      <c r="E687" s="14">
        <v>0</v>
      </c>
      <c r="F687" s="14">
        <v>0</v>
      </c>
      <c r="G687" s="14">
        <v>4.6943459211346017E-4</v>
      </c>
      <c r="H687" s="14">
        <v>2.7615162480194578E-4</v>
      </c>
    </row>
    <row r="688" spans="2:8" x14ac:dyDescent="0.25">
      <c r="B688" s="29">
        <v>680</v>
      </c>
      <c r="C688" s="30">
        <v>0.4941860465116279</v>
      </c>
      <c r="D688" s="28">
        <v>36251</v>
      </c>
      <c r="E688" s="14">
        <v>0</v>
      </c>
      <c r="F688" s="14">
        <v>0</v>
      </c>
      <c r="G688" s="14">
        <v>5.0994390617042917E-4</v>
      </c>
      <c r="H688" s="14">
        <v>2.9704120882720895E-4</v>
      </c>
    </row>
    <row r="689" spans="2:8" x14ac:dyDescent="0.25">
      <c r="B689" s="29">
        <v>681</v>
      </c>
      <c r="C689" s="30">
        <v>0.49491279069767441</v>
      </c>
      <c r="D689" s="28">
        <v>36252</v>
      </c>
      <c r="E689" s="14">
        <v>0</v>
      </c>
      <c r="F689" s="14">
        <v>0</v>
      </c>
      <c r="G689" s="14">
        <v>5.2015604681376892E-4</v>
      </c>
      <c r="H689" s="14">
        <v>3.0871270356542819E-4</v>
      </c>
    </row>
    <row r="690" spans="2:8" x14ac:dyDescent="0.25">
      <c r="B690" s="29">
        <v>682</v>
      </c>
      <c r="C690" s="30">
        <v>0.49563953488372092</v>
      </c>
      <c r="D690" s="28">
        <v>36255</v>
      </c>
      <c r="E690" s="14">
        <v>0</v>
      </c>
      <c r="F690" s="14">
        <v>0</v>
      </c>
      <c r="G690" s="14">
        <v>5.2326831746629665E-4</v>
      </c>
      <c r="H690" s="14">
        <v>3.1155704257890282E-4</v>
      </c>
    </row>
    <row r="691" spans="2:8" x14ac:dyDescent="0.25">
      <c r="B691" s="29">
        <v>683</v>
      </c>
      <c r="C691" s="30">
        <v>0.49636627906976744</v>
      </c>
      <c r="D691" s="28">
        <v>36256</v>
      </c>
      <c r="E691" s="14">
        <v>0</v>
      </c>
      <c r="F691" s="14">
        <v>0</v>
      </c>
      <c r="G691" s="14">
        <v>5.3127759227966642E-4</v>
      </c>
      <c r="H691" s="14">
        <v>3.2009941488500001E-4</v>
      </c>
    </row>
    <row r="692" spans="2:8" x14ac:dyDescent="0.25">
      <c r="B692" s="29">
        <v>684</v>
      </c>
      <c r="C692" s="30">
        <v>0.49709302325581395</v>
      </c>
      <c r="D692" s="28">
        <v>36257</v>
      </c>
      <c r="E692" s="14">
        <v>0</v>
      </c>
      <c r="F692" s="14">
        <v>0</v>
      </c>
      <c r="G692" s="14">
        <v>5.3742130022960133E-4</v>
      </c>
      <c r="H692" s="14">
        <v>3.7768790556422791E-4</v>
      </c>
    </row>
    <row r="693" spans="2:8" x14ac:dyDescent="0.25">
      <c r="B693" s="29">
        <v>685</v>
      </c>
      <c r="C693" s="30">
        <v>0.49781976744186046</v>
      </c>
      <c r="D693" s="28">
        <v>36258</v>
      </c>
      <c r="E693" s="14">
        <v>0</v>
      </c>
      <c r="F693" s="14">
        <v>0</v>
      </c>
      <c r="G693" s="14">
        <v>5.3960716598311365E-4</v>
      </c>
      <c r="H693" s="14">
        <v>3.8628848263473365E-4</v>
      </c>
    </row>
    <row r="694" spans="2:8" x14ac:dyDescent="0.25">
      <c r="B694" s="29">
        <v>686</v>
      </c>
      <c r="C694" s="30">
        <v>0.49854651162790697</v>
      </c>
      <c r="D694" s="28">
        <v>36259</v>
      </c>
      <c r="E694" s="14">
        <v>0</v>
      </c>
      <c r="F694" s="14">
        <v>7.5622944000208747E-6</v>
      </c>
      <c r="G694" s="14">
        <v>5.5072144509304977E-4</v>
      </c>
      <c r="H694" s="14">
        <v>3.9367828664866916E-4</v>
      </c>
    </row>
    <row r="695" spans="2:8" x14ac:dyDescent="0.25">
      <c r="B695" s="29">
        <v>687</v>
      </c>
      <c r="C695" s="30">
        <v>0.49927325581395349</v>
      </c>
      <c r="D695" s="28">
        <v>36262</v>
      </c>
      <c r="E695" s="14">
        <v>0</v>
      </c>
      <c r="F695" s="14">
        <v>1.3166556945387597E-5</v>
      </c>
      <c r="G695" s="14">
        <v>5.6435927060216606E-4</v>
      </c>
      <c r="H695" s="14">
        <v>4.0294781128422672E-4</v>
      </c>
    </row>
    <row r="696" spans="2:8" x14ac:dyDescent="0.25">
      <c r="B696" s="29">
        <v>688</v>
      </c>
      <c r="C696" s="30">
        <v>0.5</v>
      </c>
      <c r="D696" s="28">
        <v>36263</v>
      </c>
      <c r="E696" s="14">
        <v>0</v>
      </c>
      <c r="F696" s="14">
        <v>4.3742618433206815E-5</v>
      </c>
      <c r="G696" s="14">
        <v>5.7276750846124713E-4</v>
      </c>
      <c r="H696" s="14">
        <v>4.0559260970167692E-4</v>
      </c>
    </row>
    <row r="697" spans="2:8" x14ac:dyDescent="0.25">
      <c r="B697" s="29">
        <v>689</v>
      </c>
      <c r="C697" s="30">
        <v>0.50072674418604646</v>
      </c>
      <c r="D697" s="28">
        <v>36264</v>
      </c>
      <c r="E697" s="14">
        <v>0</v>
      </c>
      <c r="F697" s="14">
        <v>7.2020165646557999E-5</v>
      </c>
      <c r="G697" s="14">
        <v>5.7510325717569089E-4</v>
      </c>
      <c r="H697" s="14">
        <v>4.1759711392543844E-4</v>
      </c>
    </row>
    <row r="698" spans="2:8" x14ac:dyDescent="0.25">
      <c r="B698" s="29">
        <v>690</v>
      </c>
      <c r="C698" s="30">
        <v>0.50145348837209303</v>
      </c>
      <c r="D698" s="28">
        <v>36265</v>
      </c>
      <c r="E698" s="14">
        <v>0</v>
      </c>
      <c r="F698" s="14">
        <v>7.5328431963228581E-5</v>
      </c>
      <c r="G698" s="14">
        <v>5.8092250493757547E-4</v>
      </c>
      <c r="H698" s="14">
        <v>4.1784290602082664E-4</v>
      </c>
    </row>
    <row r="699" spans="2:8" x14ac:dyDescent="0.25">
      <c r="B699" s="29">
        <v>691</v>
      </c>
      <c r="C699" s="30">
        <v>0.50218023255813948</v>
      </c>
      <c r="D699" s="28">
        <v>36266</v>
      </c>
      <c r="E699" s="14">
        <v>0</v>
      </c>
      <c r="F699" s="14">
        <v>7.7959944180694407E-5</v>
      </c>
      <c r="G699" s="14">
        <v>5.9387680775513374E-4</v>
      </c>
      <c r="H699" s="14">
        <v>4.2187824969988066E-4</v>
      </c>
    </row>
    <row r="700" spans="2:8" x14ac:dyDescent="0.25">
      <c r="B700" s="29">
        <v>692</v>
      </c>
      <c r="C700" s="30">
        <v>0.50290697674418605</v>
      </c>
      <c r="D700" s="28">
        <v>36269</v>
      </c>
      <c r="E700" s="14">
        <v>0</v>
      </c>
      <c r="F700" s="14">
        <v>8.237108924524783E-5</v>
      </c>
      <c r="G700" s="14">
        <v>6.064950102000477E-4</v>
      </c>
      <c r="H700" s="14">
        <v>4.2598133758096072E-4</v>
      </c>
    </row>
    <row r="701" spans="2:8" x14ac:dyDescent="0.25">
      <c r="B701" s="29">
        <v>693</v>
      </c>
      <c r="C701" s="30">
        <v>0.50363372093023251</v>
      </c>
      <c r="D701" s="28">
        <v>36270</v>
      </c>
      <c r="E701" s="14">
        <v>0</v>
      </c>
      <c r="F701" s="14">
        <v>1.0757728275145872E-4</v>
      </c>
      <c r="G701" s="14">
        <v>6.2379987946847848E-4</v>
      </c>
      <c r="H701" s="14">
        <v>4.3027360988525667E-4</v>
      </c>
    </row>
    <row r="702" spans="2:8" x14ac:dyDescent="0.25">
      <c r="B702" s="29">
        <v>694</v>
      </c>
      <c r="C702" s="30">
        <v>0.50436046511627908</v>
      </c>
      <c r="D702" s="28">
        <v>36271</v>
      </c>
      <c r="E702" s="14">
        <v>0</v>
      </c>
      <c r="F702" s="14">
        <v>1.4667864542272646E-4</v>
      </c>
      <c r="G702" s="14">
        <v>6.5588041451314361E-4</v>
      </c>
      <c r="H702" s="14">
        <v>4.3610945748970861E-4</v>
      </c>
    </row>
    <row r="703" spans="2:8" x14ac:dyDescent="0.25">
      <c r="B703" s="29">
        <v>695</v>
      </c>
      <c r="C703" s="30">
        <v>0.50508720930232553</v>
      </c>
      <c r="D703" s="28">
        <v>36272</v>
      </c>
      <c r="E703" s="14">
        <v>0</v>
      </c>
      <c r="F703" s="14">
        <v>1.4972912639854563E-4</v>
      </c>
      <c r="G703" s="14">
        <v>6.5681153938101922E-4</v>
      </c>
      <c r="H703" s="14">
        <v>4.3665648198354422E-4</v>
      </c>
    </row>
    <row r="704" spans="2:8" x14ac:dyDescent="0.25">
      <c r="B704" s="29">
        <v>696</v>
      </c>
      <c r="C704" s="30">
        <v>0.5058139534883721</v>
      </c>
      <c r="D704" s="28">
        <v>36273</v>
      </c>
      <c r="E704" s="14">
        <v>0</v>
      </c>
      <c r="F704" s="14">
        <v>1.6730674170117865E-4</v>
      </c>
      <c r="G704" s="14">
        <v>6.7001675041855613E-4</v>
      </c>
      <c r="H704" s="14">
        <v>4.6164341628942554E-4</v>
      </c>
    </row>
    <row r="705" spans="2:8" x14ac:dyDescent="0.25">
      <c r="B705" s="29">
        <v>697</v>
      </c>
      <c r="C705" s="30">
        <v>0.50654069767441856</v>
      </c>
      <c r="D705" s="28">
        <v>36276</v>
      </c>
      <c r="E705" s="14">
        <v>0</v>
      </c>
      <c r="F705" s="14">
        <v>2.6814843505595931E-4</v>
      </c>
      <c r="G705" s="14">
        <v>6.8649421654587428E-4</v>
      </c>
      <c r="H705" s="14">
        <v>4.6484657718202081E-4</v>
      </c>
    </row>
    <row r="706" spans="2:8" x14ac:dyDescent="0.25">
      <c r="B706" s="29">
        <v>698</v>
      </c>
      <c r="C706" s="30">
        <v>0.50726744186046513</v>
      </c>
      <c r="D706" s="28">
        <v>36277</v>
      </c>
      <c r="E706" s="14">
        <v>0</v>
      </c>
      <c r="F706" s="14">
        <v>2.7828453047207269E-4</v>
      </c>
      <c r="G706" s="14">
        <v>7.0042512599344242E-4</v>
      </c>
      <c r="H706" s="14">
        <v>4.7267914539612655E-4</v>
      </c>
    </row>
    <row r="707" spans="2:8" x14ac:dyDescent="0.25">
      <c r="B707" s="29">
        <v>699</v>
      </c>
      <c r="C707" s="30">
        <v>0.50799418604651159</v>
      </c>
      <c r="D707" s="28">
        <v>36278</v>
      </c>
      <c r="E707" s="14">
        <v>0</v>
      </c>
      <c r="F707" s="14">
        <v>2.7995893935561789E-4</v>
      </c>
      <c r="G707" s="14">
        <v>7.0096967611243954E-4</v>
      </c>
      <c r="H707" s="14">
        <v>5.090009644985739E-4</v>
      </c>
    </row>
    <row r="708" spans="2:8" x14ac:dyDescent="0.25">
      <c r="B708" s="29">
        <v>700</v>
      </c>
      <c r="C708" s="30">
        <v>0.50872093023255816</v>
      </c>
      <c r="D708" s="28">
        <v>36279</v>
      </c>
      <c r="E708" s="14">
        <v>0</v>
      </c>
      <c r="F708" s="14">
        <v>3.0186075594551554E-4</v>
      </c>
      <c r="G708" s="14">
        <v>7.0815326155249103E-4</v>
      </c>
      <c r="H708" s="14">
        <v>5.1253209797108568E-4</v>
      </c>
    </row>
    <row r="709" spans="2:8" x14ac:dyDescent="0.25">
      <c r="B709" s="29">
        <v>701</v>
      </c>
      <c r="C709" s="30">
        <v>0.50944767441860461</v>
      </c>
      <c r="D709" s="28">
        <v>36280</v>
      </c>
      <c r="E709" s="14">
        <v>0</v>
      </c>
      <c r="F709" s="14">
        <v>3.1467831294285098E-4</v>
      </c>
      <c r="G709" s="14">
        <v>7.1088676141473073E-4</v>
      </c>
      <c r="H709" s="14">
        <v>5.190762345921307E-4</v>
      </c>
    </row>
    <row r="710" spans="2:8" x14ac:dyDescent="0.25">
      <c r="B710" s="29">
        <v>702</v>
      </c>
      <c r="C710" s="30">
        <v>0.51017441860465118</v>
      </c>
      <c r="D710" s="28">
        <v>36283</v>
      </c>
      <c r="E710" s="14">
        <v>0</v>
      </c>
      <c r="F710" s="14">
        <v>3.2088213415804034E-4</v>
      </c>
      <c r="G710" s="14">
        <v>7.1163227049186872E-4</v>
      </c>
      <c r="H710" s="14">
        <v>5.3266106299476633E-4</v>
      </c>
    </row>
    <row r="711" spans="2:8" x14ac:dyDescent="0.25">
      <c r="B711" s="29">
        <v>703</v>
      </c>
      <c r="C711" s="30">
        <v>0.51090116279069764</v>
      </c>
      <c r="D711" s="28">
        <v>36284</v>
      </c>
      <c r="E711" s="14">
        <v>0</v>
      </c>
      <c r="F711" s="14">
        <v>3.3474995633686611E-4</v>
      </c>
      <c r="G711" s="14">
        <v>7.2005348968784411E-4</v>
      </c>
      <c r="H711" s="14">
        <v>5.431627714675535E-4</v>
      </c>
    </row>
    <row r="712" spans="2:8" x14ac:dyDescent="0.25">
      <c r="B712" s="29">
        <v>704</v>
      </c>
      <c r="C712" s="30">
        <v>0.51162790697674421</v>
      </c>
      <c r="D712" s="28">
        <v>36285</v>
      </c>
      <c r="E712" s="14">
        <v>0</v>
      </c>
      <c r="F712" s="14">
        <v>3.3775281791803557E-4</v>
      </c>
      <c r="G712" s="14">
        <v>7.2565324456030922E-4</v>
      </c>
      <c r="H712" s="14">
        <v>5.5610376490369232E-4</v>
      </c>
    </row>
    <row r="713" spans="2:8" x14ac:dyDescent="0.25">
      <c r="B713" s="29">
        <v>705</v>
      </c>
      <c r="C713" s="30">
        <v>0.51235465116279066</v>
      </c>
      <c r="D713" s="28">
        <v>36286</v>
      </c>
      <c r="E713" s="14">
        <v>0</v>
      </c>
      <c r="F713" s="14">
        <v>3.7822878228799262E-4</v>
      </c>
      <c r="G713" s="14">
        <v>7.2831472301126965E-4</v>
      </c>
      <c r="H713" s="14">
        <v>5.5691841904428321E-4</v>
      </c>
    </row>
    <row r="714" spans="2:8" x14ac:dyDescent="0.25">
      <c r="B714" s="29">
        <v>706</v>
      </c>
      <c r="C714" s="30">
        <v>0.51308139534883723</v>
      </c>
      <c r="D714" s="28">
        <v>36287</v>
      </c>
      <c r="E714" s="14">
        <v>0</v>
      </c>
      <c r="F714" s="14">
        <v>3.8432502916774247E-4</v>
      </c>
      <c r="G714" s="14">
        <v>7.3176739493541199E-4</v>
      </c>
      <c r="H714" s="14">
        <v>5.5713714937422054E-4</v>
      </c>
    </row>
    <row r="715" spans="2:8" x14ac:dyDescent="0.25">
      <c r="B715" s="29">
        <v>707</v>
      </c>
      <c r="C715" s="30">
        <v>0.51380813953488369</v>
      </c>
      <c r="D715" s="28">
        <v>36290</v>
      </c>
      <c r="E715" s="14">
        <v>0</v>
      </c>
      <c r="F715" s="14">
        <v>3.8695873198935082E-4</v>
      </c>
      <c r="G715" s="14">
        <v>7.4798619102423025E-4</v>
      </c>
      <c r="H715" s="14">
        <v>5.6019217066181068E-4</v>
      </c>
    </row>
    <row r="716" spans="2:8" x14ac:dyDescent="0.25">
      <c r="B716" s="29">
        <v>708</v>
      </c>
      <c r="C716" s="30">
        <v>0.51453488372093026</v>
      </c>
      <c r="D716" s="28">
        <v>36291</v>
      </c>
      <c r="E716" s="14">
        <v>0</v>
      </c>
      <c r="F716" s="14">
        <v>4.1635973481080057E-4</v>
      </c>
      <c r="G716" s="14">
        <v>7.7245038787165932E-4</v>
      </c>
      <c r="H716" s="14">
        <v>5.6165795982483508E-4</v>
      </c>
    </row>
    <row r="717" spans="2:8" x14ac:dyDescent="0.25">
      <c r="B717" s="29">
        <v>709</v>
      </c>
      <c r="C717" s="30">
        <v>0.51526162790697672</v>
      </c>
      <c r="D717" s="28">
        <v>36292</v>
      </c>
      <c r="E717" s="14">
        <v>0</v>
      </c>
      <c r="F717" s="14">
        <v>4.1721716153264587E-4</v>
      </c>
      <c r="G717" s="14">
        <v>7.7975469589341984E-4</v>
      </c>
      <c r="H717" s="14">
        <v>5.6473858474035408E-4</v>
      </c>
    </row>
    <row r="718" spans="2:8" x14ac:dyDescent="0.25">
      <c r="B718" s="29">
        <v>710</v>
      </c>
      <c r="C718" s="30">
        <v>0.51598837209302328</v>
      </c>
      <c r="D718" s="28">
        <v>36293</v>
      </c>
      <c r="E718" s="14">
        <v>0</v>
      </c>
      <c r="F718" s="14">
        <v>4.2495325514191329E-4</v>
      </c>
      <c r="G718" s="14">
        <v>7.8646312139096786E-4</v>
      </c>
      <c r="H718" s="14">
        <v>6.0592325797323952E-4</v>
      </c>
    </row>
    <row r="719" spans="2:8" x14ac:dyDescent="0.25">
      <c r="B719" s="29">
        <v>711</v>
      </c>
      <c r="C719" s="30">
        <v>0.51671511627906974</v>
      </c>
      <c r="D719" s="28">
        <v>36294</v>
      </c>
      <c r="E719" s="14">
        <v>0</v>
      </c>
      <c r="F719" s="14">
        <v>4.2517313194045947E-4</v>
      </c>
      <c r="G719" s="14">
        <v>8.221400376013932E-4</v>
      </c>
      <c r="H719" s="14">
        <v>6.1081406751255533E-4</v>
      </c>
    </row>
    <row r="720" spans="2:8" x14ac:dyDescent="0.25">
      <c r="B720" s="29">
        <v>712</v>
      </c>
      <c r="C720" s="30">
        <v>0.51744186046511631</v>
      </c>
      <c r="D720" s="28">
        <v>36297</v>
      </c>
      <c r="E720" s="14">
        <v>0</v>
      </c>
      <c r="F720" s="14">
        <v>4.8114775610197391E-4</v>
      </c>
      <c r="G720" s="14">
        <v>8.2960013273591926E-4</v>
      </c>
      <c r="H720" s="14">
        <v>6.178414654859131E-4</v>
      </c>
    </row>
    <row r="721" spans="2:8" x14ac:dyDescent="0.25">
      <c r="B721" s="29">
        <v>713</v>
      </c>
      <c r="C721" s="30">
        <v>0.51816860465116277</v>
      </c>
      <c r="D721" s="28">
        <v>36298</v>
      </c>
      <c r="E721" s="14">
        <v>0</v>
      </c>
      <c r="F721" s="14">
        <v>5.2228651538688275E-4</v>
      </c>
      <c r="G721" s="14">
        <v>8.3608449660887985E-4</v>
      </c>
      <c r="H721" s="14">
        <v>6.5020792405006127E-4</v>
      </c>
    </row>
    <row r="722" spans="2:8" x14ac:dyDescent="0.25">
      <c r="B722" s="29">
        <v>714</v>
      </c>
      <c r="C722" s="30">
        <v>0.51889534883720934</v>
      </c>
      <c r="D722" s="28">
        <v>36299</v>
      </c>
      <c r="E722" s="14">
        <v>0</v>
      </c>
      <c r="F722" s="14">
        <v>5.2396649267438811E-4</v>
      </c>
      <c r="G722" s="14">
        <v>8.3708276655847236E-4</v>
      </c>
      <c r="H722" s="14">
        <v>6.8730522953530659E-4</v>
      </c>
    </row>
    <row r="723" spans="2:8" x14ac:dyDescent="0.25">
      <c r="B723" s="29">
        <v>715</v>
      </c>
      <c r="C723" s="30">
        <v>0.51962209302325579</v>
      </c>
      <c r="D723" s="28">
        <v>36300</v>
      </c>
      <c r="E723" s="14">
        <v>0</v>
      </c>
      <c r="F723" s="14">
        <v>5.8172055039706905E-4</v>
      </c>
      <c r="G723" s="14">
        <v>8.4275034770886492E-4</v>
      </c>
      <c r="H723" s="14">
        <v>7.0291289634871767E-4</v>
      </c>
    </row>
    <row r="724" spans="2:8" x14ac:dyDescent="0.25">
      <c r="B724" s="29">
        <v>716</v>
      </c>
      <c r="C724" s="30">
        <v>0.52034883720930236</v>
      </c>
      <c r="D724" s="28">
        <v>36301</v>
      </c>
      <c r="E724" s="14">
        <v>0</v>
      </c>
      <c r="F724" s="14">
        <v>6.0689701040872457E-4</v>
      </c>
      <c r="G724" s="14">
        <v>8.5057261294152475E-4</v>
      </c>
      <c r="H724" s="14">
        <v>7.2077011477853512E-4</v>
      </c>
    </row>
    <row r="725" spans="2:8" x14ac:dyDescent="0.25">
      <c r="B725" s="29">
        <v>717</v>
      </c>
      <c r="C725" s="30">
        <v>0.52107558139534882</v>
      </c>
      <c r="D725" s="28">
        <v>36304</v>
      </c>
      <c r="E725" s="14">
        <v>0</v>
      </c>
      <c r="F725" s="14">
        <v>6.3890451715020724E-4</v>
      </c>
      <c r="G725" s="14">
        <v>8.5134051692348223E-4</v>
      </c>
      <c r="H725" s="14">
        <v>7.2433713960791131E-4</v>
      </c>
    </row>
    <row r="726" spans="2:8" x14ac:dyDescent="0.25">
      <c r="B726" s="29">
        <v>718</v>
      </c>
      <c r="C726" s="30">
        <v>0.52180232558139539</v>
      </c>
      <c r="D726" s="28">
        <v>36305</v>
      </c>
      <c r="E726" s="14">
        <v>0</v>
      </c>
      <c r="F726" s="14">
        <v>6.8284009946295576E-4</v>
      </c>
      <c r="G726" s="14">
        <v>8.5504189705298828E-4</v>
      </c>
      <c r="H726" s="14">
        <v>7.3231666837858533E-4</v>
      </c>
    </row>
    <row r="727" spans="2:8" x14ac:dyDescent="0.25">
      <c r="B727" s="29">
        <v>719</v>
      </c>
      <c r="C727" s="30">
        <v>0.52252906976744184</v>
      </c>
      <c r="D727" s="28">
        <v>36306</v>
      </c>
      <c r="E727" s="14">
        <v>0</v>
      </c>
      <c r="F727" s="14">
        <v>6.9014527216326726E-4</v>
      </c>
      <c r="G727" s="14">
        <v>8.5786508736362954E-4</v>
      </c>
      <c r="H727" s="14">
        <v>7.3267444315499035E-4</v>
      </c>
    </row>
    <row r="728" spans="2:8" x14ac:dyDescent="0.25">
      <c r="B728" s="29">
        <v>720</v>
      </c>
      <c r="C728" s="30">
        <v>0.52325581395348841</v>
      </c>
      <c r="D728" s="28">
        <v>36307</v>
      </c>
      <c r="E728" s="14">
        <v>0</v>
      </c>
      <c r="F728" s="14">
        <v>7.0527388135732672E-4</v>
      </c>
      <c r="G728" s="14">
        <v>8.6789696993161414E-4</v>
      </c>
      <c r="H728" s="14">
        <v>7.4496640612942123E-4</v>
      </c>
    </row>
    <row r="729" spans="2:8" x14ac:dyDescent="0.25">
      <c r="B729" s="29">
        <v>721</v>
      </c>
      <c r="C729" s="30">
        <v>0.52398255813953487</v>
      </c>
      <c r="D729" s="28">
        <v>36308</v>
      </c>
      <c r="E729" s="14">
        <v>0</v>
      </c>
      <c r="F729" s="14">
        <v>7.2504324819377963E-4</v>
      </c>
      <c r="G729" s="14">
        <v>8.6918730986518256E-4</v>
      </c>
      <c r="H729" s="14">
        <v>7.4696444716244599E-4</v>
      </c>
    </row>
    <row r="730" spans="2:8" x14ac:dyDescent="0.25">
      <c r="B730" s="29">
        <v>722</v>
      </c>
      <c r="C730" s="30">
        <v>0.52470930232558144</v>
      </c>
      <c r="D730" s="28">
        <v>36311</v>
      </c>
      <c r="E730" s="14">
        <v>0</v>
      </c>
      <c r="F730" s="14">
        <v>7.3862221191589583E-4</v>
      </c>
      <c r="G730" s="14">
        <v>8.7126987584396076E-4</v>
      </c>
      <c r="H730" s="14">
        <v>7.5083918995491031E-4</v>
      </c>
    </row>
    <row r="731" spans="2:8" x14ac:dyDescent="0.25">
      <c r="B731" s="29">
        <v>723</v>
      </c>
      <c r="C731" s="30">
        <v>0.5254360465116279</v>
      </c>
      <c r="D731" s="28">
        <v>36312</v>
      </c>
      <c r="E731" s="14">
        <v>0</v>
      </c>
      <c r="F731" s="14">
        <v>7.4478105627484581E-4</v>
      </c>
      <c r="G731" s="14">
        <v>8.7535014005624134E-4</v>
      </c>
      <c r="H731" s="14">
        <v>7.6854835920010572E-4</v>
      </c>
    </row>
    <row r="732" spans="2:8" x14ac:dyDescent="0.25">
      <c r="B732" s="29">
        <v>724</v>
      </c>
      <c r="C732" s="30">
        <v>0.52616279069767447</v>
      </c>
      <c r="D732" s="28">
        <v>36313</v>
      </c>
      <c r="E732" s="14">
        <v>0</v>
      </c>
      <c r="F732" s="14">
        <v>7.4856411791923705E-4</v>
      </c>
      <c r="G732" s="14">
        <v>8.8071778499498876E-4</v>
      </c>
      <c r="H732" s="14">
        <v>7.756878620360124E-4</v>
      </c>
    </row>
    <row r="733" spans="2:8" x14ac:dyDescent="0.25">
      <c r="B733" s="29">
        <v>725</v>
      </c>
      <c r="C733" s="30">
        <v>0.52688953488372092</v>
      </c>
      <c r="D733" s="28">
        <v>36314</v>
      </c>
      <c r="E733" s="14">
        <v>0</v>
      </c>
      <c r="F733" s="14">
        <v>7.8171883389654973E-4</v>
      </c>
      <c r="G733" s="14">
        <v>8.8681392888978472E-4</v>
      </c>
      <c r="H733" s="14">
        <v>7.9735265343483508E-4</v>
      </c>
    </row>
    <row r="734" spans="2:8" x14ac:dyDescent="0.25">
      <c r="B734" s="29">
        <v>726</v>
      </c>
      <c r="C734" s="30">
        <v>0.52761627906976749</v>
      </c>
      <c r="D734" s="28">
        <v>36315</v>
      </c>
      <c r="E734" s="14">
        <v>0</v>
      </c>
      <c r="F734" s="14">
        <v>7.9065468435057795E-4</v>
      </c>
      <c r="G734" s="14">
        <v>8.9285714285702866E-4</v>
      </c>
      <c r="H734" s="14">
        <v>7.9889905622678717E-4</v>
      </c>
    </row>
    <row r="735" spans="2:8" x14ac:dyDescent="0.25">
      <c r="B735" s="29">
        <v>727</v>
      </c>
      <c r="C735" s="30">
        <v>0.52834302325581395</v>
      </c>
      <c r="D735" s="28">
        <v>36318</v>
      </c>
      <c r="E735" s="14">
        <v>0</v>
      </c>
      <c r="F735" s="14">
        <v>8.2195412965657688E-4</v>
      </c>
      <c r="G735" s="14">
        <v>9.0549492446267976E-4</v>
      </c>
      <c r="H735" s="14">
        <v>8.0333234156504396E-4</v>
      </c>
    </row>
    <row r="736" spans="2:8" x14ac:dyDescent="0.25">
      <c r="B736" s="29">
        <v>728</v>
      </c>
      <c r="C736" s="30">
        <v>0.52906976744186052</v>
      </c>
      <c r="D736" s="28">
        <v>36319</v>
      </c>
      <c r="E736" s="14">
        <v>0</v>
      </c>
      <c r="F736" s="14">
        <v>8.283454467721274E-4</v>
      </c>
      <c r="G736" s="14">
        <v>9.0738955367775098E-4</v>
      </c>
      <c r="H736" s="14">
        <v>8.3125630187144152E-4</v>
      </c>
    </row>
    <row r="737" spans="2:8" x14ac:dyDescent="0.25">
      <c r="B737" s="29">
        <v>729</v>
      </c>
      <c r="C737" s="30">
        <v>0.52979651162790697</v>
      </c>
      <c r="D737" s="28">
        <v>36320</v>
      </c>
      <c r="E737" s="14">
        <v>0</v>
      </c>
      <c r="F737" s="14">
        <v>8.6241349571936077E-4</v>
      </c>
      <c r="G737" s="14">
        <v>9.1361283118462921E-4</v>
      </c>
      <c r="H737" s="14">
        <v>8.4609168201432738E-4</v>
      </c>
    </row>
    <row r="738" spans="2:8" x14ac:dyDescent="0.25">
      <c r="B738" s="29">
        <v>730</v>
      </c>
      <c r="C738" s="30">
        <v>0.53052325581395354</v>
      </c>
      <c r="D738" s="28">
        <v>36321</v>
      </c>
      <c r="E738" s="14">
        <v>0</v>
      </c>
      <c r="F738" s="14">
        <v>8.9463220675933819E-4</v>
      </c>
      <c r="G738" s="14">
        <v>9.2144667127391777E-4</v>
      </c>
      <c r="H738" s="14">
        <v>8.4710471364717347E-4</v>
      </c>
    </row>
    <row r="739" spans="2:8" x14ac:dyDescent="0.25">
      <c r="B739" s="29">
        <v>731</v>
      </c>
      <c r="C739" s="30">
        <v>0.53125</v>
      </c>
      <c r="D739" s="28">
        <v>36322</v>
      </c>
      <c r="E739" s="14">
        <v>0</v>
      </c>
      <c r="F739" s="14">
        <v>9.0255080134249432E-4</v>
      </c>
      <c r="G739" s="14">
        <v>9.2886023385441163E-4</v>
      </c>
      <c r="H739" s="14">
        <v>8.471673505156211E-4</v>
      </c>
    </row>
    <row r="740" spans="2:8" x14ac:dyDescent="0.25">
      <c r="B740" s="29">
        <v>732</v>
      </c>
      <c r="C740" s="30">
        <v>0.53197674418604646</v>
      </c>
      <c r="D740" s="28">
        <v>36325</v>
      </c>
      <c r="E740" s="14">
        <v>0</v>
      </c>
      <c r="F740" s="14">
        <v>9.2125466110992704E-4</v>
      </c>
      <c r="G740" s="14">
        <v>9.2922774247372608E-4</v>
      </c>
      <c r="H740" s="14">
        <v>8.557951776617227E-4</v>
      </c>
    </row>
    <row r="741" spans="2:8" x14ac:dyDescent="0.25">
      <c r="B741" s="29">
        <v>733</v>
      </c>
      <c r="C741" s="30">
        <v>0.53270348837209303</v>
      </c>
      <c r="D741" s="28">
        <v>36326</v>
      </c>
      <c r="E741" s="14">
        <v>0</v>
      </c>
      <c r="F741" s="14">
        <v>9.4945217449748931E-4</v>
      </c>
      <c r="G741" s="14">
        <v>9.3720712277423068E-4</v>
      </c>
      <c r="H741" s="14">
        <v>8.6916816630391316E-4</v>
      </c>
    </row>
    <row r="742" spans="2:8" x14ac:dyDescent="0.25">
      <c r="B742" s="29">
        <v>734</v>
      </c>
      <c r="C742" s="30">
        <v>0.53343023255813948</v>
      </c>
      <c r="D742" s="28">
        <v>36327</v>
      </c>
      <c r="E742" s="14">
        <v>0</v>
      </c>
      <c r="F742" s="14">
        <v>9.5450490633353091E-4</v>
      </c>
      <c r="G742" s="14">
        <v>9.3823129613035405E-4</v>
      </c>
      <c r="H742" s="14">
        <v>8.7342459208319414E-4</v>
      </c>
    </row>
    <row r="743" spans="2:8" x14ac:dyDescent="0.25">
      <c r="B743" s="29">
        <v>735</v>
      </c>
      <c r="C743" s="30">
        <v>0.53415697674418605</v>
      </c>
      <c r="D743" s="28">
        <v>36328</v>
      </c>
      <c r="E743" s="14">
        <v>1.6530018513538636E-5</v>
      </c>
      <c r="F743" s="14">
        <v>9.5570247698129052E-4</v>
      </c>
      <c r="G743" s="14">
        <v>9.3935302060699222E-4</v>
      </c>
      <c r="H743" s="14">
        <v>8.7352265783915452E-4</v>
      </c>
    </row>
    <row r="744" spans="2:8" x14ac:dyDescent="0.25">
      <c r="B744" s="29">
        <v>736</v>
      </c>
      <c r="C744" s="30">
        <v>0.53488372093023251</v>
      </c>
      <c r="D744" s="28">
        <v>36329</v>
      </c>
      <c r="E744" s="14">
        <v>6.0879094119004051E-5</v>
      </c>
      <c r="F744" s="14">
        <v>9.8134463842347586E-4</v>
      </c>
      <c r="G744" s="14">
        <v>9.4068719675211021E-4</v>
      </c>
      <c r="H744" s="14">
        <v>8.9111470260037082E-4</v>
      </c>
    </row>
    <row r="745" spans="2:8" x14ac:dyDescent="0.25">
      <c r="B745" s="29">
        <v>737</v>
      </c>
      <c r="C745" s="30">
        <v>0.53561046511627908</v>
      </c>
      <c r="D745" s="28">
        <v>36332</v>
      </c>
      <c r="E745" s="14">
        <v>1.4966731774546105E-4</v>
      </c>
      <c r="F745" s="14">
        <v>9.907015582319989E-4</v>
      </c>
      <c r="G745" s="14">
        <v>9.5468184681357648E-4</v>
      </c>
      <c r="H745" s="14">
        <v>8.9926781649234404E-4</v>
      </c>
    </row>
    <row r="746" spans="2:8" x14ac:dyDescent="0.25">
      <c r="B746" s="29">
        <v>738</v>
      </c>
      <c r="C746" s="30">
        <v>0.53633720930232553</v>
      </c>
      <c r="D746" s="28">
        <v>36333</v>
      </c>
      <c r="E746" s="14">
        <v>1.5017395955418955E-4</v>
      </c>
      <c r="F746" s="14">
        <v>9.9443571466539815E-4</v>
      </c>
      <c r="G746" s="14">
        <v>9.6355356940702741E-4</v>
      </c>
      <c r="H746" s="14">
        <v>9.0572488746945015E-4</v>
      </c>
    </row>
    <row r="747" spans="2:8" x14ac:dyDescent="0.25">
      <c r="B747" s="29">
        <v>739</v>
      </c>
      <c r="C747" s="30">
        <v>0.5370639534883721</v>
      </c>
      <c r="D747" s="28">
        <v>36334</v>
      </c>
      <c r="E747" s="14">
        <v>1.5032479415588718E-4</v>
      </c>
      <c r="F747" s="14">
        <v>1.093331603769343E-3</v>
      </c>
      <c r="G747" s="14">
        <v>9.8457067860358016E-4</v>
      </c>
      <c r="H747" s="14">
        <v>9.1573937418398799E-4</v>
      </c>
    </row>
    <row r="748" spans="2:8" x14ac:dyDescent="0.25">
      <c r="B748" s="29">
        <v>740</v>
      </c>
      <c r="C748" s="30">
        <v>0.53779069767441856</v>
      </c>
      <c r="D748" s="28">
        <v>36335</v>
      </c>
      <c r="E748" s="14">
        <v>1.5044532732577665E-4</v>
      </c>
      <c r="F748" s="14">
        <v>1.1582452584335545E-3</v>
      </c>
      <c r="G748" s="14">
        <v>9.9162080420445164E-4</v>
      </c>
      <c r="H748" s="14">
        <v>9.2979398430872453E-4</v>
      </c>
    </row>
    <row r="749" spans="2:8" x14ac:dyDescent="0.25">
      <c r="B749" s="29">
        <v>741</v>
      </c>
      <c r="C749" s="30">
        <v>0.53851744186046513</v>
      </c>
      <c r="D749" s="28">
        <v>36336</v>
      </c>
      <c r="E749" s="14">
        <v>1.5769296503576058E-4</v>
      </c>
      <c r="F749" s="14">
        <v>1.1639123398623497E-3</v>
      </c>
      <c r="G749" s="14">
        <v>1.0081209745169684E-3</v>
      </c>
      <c r="H749" s="14">
        <v>9.3200898743370795E-4</v>
      </c>
    </row>
    <row r="750" spans="2:8" x14ac:dyDescent="0.25">
      <c r="B750" s="29">
        <v>742</v>
      </c>
      <c r="C750" s="30">
        <v>0.53924418604651159</v>
      </c>
      <c r="D750" s="28">
        <v>36339</v>
      </c>
      <c r="E750" s="14">
        <v>1.5924904903608095E-4</v>
      </c>
      <c r="F750" s="14">
        <v>1.1974049682492716E-3</v>
      </c>
      <c r="G750" s="14">
        <v>1.0178117048347257E-3</v>
      </c>
      <c r="H750" s="14">
        <v>9.3901344402476145E-4</v>
      </c>
    </row>
    <row r="751" spans="2:8" x14ac:dyDescent="0.25">
      <c r="B751" s="29">
        <v>743</v>
      </c>
      <c r="C751" s="30">
        <v>0.53997093023255816</v>
      </c>
      <c r="D751" s="28">
        <v>36340</v>
      </c>
      <c r="E751" s="14">
        <v>1.6153721735268078E-4</v>
      </c>
      <c r="F751" s="14">
        <v>1.2360302827418845E-3</v>
      </c>
      <c r="G751" s="14">
        <v>1.030343619597085E-3</v>
      </c>
      <c r="H751" s="14">
        <v>9.5130216276739798E-4</v>
      </c>
    </row>
    <row r="752" spans="2:8" x14ac:dyDescent="0.25">
      <c r="B752" s="29">
        <v>744</v>
      </c>
      <c r="C752" s="30">
        <v>0.54069767441860461</v>
      </c>
      <c r="D752" s="28">
        <v>36341</v>
      </c>
      <c r="E752" s="14">
        <v>1.6850148879465898E-4</v>
      </c>
      <c r="F752" s="14">
        <v>1.2632680520257011E-3</v>
      </c>
      <c r="G752" s="14">
        <v>1.0312236561256238E-3</v>
      </c>
      <c r="H752" s="14">
        <v>9.5312534713387674E-4</v>
      </c>
    </row>
    <row r="753" spans="2:8" x14ac:dyDescent="0.25">
      <c r="B753" s="29">
        <v>745</v>
      </c>
      <c r="C753" s="30">
        <v>0.54142441860465118</v>
      </c>
      <c r="D753" s="28">
        <v>36342</v>
      </c>
      <c r="E753" s="14">
        <v>1.755063546609037E-4</v>
      </c>
      <c r="F753" s="14">
        <v>1.2833743483897653E-3</v>
      </c>
      <c r="G753" s="14">
        <v>1.0340477564074746E-3</v>
      </c>
      <c r="H753" s="14">
        <v>9.6292892806477699E-4</v>
      </c>
    </row>
    <row r="754" spans="2:8" x14ac:dyDescent="0.25">
      <c r="B754" s="29">
        <v>746</v>
      </c>
      <c r="C754" s="30">
        <v>0.54215116279069764</v>
      </c>
      <c r="D754" s="28">
        <v>36343</v>
      </c>
      <c r="E754" s="14">
        <v>1.7572211466743148E-4</v>
      </c>
      <c r="F754" s="14">
        <v>1.3570806854661388E-3</v>
      </c>
      <c r="G754" s="14">
        <v>1.0381384021367346E-3</v>
      </c>
      <c r="H754" s="14">
        <v>9.7917826055666807E-4</v>
      </c>
    </row>
    <row r="755" spans="2:8" x14ac:dyDescent="0.25">
      <c r="B755" s="29">
        <v>747</v>
      </c>
      <c r="C755" s="30">
        <v>0.54287790697674421</v>
      </c>
      <c r="D755" s="28">
        <v>36346</v>
      </c>
      <c r="E755" s="14">
        <v>1.904986637812911E-4</v>
      </c>
      <c r="F755" s="14">
        <v>1.3593597262950841E-3</v>
      </c>
      <c r="G755" s="14">
        <v>1.0612706608852385E-3</v>
      </c>
      <c r="H755" s="14">
        <v>9.8620594893761271E-4</v>
      </c>
    </row>
    <row r="756" spans="2:8" x14ac:dyDescent="0.25">
      <c r="B756" s="29">
        <v>748</v>
      </c>
      <c r="C756" s="30">
        <v>0.54360465116279066</v>
      </c>
      <c r="D756" s="28">
        <v>36347</v>
      </c>
      <c r="E756" s="14">
        <v>2.8341363386297225E-4</v>
      </c>
      <c r="F756" s="14">
        <v>1.3665011991745857E-3</v>
      </c>
      <c r="G756" s="14">
        <v>1.0869065442404846E-3</v>
      </c>
      <c r="H756" s="14">
        <v>1.0160557736869525E-3</v>
      </c>
    </row>
    <row r="757" spans="2:8" x14ac:dyDescent="0.25">
      <c r="B757" s="29">
        <v>749</v>
      </c>
      <c r="C757" s="30">
        <v>0.54433139534883723</v>
      </c>
      <c r="D757" s="28">
        <v>36348</v>
      </c>
      <c r="E757" s="14">
        <v>2.867731497897541E-4</v>
      </c>
      <c r="F757" s="14">
        <v>1.4271963888612405E-3</v>
      </c>
      <c r="G757" s="14">
        <v>1.093428628807791E-3</v>
      </c>
      <c r="H757" s="14">
        <v>1.0291064548860088E-3</v>
      </c>
    </row>
    <row r="758" spans="2:8" x14ac:dyDescent="0.25">
      <c r="B758" s="29">
        <v>750</v>
      </c>
      <c r="C758" s="30">
        <v>0.54505813953488369</v>
      </c>
      <c r="D758" s="28">
        <v>36349</v>
      </c>
      <c r="E758" s="14">
        <v>2.9187990447732126E-4</v>
      </c>
      <c r="F758" s="14">
        <v>1.436742289482984E-3</v>
      </c>
      <c r="G758" s="14">
        <v>1.1030478955007528E-3</v>
      </c>
      <c r="H758" s="14">
        <v>1.0394035572382169E-3</v>
      </c>
    </row>
    <row r="759" spans="2:8" x14ac:dyDescent="0.25">
      <c r="B759" s="29">
        <v>751</v>
      </c>
      <c r="C759" s="30">
        <v>0.54578488372093026</v>
      </c>
      <c r="D759" s="28">
        <v>36350</v>
      </c>
      <c r="E759" s="14">
        <v>3.0454905823806833E-4</v>
      </c>
      <c r="F759" s="14">
        <v>1.4495618369900765E-3</v>
      </c>
      <c r="G759" s="14">
        <v>1.1103983052644928E-3</v>
      </c>
      <c r="H759" s="14">
        <v>1.0440428971004057E-3</v>
      </c>
    </row>
    <row r="760" spans="2:8" x14ac:dyDescent="0.25">
      <c r="B760" s="29">
        <v>752</v>
      </c>
      <c r="C760" s="30">
        <v>0.54651162790697672</v>
      </c>
      <c r="D760" s="28">
        <v>36353</v>
      </c>
      <c r="E760" s="14">
        <v>3.0840740051707449E-4</v>
      </c>
      <c r="F760" s="14">
        <v>1.5410910924933408E-3</v>
      </c>
      <c r="G760" s="14">
        <v>1.1122411859836312E-3</v>
      </c>
      <c r="H760" s="14">
        <v>1.0505878457816476E-3</v>
      </c>
    </row>
    <row r="761" spans="2:8" x14ac:dyDescent="0.25">
      <c r="B761" s="29">
        <v>753</v>
      </c>
      <c r="C761" s="30">
        <v>0.54723837209302328</v>
      </c>
      <c r="D761" s="28">
        <v>36354</v>
      </c>
      <c r="E761" s="14">
        <v>3.1089385993543495E-4</v>
      </c>
      <c r="F761" s="14">
        <v>1.5538158130639079E-3</v>
      </c>
      <c r="G761" s="14">
        <v>1.1159528111384098E-3</v>
      </c>
      <c r="H761" s="14">
        <v>1.0573999598554981E-3</v>
      </c>
    </row>
    <row r="762" spans="2:8" x14ac:dyDescent="0.25">
      <c r="B762" s="29">
        <v>754</v>
      </c>
      <c r="C762" s="30">
        <v>0.54796511627906974</v>
      </c>
      <c r="D762" s="28">
        <v>36355</v>
      </c>
      <c r="E762" s="14">
        <v>3.4488944367860874E-4</v>
      </c>
      <c r="F762" s="14">
        <v>1.567955515324071E-3</v>
      </c>
      <c r="G762" s="14">
        <v>1.1176157530601305E-3</v>
      </c>
      <c r="H762" s="14">
        <v>1.0585842005383038E-3</v>
      </c>
    </row>
    <row r="763" spans="2:8" x14ac:dyDescent="0.25">
      <c r="B763" s="29">
        <v>755</v>
      </c>
      <c r="C763" s="30">
        <v>0.54869186046511631</v>
      </c>
      <c r="D763" s="28">
        <v>36356</v>
      </c>
      <c r="E763" s="14">
        <v>3.4506801997413739E-4</v>
      </c>
      <c r="F763" s="14">
        <v>1.5824199402791894E-3</v>
      </c>
      <c r="G763" s="14">
        <v>1.1232633757018995E-3</v>
      </c>
      <c r="H763" s="14">
        <v>1.060451332459134E-3</v>
      </c>
    </row>
    <row r="764" spans="2:8" x14ac:dyDescent="0.25">
      <c r="B764" s="29">
        <v>756</v>
      </c>
      <c r="C764" s="30">
        <v>0.54941860465116277</v>
      </c>
      <c r="D764" s="28">
        <v>36357</v>
      </c>
      <c r="E764" s="14">
        <v>3.5069604770643359E-4</v>
      </c>
      <c r="F764" s="14">
        <v>1.5858695498949249E-3</v>
      </c>
      <c r="G764" s="14">
        <v>1.1312269933776431E-3</v>
      </c>
      <c r="H764" s="14">
        <v>1.072178176126792E-3</v>
      </c>
    </row>
    <row r="765" spans="2:8" x14ac:dyDescent="0.25">
      <c r="B765" s="29">
        <v>757</v>
      </c>
      <c r="C765" s="30">
        <v>0.55014534883720934</v>
      </c>
      <c r="D765" s="28">
        <v>36360</v>
      </c>
      <c r="E765" s="14">
        <v>3.5150002636252786E-4</v>
      </c>
      <c r="F765" s="14">
        <v>1.5902984532714104E-3</v>
      </c>
      <c r="G765" s="14">
        <v>1.1344605909997529E-3</v>
      </c>
      <c r="H765" s="14">
        <v>1.0726626084032632E-3</v>
      </c>
    </row>
    <row r="766" spans="2:8" x14ac:dyDescent="0.25">
      <c r="B766" s="29">
        <v>758</v>
      </c>
      <c r="C766" s="30">
        <v>0.55087209302325579</v>
      </c>
      <c r="D766" s="28">
        <v>36361</v>
      </c>
      <c r="E766" s="14">
        <v>3.5534027669714696E-4</v>
      </c>
      <c r="F766" s="14">
        <v>1.6322009938936066E-3</v>
      </c>
      <c r="G766" s="14">
        <v>1.1355198797169397E-3</v>
      </c>
      <c r="H766" s="14">
        <v>1.0726721403116586E-3</v>
      </c>
    </row>
    <row r="767" spans="2:8" x14ac:dyDescent="0.25">
      <c r="B767" s="29">
        <v>759</v>
      </c>
      <c r="C767" s="30">
        <v>0.55159883720930236</v>
      </c>
      <c r="D767" s="28">
        <v>36362</v>
      </c>
      <c r="E767" s="14">
        <v>3.6354193715903982E-4</v>
      </c>
      <c r="F767" s="14">
        <v>1.6372737053842457E-3</v>
      </c>
      <c r="G767" s="14">
        <v>1.1449835408616771E-3</v>
      </c>
      <c r="H767" s="14">
        <v>1.0749727324839587E-3</v>
      </c>
    </row>
    <row r="768" spans="2:8" x14ac:dyDescent="0.25">
      <c r="B768" s="29">
        <v>760</v>
      </c>
      <c r="C768" s="30">
        <v>0.55232558139534882</v>
      </c>
      <c r="D768" s="28">
        <v>36363</v>
      </c>
      <c r="E768" s="14">
        <v>4.6478868351318425E-4</v>
      </c>
      <c r="F768" s="14">
        <v>1.6698687447256333E-3</v>
      </c>
      <c r="G768" s="14">
        <v>1.1643320564065363E-3</v>
      </c>
      <c r="H768" s="14">
        <v>1.0890901043472123E-3</v>
      </c>
    </row>
    <row r="769" spans="2:8" x14ac:dyDescent="0.25">
      <c r="B769" s="29">
        <v>761</v>
      </c>
      <c r="C769" s="30">
        <v>0.55305232558139539</v>
      </c>
      <c r="D769" s="28">
        <v>36364</v>
      </c>
      <c r="E769" s="14">
        <v>4.6981380361943437E-4</v>
      </c>
      <c r="F769" s="14">
        <v>1.6836584824146961E-3</v>
      </c>
      <c r="G769" s="14">
        <v>1.1679514132210134E-3</v>
      </c>
      <c r="H769" s="14">
        <v>1.1150913419722742E-3</v>
      </c>
    </row>
    <row r="770" spans="2:8" x14ac:dyDescent="0.25">
      <c r="B770" s="29">
        <v>762</v>
      </c>
      <c r="C770" s="30">
        <v>0.55377906976744184</v>
      </c>
      <c r="D770" s="28">
        <v>36367</v>
      </c>
      <c r="E770" s="14">
        <v>5.1719762611002196E-4</v>
      </c>
      <c r="F770" s="14">
        <v>1.7860468265924467E-3</v>
      </c>
      <c r="G770" s="14">
        <v>1.181691374816829E-3</v>
      </c>
      <c r="H770" s="14">
        <v>1.1158157926115743E-3</v>
      </c>
    </row>
    <row r="771" spans="2:8" x14ac:dyDescent="0.25">
      <c r="B771" s="29">
        <v>763</v>
      </c>
      <c r="C771" s="30">
        <v>0.55450581395348841</v>
      </c>
      <c r="D771" s="28">
        <v>36368</v>
      </c>
      <c r="E771" s="14">
        <v>5.2673330079278102E-4</v>
      </c>
      <c r="F771" s="14">
        <v>1.7951856385149956E-3</v>
      </c>
      <c r="G771" s="14">
        <v>1.1942482856852621E-3</v>
      </c>
      <c r="H771" s="14">
        <v>1.1158555983941333E-3</v>
      </c>
    </row>
    <row r="772" spans="2:8" x14ac:dyDescent="0.25">
      <c r="B772" s="29">
        <v>764</v>
      </c>
      <c r="C772" s="30">
        <v>0.55523255813953487</v>
      </c>
      <c r="D772" s="28">
        <v>36369</v>
      </c>
      <c r="E772" s="14">
        <v>5.9888258556628493E-4</v>
      </c>
      <c r="F772" s="14">
        <v>1.8122600022811852E-3</v>
      </c>
      <c r="G772" s="14">
        <v>1.2099213551119981E-3</v>
      </c>
      <c r="H772" s="14">
        <v>1.1208892721613407E-3</v>
      </c>
    </row>
    <row r="773" spans="2:8" x14ac:dyDescent="0.25">
      <c r="B773" s="29">
        <v>765</v>
      </c>
      <c r="C773" s="30">
        <v>0.55595930232558144</v>
      </c>
      <c r="D773" s="28">
        <v>36370</v>
      </c>
      <c r="E773" s="14">
        <v>5.9979007347421565E-4</v>
      </c>
      <c r="F773" s="14">
        <v>1.8526799974445396E-3</v>
      </c>
      <c r="G773" s="14">
        <v>1.2121212121212199E-3</v>
      </c>
      <c r="H773" s="14">
        <v>1.126965586604367E-3</v>
      </c>
    </row>
    <row r="774" spans="2:8" x14ac:dyDescent="0.25">
      <c r="B774" s="29">
        <v>766</v>
      </c>
      <c r="C774" s="30">
        <v>0.5566860465116279</v>
      </c>
      <c r="D774" s="28">
        <v>36371</v>
      </c>
      <c r="E774" s="14">
        <v>6.0078101531990669E-4</v>
      </c>
      <c r="F774" s="14">
        <v>1.8545184797311709E-3</v>
      </c>
      <c r="G774" s="14">
        <v>1.2128268568378786E-3</v>
      </c>
      <c r="H774" s="14">
        <v>1.1313953958744355E-3</v>
      </c>
    </row>
    <row r="775" spans="2:8" x14ac:dyDescent="0.25">
      <c r="B775" s="29">
        <v>767</v>
      </c>
      <c r="C775" s="30">
        <v>0.55741279069767447</v>
      </c>
      <c r="D775" s="28">
        <v>36374</v>
      </c>
      <c r="E775" s="14">
        <v>6.2656641603986429E-4</v>
      </c>
      <c r="F775" s="14">
        <v>1.8611347654708954E-3</v>
      </c>
      <c r="G775" s="14">
        <v>1.2257633162469084E-3</v>
      </c>
      <c r="H775" s="14">
        <v>1.1341580032206533E-3</v>
      </c>
    </row>
    <row r="776" spans="2:8" x14ac:dyDescent="0.25">
      <c r="B776" s="29">
        <v>768</v>
      </c>
      <c r="C776" s="30">
        <v>0.55813953488372092</v>
      </c>
      <c r="D776" s="28">
        <v>36375</v>
      </c>
      <c r="E776" s="14">
        <v>6.4599483204119679E-4</v>
      </c>
      <c r="F776" s="14">
        <v>1.8634125827476922E-3</v>
      </c>
      <c r="G776" s="14">
        <v>1.2363823186101186E-3</v>
      </c>
      <c r="H776" s="14">
        <v>1.1370349618113008E-3</v>
      </c>
    </row>
    <row r="777" spans="2:8" x14ac:dyDescent="0.25">
      <c r="B777" s="29">
        <v>769</v>
      </c>
      <c r="C777" s="30">
        <v>0.55886627906976749</v>
      </c>
      <c r="D777" s="28">
        <v>36376</v>
      </c>
      <c r="E777" s="14">
        <v>6.4648828333391251E-4</v>
      </c>
      <c r="F777" s="14">
        <v>1.8784303366501387E-3</v>
      </c>
      <c r="G777" s="14">
        <v>1.2432047266914825E-3</v>
      </c>
      <c r="H777" s="14">
        <v>1.1427198321823484E-3</v>
      </c>
    </row>
    <row r="778" spans="2:8" x14ac:dyDescent="0.25">
      <c r="B778" s="29">
        <v>770</v>
      </c>
      <c r="C778" s="30">
        <v>0.55959302325581395</v>
      </c>
      <c r="D778" s="28">
        <v>36377</v>
      </c>
      <c r="E778" s="14">
        <v>6.6258075202929589E-4</v>
      </c>
      <c r="F778" s="14">
        <v>1.8835938971557553E-3</v>
      </c>
      <c r="G778" s="14">
        <v>1.2455415274867931E-3</v>
      </c>
      <c r="H778" s="14">
        <v>1.1466457255784324E-3</v>
      </c>
    </row>
    <row r="779" spans="2:8" x14ac:dyDescent="0.25">
      <c r="B779" s="29">
        <v>771</v>
      </c>
      <c r="C779" s="30">
        <v>0.56031976744186052</v>
      </c>
      <c r="D779" s="28">
        <v>36378</v>
      </c>
      <c r="E779" s="14">
        <v>6.6841650499682714E-4</v>
      </c>
      <c r="F779" s="14">
        <v>1.8850041001501339E-3</v>
      </c>
      <c r="G779" s="14">
        <v>1.2507477296208602E-3</v>
      </c>
      <c r="H779" s="14">
        <v>1.1510621021566525E-3</v>
      </c>
    </row>
    <row r="780" spans="2:8" x14ac:dyDescent="0.25">
      <c r="B780" s="29">
        <v>772</v>
      </c>
      <c r="C780" s="30">
        <v>0.56104651162790697</v>
      </c>
      <c r="D780" s="28">
        <v>36381</v>
      </c>
      <c r="E780" s="14">
        <v>6.84697021567926E-4</v>
      </c>
      <c r="F780" s="14">
        <v>1.9222249217532017E-3</v>
      </c>
      <c r="G780" s="14">
        <v>1.2551655392354366E-3</v>
      </c>
      <c r="H780" s="14">
        <v>1.1542855861990556E-3</v>
      </c>
    </row>
    <row r="781" spans="2:8" x14ac:dyDescent="0.25">
      <c r="B781" s="29">
        <v>773</v>
      </c>
      <c r="C781" s="30">
        <v>0.56177325581395354</v>
      </c>
      <c r="D781" s="28">
        <v>36382</v>
      </c>
      <c r="E781" s="14">
        <v>6.8909338816847132E-4</v>
      </c>
      <c r="F781" s="14">
        <v>1.9238194590274205E-3</v>
      </c>
      <c r="G781" s="14">
        <v>1.2566760917371855E-3</v>
      </c>
      <c r="H781" s="14">
        <v>1.1590851045522265E-3</v>
      </c>
    </row>
    <row r="782" spans="2:8" x14ac:dyDescent="0.25">
      <c r="B782" s="29">
        <v>774</v>
      </c>
      <c r="C782" s="30">
        <v>0.5625</v>
      </c>
      <c r="D782" s="28">
        <v>36383</v>
      </c>
      <c r="E782" s="14">
        <v>6.916161530350351E-4</v>
      </c>
      <c r="F782" s="14">
        <v>1.9468313641246571E-3</v>
      </c>
      <c r="G782" s="14">
        <v>1.2703789964005896E-3</v>
      </c>
      <c r="H782" s="14">
        <v>1.1649152976342058E-3</v>
      </c>
    </row>
    <row r="783" spans="2:8" x14ac:dyDescent="0.25">
      <c r="B783" s="29">
        <v>775</v>
      </c>
      <c r="C783" s="30">
        <v>0.56322674418604646</v>
      </c>
      <c r="D783" s="28">
        <v>36384</v>
      </c>
      <c r="E783" s="14">
        <v>6.958711644244886E-4</v>
      </c>
      <c r="F783" s="14">
        <v>1.9558985076224555E-3</v>
      </c>
      <c r="G783" s="14">
        <v>1.2719649502990205E-3</v>
      </c>
      <c r="H783" s="14">
        <v>1.2260808831950243E-3</v>
      </c>
    </row>
    <row r="784" spans="2:8" x14ac:dyDescent="0.25">
      <c r="B784" s="29">
        <v>776</v>
      </c>
      <c r="C784" s="30">
        <v>0.56395348837209303</v>
      </c>
      <c r="D784" s="28">
        <v>36385</v>
      </c>
      <c r="E784" s="14">
        <v>7.1058775758792159E-4</v>
      </c>
      <c r="F784" s="14">
        <v>1.9703236863946039E-3</v>
      </c>
      <c r="G784" s="14">
        <v>1.2780295108631989E-3</v>
      </c>
      <c r="H784" s="14">
        <v>1.22653801237953E-3</v>
      </c>
    </row>
    <row r="785" spans="2:8" x14ac:dyDescent="0.25">
      <c r="B785" s="29">
        <v>777</v>
      </c>
      <c r="C785" s="30">
        <v>0.56468023255813948</v>
      </c>
      <c r="D785" s="28">
        <v>36388</v>
      </c>
      <c r="E785" s="14">
        <v>7.1608560825153766E-4</v>
      </c>
      <c r="F785" s="14">
        <v>2.02935207788002E-3</v>
      </c>
      <c r="G785" s="14">
        <v>1.278695694004961E-3</v>
      </c>
      <c r="H785" s="14">
        <v>1.2270376410625783E-3</v>
      </c>
    </row>
    <row r="786" spans="2:8" x14ac:dyDescent="0.25">
      <c r="B786" s="29">
        <v>778</v>
      </c>
      <c r="C786" s="30">
        <v>0.56540697674418605</v>
      </c>
      <c r="D786" s="28">
        <v>36389</v>
      </c>
      <c r="E786" s="14">
        <v>7.1690108214572668E-4</v>
      </c>
      <c r="F786" s="14">
        <v>2.0329892150643403E-3</v>
      </c>
      <c r="G786" s="14">
        <v>1.3151096707526566E-3</v>
      </c>
      <c r="H786" s="14">
        <v>1.2280124115357615E-3</v>
      </c>
    </row>
    <row r="787" spans="2:8" x14ac:dyDescent="0.25">
      <c r="B787" s="29">
        <v>779</v>
      </c>
      <c r="C787" s="30">
        <v>0.56613372093023251</v>
      </c>
      <c r="D787" s="28">
        <v>36390</v>
      </c>
      <c r="E787" s="14">
        <v>7.2119613016718986E-4</v>
      </c>
      <c r="F787" s="14">
        <v>2.036002319329544E-3</v>
      </c>
      <c r="G787" s="14">
        <v>1.331494602691663E-3</v>
      </c>
      <c r="H787" s="14">
        <v>1.2317321261650972E-3</v>
      </c>
    </row>
    <row r="788" spans="2:8" x14ac:dyDescent="0.25">
      <c r="B788" s="29">
        <v>780</v>
      </c>
      <c r="C788" s="30">
        <v>0.56686046511627908</v>
      </c>
      <c r="D788" s="28">
        <v>36391</v>
      </c>
      <c r="E788" s="14">
        <v>7.2789248495408465E-4</v>
      </c>
      <c r="F788" s="14">
        <v>2.0531998753414715E-3</v>
      </c>
      <c r="G788" s="14">
        <v>1.3375254289906824E-3</v>
      </c>
      <c r="H788" s="14">
        <v>1.2345178549444391E-3</v>
      </c>
    </row>
    <row r="789" spans="2:8" x14ac:dyDescent="0.25">
      <c r="B789" s="29">
        <v>781</v>
      </c>
      <c r="C789" s="30">
        <v>0.56758720930232553</v>
      </c>
      <c r="D789" s="28">
        <v>36392</v>
      </c>
      <c r="E789" s="14">
        <v>7.3329143096589888E-4</v>
      </c>
      <c r="F789" s="14">
        <v>2.0819658680670816E-3</v>
      </c>
      <c r="G789" s="14">
        <v>1.3429760412111413E-3</v>
      </c>
      <c r="H789" s="14">
        <v>1.2350702370982792E-3</v>
      </c>
    </row>
    <row r="790" spans="2:8" x14ac:dyDescent="0.25">
      <c r="B790" s="29">
        <v>782</v>
      </c>
      <c r="C790" s="30">
        <v>0.5683139534883721</v>
      </c>
      <c r="D790" s="28">
        <v>36395</v>
      </c>
      <c r="E790" s="14">
        <v>7.4749588877254247E-4</v>
      </c>
      <c r="F790" s="14">
        <v>2.1002005691543868E-3</v>
      </c>
      <c r="G790" s="14">
        <v>1.3508139667459673E-3</v>
      </c>
      <c r="H790" s="14">
        <v>1.2402676645743903E-3</v>
      </c>
    </row>
    <row r="791" spans="2:8" x14ac:dyDescent="0.25">
      <c r="B791" s="29">
        <v>783</v>
      </c>
      <c r="C791" s="30">
        <v>0.56904069767441856</v>
      </c>
      <c r="D791" s="28">
        <v>36396</v>
      </c>
      <c r="E791" s="14">
        <v>7.7302109115007234E-4</v>
      </c>
      <c r="F791" s="14">
        <v>2.1254145312028516E-3</v>
      </c>
      <c r="G791" s="14">
        <v>1.3586153937032996E-3</v>
      </c>
      <c r="H791" s="14">
        <v>1.2444359126150496E-3</v>
      </c>
    </row>
    <row r="792" spans="2:8" x14ac:dyDescent="0.25">
      <c r="B792" s="29">
        <v>784</v>
      </c>
      <c r="C792" s="30">
        <v>0.56976744186046513</v>
      </c>
      <c r="D792" s="28">
        <v>36397</v>
      </c>
      <c r="E792" s="14">
        <v>7.7433799361537048E-4</v>
      </c>
      <c r="F792" s="14">
        <v>2.1259407287725907E-3</v>
      </c>
      <c r="G792" s="14">
        <v>1.3656335352096871E-3</v>
      </c>
      <c r="H792" s="14">
        <v>1.2498524172928074E-3</v>
      </c>
    </row>
    <row r="793" spans="2:8" x14ac:dyDescent="0.25">
      <c r="B793" s="29">
        <v>785</v>
      </c>
      <c r="C793" s="30">
        <v>0.57049418604651159</v>
      </c>
      <c r="D793" s="28">
        <v>36398</v>
      </c>
      <c r="E793" s="14">
        <v>7.7703527740147216E-4</v>
      </c>
      <c r="F793" s="14">
        <v>2.151982016558085E-3</v>
      </c>
      <c r="G793" s="14">
        <v>1.3664398612396322E-3</v>
      </c>
      <c r="H793" s="14">
        <v>1.2499247095370879E-3</v>
      </c>
    </row>
    <row r="794" spans="2:8" x14ac:dyDescent="0.25">
      <c r="B794" s="29">
        <v>786</v>
      </c>
      <c r="C794" s="30">
        <v>0.57122093023255816</v>
      </c>
      <c r="D794" s="28">
        <v>36399</v>
      </c>
      <c r="E794" s="14">
        <v>7.860242321275912E-4</v>
      </c>
      <c r="F794" s="14">
        <v>2.1782594970010116E-3</v>
      </c>
      <c r="G794" s="14">
        <v>1.3774782309241562E-3</v>
      </c>
      <c r="H794" s="14">
        <v>1.2582623414286068E-3</v>
      </c>
    </row>
    <row r="795" spans="2:8" x14ac:dyDescent="0.25">
      <c r="B795" s="29">
        <v>787</v>
      </c>
      <c r="C795" s="30">
        <v>0.57194767441860461</v>
      </c>
      <c r="D795" s="28">
        <v>36402</v>
      </c>
      <c r="E795" s="14">
        <v>7.93886909640662E-4</v>
      </c>
      <c r="F795" s="14">
        <v>2.1941935965368309E-3</v>
      </c>
      <c r="G795" s="14">
        <v>1.424030359122197E-3</v>
      </c>
      <c r="H795" s="14">
        <v>1.2648401873156081E-3</v>
      </c>
    </row>
    <row r="796" spans="2:8" x14ac:dyDescent="0.25">
      <c r="B796" s="29">
        <v>788</v>
      </c>
      <c r="C796" s="30">
        <v>0.57267441860465118</v>
      </c>
      <c r="D796" s="28">
        <v>36403</v>
      </c>
      <c r="E796" s="14">
        <v>7.9569102705367989E-4</v>
      </c>
      <c r="F796" s="14">
        <v>2.2407806788113938E-3</v>
      </c>
      <c r="G796" s="14">
        <v>1.4517866341965391E-3</v>
      </c>
      <c r="H796" s="14">
        <v>1.2735546049376101E-3</v>
      </c>
    </row>
    <row r="797" spans="2:8" x14ac:dyDescent="0.25">
      <c r="B797" s="29">
        <v>789</v>
      </c>
      <c r="C797" s="30">
        <v>0.57340116279069764</v>
      </c>
      <c r="D797" s="28">
        <v>36404</v>
      </c>
      <c r="E797" s="14">
        <v>8.1224871055529668E-4</v>
      </c>
      <c r="F797" s="14">
        <v>2.2451465214903266E-3</v>
      </c>
      <c r="G797" s="14">
        <v>1.4762326542663295E-3</v>
      </c>
      <c r="H797" s="14">
        <v>1.2803714118170496E-3</v>
      </c>
    </row>
    <row r="798" spans="2:8" x14ac:dyDescent="0.25">
      <c r="B798" s="29">
        <v>790</v>
      </c>
      <c r="C798" s="30">
        <v>0.57412790697674421</v>
      </c>
      <c r="D798" s="28">
        <v>36405</v>
      </c>
      <c r="E798" s="14">
        <v>8.1973612303842813E-4</v>
      </c>
      <c r="F798" s="14">
        <v>2.2461371377795469E-3</v>
      </c>
      <c r="G798" s="14">
        <v>1.4810080127105607E-3</v>
      </c>
      <c r="H798" s="14">
        <v>1.2891588349611461E-3</v>
      </c>
    </row>
    <row r="799" spans="2:8" x14ac:dyDescent="0.25">
      <c r="B799" s="29">
        <v>791</v>
      </c>
      <c r="C799" s="30">
        <v>0.57485465116279066</v>
      </c>
      <c r="D799" s="28">
        <v>36406</v>
      </c>
      <c r="E799" s="14">
        <v>8.2236842105265495E-4</v>
      </c>
      <c r="F799" s="14">
        <v>2.2518334882759561E-3</v>
      </c>
      <c r="G799" s="14">
        <v>1.4877672470794412E-3</v>
      </c>
      <c r="H799" s="14">
        <v>1.2900400526457915E-3</v>
      </c>
    </row>
    <row r="800" spans="2:8" x14ac:dyDescent="0.25">
      <c r="B800" s="29">
        <v>792</v>
      </c>
      <c r="C800" s="30">
        <v>0.57558139534883723</v>
      </c>
      <c r="D800" s="28">
        <v>36409</v>
      </c>
      <c r="E800" s="14">
        <v>8.2879403386360018E-4</v>
      </c>
      <c r="F800" s="14">
        <v>2.2587675847036692E-3</v>
      </c>
      <c r="G800" s="14">
        <v>1.5046627289447834E-3</v>
      </c>
      <c r="H800" s="14">
        <v>1.3083469174921983E-3</v>
      </c>
    </row>
    <row r="801" spans="2:8" x14ac:dyDescent="0.25">
      <c r="B801" s="29">
        <v>793</v>
      </c>
      <c r="C801" s="30">
        <v>0.57630813953488369</v>
      </c>
      <c r="D801" s="28">
        <v>36410</v>
      </c>
      <c r="E801" s="14">
        <v>8.3238412336816836E-4</v>
      </c>
      <c r="F801" s="14">
        <v>2.3141919164739733E-3</v>
      </c>
      <c r="G801" s="14">
        <v>1.5269718753383454E-3</v>
      </c>
      <c r="H801" s="14">
        <v>1.3232967093170121E-3</v>
      </c>
    </row>
    <row r="802" spans="2:8" x14ac:dyDescent="0.25">
      <c r="B802" s="29">
        <v>794</v>
      </c>
      <c r="C802" s="30">
        <v>0.57703488372093026</v>
      </c>
      <c r="D802" s="28">
        <v>36411</v>
      </c>
      <c r="E802" s="14">
        <v>8.3598060524980866E-4</v>
      </c>
      <c r="F802" s="14">
        <v>2.3273680404916064E-3</v>
      </c>
      <c r="G802" s="14">
        <v>1.5364594783466856E-3</v>
      </c>
      <c r="H802" s="14">
        <v>1.3247630815178993E-3</v>
      </c>
    </row>
    <row r="803" spans="2:8" x14ac:dyDescent="0.25">
      <c r="B803" s="29">
        <v>795</v>
      </c>
      <c r="C803" s="30">
        <v>0.57776162790697672</v>
      </c>
      <c r="D803" s="28">
        <v>36412</v>
      </c>
      <c r="E803" s="14">
        <v>8.4147234736664522E-4</v>
      </c>
      <c r="F803" s="14">
        <v>2.331100769432215E-3</v>
      </c>
      <c r="G803" s="14">
        <v>1.5407876455930669E-3</v>
      </c>
      <c r="H803" s="14">
        <v>1.3354558165350916E-3</v>
      </c>
    </row>
    <row r="804" spans="2:8" x14ac:dyDescent="0.25">
      <c r="B804" s="29">
        <v>796</v>
      </c>
      <c r="C804" s="30">
        <v>0.57848837209302328</v>
      </c>
      <c r="D804" s="28">
        <v>36413</v>
      </c>
      <c r="E804" s="14">
        <v>8.4443500679198813E-4</v>
      </c>
      <c r="F804" s="14">
        <v>2.3510336441021629E-3</v>
      </c>
      <c r="G804" s="14">
        <v>1.5541206474776192E-3</v>
      </c>
      <c r="H804" s="14">
        <v>1.3389798360226471E-3</v>
      </c>
    </row>
    <row r="805" spans="2:8" x14ac:dyDescent="0.25">
      <c r="B805" s="29">
        <v>797</v>
      </c>
      <c r="C805" s="30">
        <v>0.57921511627906974</v>
      </c>
      <c r="D805" s="28">
        <v>36416</v>
      </c>
      <c r="E805" s="14">
        <v>8.5190642266774752E-4</v>
      </c>
      <c r="F805" s="14">
        <v>2.3524321985777252E-3</v>
      </c>
      <c r="G805" s="14">
        <v>1.5553642321368688E-3</v>
      </c>
      <c r="H805" s="14">
        <v>1.3569602045088614E-3</v>
      </c>
    </row>
    <row r="806" spans="2:8" x14ac:dyDescent="0.25">
      <c r="B806" s="29">
        <v>798</v>
      </c>
      <c r="C806" s="30">
        <v>0.57994186046511631</v>
      </c>
      <c r="D806" s="28">
        <v>36417</v>
      </c>
      <c r="E806" s="14">
        <v>8.5602118998173715E-4</v>
      </c>
      <c r="F806" s="14">
        <v>2.3531549538908791E-3</v>
      </c>
      <c r="G806" s="14">
        <v>1.5591814500854895E-3</v>
      </c>
      <c r="H806" s="14">
        <v>1.3577107904638288E-3</v>
      </c>
    </row>
    <row r="807" spans="2:8" x14ac:dyDescent="0.25">
      <c r="B807" s="29">
        <v>799</v>
      </c>
      <c r="C807" s="30">
        <v>0.58066860465116277</v>
      </c>
      <c r="D807" s="28">
        <v>36418</v>
      </c>
      <c r="E807" s="14">
        <v>8.8391359311734696E-4</v>
      </c>
      <c r="F807" s="14">
        <v>2.3645159536880289E-3</v>
      </c>
      <c r="G807" s="14">
        <v>1.5843000971020871E-3</v>
      </c>
      <c r="H807" s="14">
        <v>1.362390406011338E-3</v>
      </c>
    </row>
    <row r="808" spans="2:8" x14ac:dyDescent="0.25">
      <c r="B808" s="29">
        <v>800</v>
      </c>
      <c r="C808" s="30">
        <v>0.58139534883720934</v>
      </c>
      <c r="D808" s="28">
        <v>36419</v>
      </c>
      <c r="E808" s="14">
        <v>9.1792548839619847E-4</v>
      </c>
      <c r="F808" s="14">
        <v>2.4017642699618591E-3</v>
      </c>
      <c r="G808" s="14">
        <v>1.5845430382335213E-3</v>
      </c>
      <c r="H808" s="14">
        <v>1.3685467066245848E-3</v>
      </c>
    </row>
    <row r="809" spans="2:8" x14ac:dyDescent="0.25">
      <c r="B809" s="29">
        <v>801</v>
      </c>
      <c r="C809" s="30">
        <v>0.58212209302325579</v>
      </c>
      <c r="D809" s="28">
        <v>36420</v>
      </c>
      <c r="E809" s="14">
        <v>9.2406148068735483E-4</v>
      </c>
      <c r="F809" s="14">
        <v>2.4024673089870774E-3</v>
      </c>
      <c r="G809" s="14">
        <v>1.5893001987532518E-3</v>
      </c>
      <c r="H809" s="14">
        <v>1.3740397509340418E-3</v>
      </c>
    </row>
    <row r="810" spans="2:8" x14ac:dyDescent="0.25">
      <c r="B810" s="29">
        <v>802</v>
      </c>
      <c r="C810" s="30">
        <v>0.58284883720930236</v>
      </c>
      <c r="D810" s="28">
        <v>36423</v>
      </c>
      <c r="E810" s="14">
        <v>9.333430282354449E-4</v>
      </c>
      <c r="F810" s="14">
        <v>2.4027342344656866E-3</v>
      </c>
      <c r="G810" s="14">
        <v>1.5963335071207396E-3</v>
      </c>
      <c r="H810" s="14">
        <v>1.4023910053424515E-3</v>
      </c>
    </row>
    <row r="811" spans="2:8" x14ac:dyDescent="0.25">
      <c r="B811" s="29">
        <v>803</v>
      </c>
      <c r="C811" s="30">
        <v>0.58357558139534882</v>
      </c>
      <c r="D811" s="28">
        <v>36424</v>
      </c>
      <c r="E811" s="14">
        <v>9.4043527368170565E-4</v>
      </c>
      <c r="F811" s="14">
        <v>2.4109991754204252E-3</v>
      </c>
      <c r="G811" s="14">
        <v>1.6139784723563366E-3</v>
      </c>
      <c r="H811" s="14">
        <v>1.4114312654486484E-3</v>
      </c>
    </row>
    <row r="812" spans="2:8" x14ac:dyDescent="0.25">
      <c r="B812" s="29">
        <v>804</v>
      </c>
      <c r="C812" s="30">
        <v>0.58430232558139539</v>
      </c>
      <c r="D812" s="28">
        <v>36425</v>
      </c>
      <c r="E812" s="14">
        <v>9.6385170508184181E-4</v>
      </c>
      <c r="F812" s="14">
        <v>2.4113746305745032E-3</v>
      </c>
      <c r="G812" s="14">
        <v>1.6175026036999718E-3</v>
      </c>
      <c r="H812" s="14">
        <v>1.415918286779028E-3</v>
      </c>
    </row>
    <row r="813" spans="2:8" x14ac:dyDescent="0.25">
      <c r="B813" s="29">
        <v>805</v>
      </c>
      <c r="C813" s="30">
        <v>0.58502906976744184</v>
      </c>
      <c r="D813" s="28">
        <v>36426</v>
      </c>
      <c r="E813" s="14">
        <v>9.6914505738299184E-4</v>
      </c>
      <c r="F813" s="14">
        <v>2.4118788401423785E-3</v>
      </c>
      <c r="G813" s="14">
        <v>1.6452780519908838E-3</v>
      </c>
      <c r="H813" s="14">
        <v>1.4363064775447798E-3</v>
      </c>
    </row>
    <row r="814" spans="2:8" x14ac:dyDescent="0.25">
      <c r="B814" s="29">
        <v>806</v>
      </c>
      <c r="C814" s="30">
        <v>0.58575581395348841</v>
      </c>
      <c r="D814" s="28">
        <v>36427</v>
      </c>
      <c r="E814" s="14">
        <v>1.0260993330353241E-3</v>
      </c>
      <c r="F814" s="14">
        <v>2.5365014206200076E-3</v>
      </c>
      <c r="G814" s="14">
        <v>1.6587510648002901E-3</v>
      </c>
      <c r="H814" s="14">
        <v>1.4381684783663308E-3</v>
      </c>
    </row>
    <row r="815" spans="2:8" x14ac:dyDescent="0.25">
      <c r="B815" s="29">
        <v>807</v>
      </c>
      <c r="C815" s="30">
        <v>0.58648255813953487</v>
      </c>
      <c r="D815" s="28">
        <v>36430</v>
      </c>
      <c r="E815" s="14">
        <v>1.0467347690399365E-3</v>
      </c>
      <c r="F815" s="14">
        <v>2.5377150362804191E-3</v>
      </c>
      <c r="G815" s="14">
        <v>1.6801002483191052E-3</v>
      </c>
      <c r="H815" s="14">
        <v>1.4477405404224486E-3</v>
      </c>
    </row>
    <row r="816" spans="2:8" x14ac:dyDescent="0.25">
      <c r="B816" s="29">
        <v>808</v>
      </c>
      <c r="C816" s="30">
        <v>0.58720930232558144</v>
      </c>
      <c r="D816" s="28">
        <v>36431</v>
      </c>
      <c r="E816" s="14">
        <v>1.066667493695439E-3</v>
      </c>
      <c r="F816" s="14">
        <v>2.5752571619794828E-3</v>
      </c>
      <c r="G816" s="14">
        <v>1.6851565791320411E-3</v>
      </c>
      <c r="H816" s="14">
        <v>1.4484726596763141E-3</v>
      </c>
    </row>
    <row r="817" spans="2:8" x14ac:dyDescent="0.25">
      <c r="B817" s="29">
        <v>809</v>
      </c>
      <c r="C817" s="30">
        <v>0.5879360465116279</v>
      </c>
      <c r="D817" s="28">
        <v>36432</v>
      </c>
      <c r="E817" s="14">
        <v>1.0866465818653026E-3</v>
      </c>
      <c r="F817" s="14">
        <v>2.5987972508589863E-3</v>
      </c>
      <c r="G817" s="14">
        <v>1.6867667760838145E-3</v>
      </c>
      <c r="H817" s="14">
        <v>1.4589328329820185E-3</v>
      </c>
    </row>
    <row r="818" spans="2:8" x14ac:dyDescent="0.25">
      <c r="B818" s="29">
        <v>810</v>
      </c>
      <c r="C818" s="30">
        <v>0.58866279069767447</v>
      </c>
      <c r="D818" s="28">
        <v>36433</v>
      </c>
      <c r="E818" s="14">
        <v>1.0944868340696523E-3</v>
      </c>
      <c r="F818" s="14">
        <v>2.6090377066156911E-3</v>
      </c>
      <c r="G818" s="14">
        <v>1.7016535672624844E-3</v>
      </c>
      <c r="H818" s="14">
        <v>1.461459688927702E-3</v>
      </c>
    </row>
    <row r="819" spans="2:8" x14ac:dyDescent="0.25">
      <c r="B819" s="29">
        <v>811</v>
      </c>
      <c r="C819" s="30">
        <v>0.58938953488372092</v>
      </c>
      <c r="D819" s="28">
        <v>36434</v>
      </c>
      <c r="E819" s="14">
        <v>1.1042071249673935E-3</v>
      </c>
      <c r="F819" s="14">
        <v>2.6099706744868723E-3</v>
      </c>
      <c r="G819" s="14">
        <v>1.7086873237015521E-3</v>
      </c>
      <c r="H819" s="14">
        <v>1.4724137205163411E-3</v>
      </c>
    </row>
    <row r="820" spans="2:8" x14ac:dyDescent="0.25">
      <c r="B820" s="29">
        <v>812</v>
      </c>
      <c r="C820" s="30">
        <v>0.59011627906976749</v>
      </c>
      <c r="D820" s="28">
        <v>36437</v>
      </c>
      <c r="E820" s="14">
        <v>1.1047300066022725E-3</v>
      </c>
      <c r="F820" s="14">
        <v>2.6113157013725186E-3</v>
      </c>
      <c r="G820" s="14">
        <v>1.7155110793423134E-3</v>
      </c>
      <c r="H820" s="14">
        <v>1.4908807468113406E-3</v>
      </c>
    </row>
    <row r="821" spans="2:8" x14ac:dyDescent="0.25">
      <c r="B821" s="29">
        <v>813</v>
      </c>
      <c r="C821" s="30">
        <v>0.59084302325581395</v>
      </c>
      <c r="D821" s="28">
        <v>36438</v>
      </c>
      <c r="E821" s="14">
        <v>1.1771109787808154E-3</v>
      </c>
      <c r="F821" s="14">
        <v>2.6174161103431626E-3</v>
      </c>
      <c r="G821" s="14">
        <v>1.7226369075327153E-3</v>
      </c>
      <c r="H821" s="14">
        <v>1.4921209137045645E-3</v>
      </c>
    </row>
    <row r="822" spans="2:8" x14ac:dyDescent="0.25">
      <c r="B822" s="29">
        <v>814</v>
      </c>
      <c r="C822" s="30">
        <v>0.59156976744186052</v>
      </c>
      <c r="D822" s="28">
        <v>36439</v>
      </c>
      <c r="E822" s="14">
        <v>1.1810806569449994E-3</v>
      </c>
      <c r="F822" s="14">
        <v>2.6188822347796847E-3</v>
      </c>
      <c r="G822" s="14">
        <v>1.7247160225437597E-3</v>
      </c>
      <c r="H822" s="14">
        <v>1.4935207503107067E-3</v>
      </c>
    </row>
    <row r="823" spans="2:8" x14ac:dyDescent="0.25">
      <c r="B823" s="29">
        <v>815</v>
      </c>
      <c r="C823" s="30">
        <v>0.59229651162790697</v>
      </c>
      <c r="D823" s="28">
        <v>36440</v>
      </c>
      <c r="E823" s="14">
        <v>1.2297962052003619E-3</v>
      </c>
      <c r="F823" s="14">
        <v>2.6189561182514698E-3</v>
      </c>
      <c r="G823" s="14">
        <v>1.7334340626882216E-3</v>
      </c>
      <c r="H823" s="14">
        <v>1.5012217296583863E-3</v>
      </c>
    </row>
    <row r="824" spans="2:8" x14ac:dyDescent="0.25">
      <c r="B824" s="29">
        <v>816</v>
      </c>
      <c r="C824" s="30">
        <v>0.59302325581395354</v>
      </c>
      <c r="D824" s="28">
        <v>36441</v>
      </c>
      <c r="E824" s="14">
        <v>1.2318847455061732E-3</v>
      </c>
      <c r="F824" s="14">
        <v>2.6754966887416742E-3</v>
      </c>
      <c r="G824" s="14">
        <v>1.7445548741805705E-3</v>
      </c>
      <c r="H824" s="14">
        <v>1.5133728858769846E-3</v>
      </c>
    </row>
    <row r="825" spans="2:8" x14ac:dyDescent="0.25">
      <c r="B825" s="29">
        <v>817</v>
      </c>
      <c r="C825" s="30">
        <v>0.59375</v>
      </c>
      <c r="D825" s="28">
        <v>36444</v>
      </c>
      <c r="E825" s="14">
        <v>1.2373760349377871E-3</v>
      </c>
      <c r="F825" s="14">
        <v>2.6801243121490348E-3</v>
      </c>
      <c r="G825" s="14">
        <v>1.7476064394545965E-3</v>
      </c>
      <c r="H825" s="14">
        <v>1.5201194582695086E-3</v>
      </c>
    </row>
    <row r="826" spans="2:8" x14ac:dyDescent="0.25">
      <c r="B826" s="29">
        <v>818</v>
      </c>
      <c r="C826" s="30">
        <v>0.59447674418604646</v>
      </c>
      <c r="D826" s="28">
        <v>36445</v>
      </c>
      <c r="E826" s="14">
        <v>1.2489689710541985E-3</v>
      </c>
      <c r="F826" s="14">
        <v>2.6876696480220286E-3</v>
      </c>
      <c r="G826" s="14">
        <v>1.7477315615292977E-3</v>
      </c>
      <c r="H826" s="14">
        <v>1.5423437850150992E-3</v>
      </c>
    </row>
    <row r="827" spans="2:8" x14ac:dyDescent="0.25">
      <c r="B827" s="29">
        <v>819</v>
      </c>
      <c r="C827" s="30">
        <v>0.59520348837209303</v>
      </c>
      <c r="D827" s="28">
        <v>36446</v>
      </c>
      <c r="E827" s="14">
        <v>1.3203498927214508E-3</v>
      </c>
      <c r="F827" s="14">
        <v>2.6899568101081961E-3</v>
      </c>
      <c r="G827" s="14">
        <v>1.7498177818269234E-3</v>
      </c>
      <c r="H827" s="14">
        <v>1.5431596583311614E-3</v>
      </c>
    </row>
    <row r="828" spans="2:8" x14ac:dyDescent="0.25">
      <c r="B828" s="29">
        <v>820</v>
      </c>
      <c r="C828" s="30">
        <v>0.59593023255813948</v>
      </c>
      <c r="D828" s="28">
        <v>36447</v>
      </c>
      <c r="E828" s="14">
        <v>1.352739726027341E-3</v>
      </c>
      <c r="F828" s="14">
        <v>2.6930748395408433E-3</v>
      </c>
      <c r="G828" s="14">
        <v>1.7523055046491098E-3</v>
      </c>
      <c r="H828" s="14">
        <v>1.543775037285755E-3</v>
      </c>
    </row>
    <row r="829" spans="2:8" x14ac:dyDescent="0.25">
      <c r="B829" s="29">
        <v>821</v>
      </c>
      <c r="C829" s="30">
        <v>0.59665697674418605</v>
      </c>
      <c r="D829" s="28">
        <v>36448</v>
      </c>
      <c r="E829" s="14">
        <v>1.3804393725640463E-3</v>
      </c>
      <c r="F829" s="14">
        <v>2.7237566051097062E-3</v>
      </c>
      <c r="G829" s="14">
        <v>1.7719352620764184E-3</v>
      </c>
      <c r="H829" s="14">
        <v>1.5441356678671529E-3</v>
      </c>
    </row>
    <row r="830" spans="2:8" x14ac:dyDescent="0.25">
      <c r="B830" s="29">
        <v>822</v>
      </c>
      <c r="C830" s="30">
        <v>0.59738372093023251</v>
      </c>
      <c r="D830" s="28">
        <v>36451</v>
      </c>
      <c r="E830" s="14">
        <v>1.3832212954252299E-3</v>
      </c>
      <c r="F830" s="14">
        <v>2.7349318005354117E-3</v>
      </c>
      <c r="G830" s="14">
        <v>1.7727723030400711E-3</v>
      </c>
      <c r="H830" s="14">
        <v>1.5443049468979678E-3</v>
      </c>
    </row>
    <row r="831" spans="2:8" x14ac:dyDescent="0.25">
      <c r="B831" s="29">
        <v>823</v>
      </c>
      <c r="C831" s="30">
        <v>0.59811046511627908</v>
      </c>
      <c r="D831" s="28">
        <v>36452</v>
      </c>
      <c r="E831" s="14">
        <v>1.4525500322790652E-3</v>
      </c>
      <c r="F831" s="14">
        <v>2.7514137965027885E-3</v>
      </c>
      <c r="G831" s="14">
        <v>1.7807573456241066E-3</v>
      </c>
      <c r="H831" s="14">
        <v>1.5471540567800757E-3</v>
      </c>
    </row>
    <row r="832" spans="2:8" x14ac:dyDescent="0.25">
      <c r="B832" s="29">
        <v>824</v>
      </c>
      <c r="C832" s="30">
        <v>0.59883720930232553</v>
      </c>
      <c r="D832" s="28">
        <v>36453</v>
      </c>
      <c r="E832" s="14">
        <v>1.4676077992872294E-3</v>
      </c>
      <c r="F832" s="14">
        <v>2.7623717852629515E-3</v>
      </c>
      <c r="G832" s="14">
        <v>1.782223755318002E-3</v>
      </c>
      <c r="H832" s="14">
        <v>1.5524496233203509E-3</v>
      </c>
    </row>
    <row r="833" spans="2:8" x14ac:dyDescent="0.25">
      <c r="B833" s="29">
        <v>825</v>
      </c>
      <c r="C833" s="30">
        <v>0.5995639534883721</v>
      </c>
      <c r="D833" s="28">
        <v>36454</v>
      </c>
      <c r="E833" s="14">
        <v>1.5065282892532394E-3</v>
      </c>
      <c r="F833" s="14">
        <v>2.8595148049073149E-3</v>
      </c>
      <c r="G833" s="14">
        <v>1.7897562773070419E-3</v>
      </c>
      <c r="H833" s="14">
        <v>1.5527658342984639E-3</v>
      </c>
    </row>
    <row r="834" spans="2:8" x14ac:dyDescent="0.25">
      <c r="B834" s="29">
        <v>826</v>
      </c>
      <c r="C834" s="30">
        <v>0.60029069767441856</v>
      </c>
      <c r="D834" s="28">
        <v>36455</v>
      </c>
      <c r="E834" s="14">
        <v>1.5129758066996235E-3</v>
      </c>
      <c r="F834" s="14">
        <v>2.8668038812114105E-3</v>
      </c>
      <c r="G834" s="14">
        <v>1.8067632535996303E-3</v>
      </c>
      <c r="H834" s="14">
        <v>1.5528345480589679E-3</v>
      </c>
    </row>
    <row r="835" spans="2:8" x14ac:dyDescent="0.25">
      <c r="B835" s="29">
        <v>827</v>
      </c>
      <c r="C835" s="30">
        <v>0.60101744186046513</v>
      </c>
      <c r="D835" s="28">
        <v>36458</v>
      </c>
      <c r="E835" s="14">
        <v>1.5187310158621958E-3</v>
      </c>
      <c r="F835" s="14">
        <v>2.8769011974423275E-3</v>
      </c>
      <c r="G835" s="14">
        <v>1.8086537123778168E-3</v>
      </c>
      <c r="H835" s="14">
        <v>1.5550808697710752E-3</v>
      </c>
    </row>
    <row r="836" spans="2:8" x14ac:dyDescent="0.25">
      <c r="B836" s="29">
        <v>828</v>
      </c>
      <c r="C836" s="30">
        <v>0.60174418604651159</v>
      </c>
      <c r="D836" s="28">
        <v>36459</v>
      </c>
      <c r="E836" s="14">
        <v>1.5455649271487459E-3</v>
      </c>
      <c r="F836" s="14">
        <v>2.94371100617008E-3</v>
      </c>
      <c r="G836" s="14">
        <v>1.8169852876437353E-3</v>
      </c>
      <c r="H836" s="14">
        <v>1.5558512872603015E-3</v>
      </c>
    </row>
    <row r="837" spans="2:8" x14ac:dyDescent="0.25">
      <c r="B837" s="29">
        <v>829</v>
      </c>
      <c r="C837" s="30">
        <v>0.60247093023255816</v>
      </c>
      <c r="D837" s="28">
        <v>36460</v>
      </c>
      <c r="E837" s="14">
        <v>1.547627741368629E-3</v>
      </c>
      <c r="F837" s="14">
        <v>2.9681076829466413E-3</v>
      </c>
      <c r="G837" s="14">
        <v>1.8274227628347628E-3</v>
      </c>
      <c r="H837" s="14">
        <v>1.5599932867602639E-3</v>
      </c>
    </row>
    <row r="838" spans="2:8" x14ac:dyDescent="0.25">
      <c r="B838" s="29">
        <v>830</v>
      </c>
      <c r="C838" s="30">
        <v>0.60319767441860461</v>
      </c>
      <c r="D838" s="28">
        <v>36461</v>
      </c>
      <c r="E838" s="14">
        <v>1.5525631034041254E-3</v>
      </c>
      <c r="F838" s="14">
        <v>2.9825817227391305E-3</v>
      </c>
      <c r="G838" s="14">
        <v>1.8402649981597019E-3</v>
      </c>
      <c r="H838" s="14">
        <v>1.5692741443997346E-3</v>
      </c>
    </row>
    <row r="839" spans="2:8" x14ac:dyDescent="0.25">
      <c r="B839" s="29">
        <v>831</v>
      </c>
      <c r="C839" s="30">
        <v>0.60392441860465118</v>
      </c>
      <c r="D839" s="28">
        <v>36462</v>
      </c>
      <c r="E839" s="14">
        <v>1.554376152111514E-3</v>
      </c>
      <c r="F839" s="14">
        <v>3.0130780408581526E-3</v>
      </c>
      <c r="G839" s="14">
        <v>1.8558901313041609E-3</v>
      </c>
      <c r="H839" s="14">
        <v>1.5774812331332821E-3</v>
      </c>
    </row>
    <row r="840" spans="2:8" x14ac:dyDescent="0.25">
      <c r="B840" s="29">
        <v>832</v>
      </c>
      <c r="C840" s="30">
        <v>0.60465116279069764</v>
      </c>
      <c r="D840" s="28">
        <v>36465</v>
      </c>
      <c r="E840" s="14">
        <v>1.5579289930585105E-3</v>
      </c>
      <c r="F840" s="14">
        <v>3.0461500537037889E-3</v>
      </c>
      <c r="G840" s="14">
        <v>1.8627755355478115E-3</v>
      </c>
      <c r="H840" s="14">
        <v>1.5792545917040714E-3</v>
      </c>
    </row>
    <row r="841" spans="2:8" x14ac:dyDescent="0.25">
      <c r="B841" s="29">
        <v>833</v>
      </c>
      <c r="C841" s="30">
        <v>0.60537790697674421</v>
      </c>
      <c r="D841" s="28">
        <v>36466</v>
      </c>
      <c r="E841" s="14">
        <v>1.5745642011300021E-3</v>
      </c>
      <c r="F841" s="14">
        <v>3.0899305614506822E-3</v>
      </c>
      <c r="G841" s="14">
        <v>1.8645365283886939E-3</v>
      </c>
      <c r="H841" s="14">
        <v>1.5828579360582574E-3</v>
      </c>
    </row>
    <row r="842" spans="2:8" x14ac:dyDescent="0.25">
      <c r="B842" s="29">
        <v>834</v>
      </c>
      <c r="C842" s="30">
        <v>0.60610465116279066</v>
      </c>
      <c r="D842" s="28">
        <v>36467</v>
      </c>
      <c r="E842" s="14">
        <v>1.5982556191849184E-3</v>
      </c>
      <c r="F842" s="14">
        <v>3.1639965526606417E-3</v>
      </c>
      <c r="G842" s="14">
        <v>1.8806812245324434E-3</v>
      </c>
      <c r="H842" s="14">
        <v>1.5884590561828561E-3</v>
      </c>
    </row>
    <row r="843" spans="2:8" x14ac:dyDescent="0.25">
      <c r="B843" s="29">
        <v>835</v>
      </c>
      <c r="C843" s="30">
        <v>0.60683139534883723</v>
      </c>
      <c r="D843" s="28">
        <v>36468</v>
      </c>
      <c r="E843" s="14">
        <v>1.5994684901916578E-3</v>
      </c>
      <c r="F843" s="14">
        <v>3.1736304143228367E-3</v>
      </c>
      <c r="G843" s="14">
        <v>1.888719563004182E-3</v>
      </c>
      <c r="H843" s="14">
        <v>1.6003646921597615E-3</v>
      </c>
    </row>
    <row r="844" spans="2:8" x14ac:dyDescent="0.25">
      <c r="B844" s="29">
        <v>836</v>
      </c>
      <c r="C844" s="30">
        <v>0.60755813953488369</v>
      </c>
      <c r="D844" s="28">
        <v>36469</v>
      </c>
      <c r="E844" s="14">
        <v>1.6175787969399114E-3</v>
      </c>
      <c r="F844" s="14">
        <v>3.1817954655251057E-3</v>
      </c>
      <c r="G844" s="14">
        <v>1.8950360583249726E-3</v>
      </c>
      <c r="H844" s="14">
        <v>1.6213912683054723E-3</v>
      </c>
    </row>
    <row r="845" spans="2:8" x14ac:dyDescent="0.25">
      <c r="B845" s="29">
        <v>837</v>
      </c>
      <c r="C845" s="30">
        <v>0.60828488372093026</v>
      </c>
      <c r="D845" s="28">
        <v>36472</v>
      </c>
      <c r="E845" s="14">
        <v>1.6300944917944094E-3</v>
      </c>
      <c r="F845" s="14">
        <v>3.1961522051124902E-3</v>
      </c>
      <c r="G845" s="14">
        <v>1.8978509628801987E-3</v>
      </c>
      <c r="H845" s="14">
        <v>1.6227228038301789E-3</v>
      </c>
    </row>
    <row r="846" spans="2:8" x14ac:dyDescent="0.25">
      <c r="B846" s="29">
        <v>838</v>
      </c>
      <c r="C846" s="30">
        <v>0.60901162790697672</v>
      </c>
      <c r="D846" s="28">
        <v>36473</v>
      </c>
      <c r="E846" s="14">
        <v>1.6362250022339264E-3</v>
      </c>
      <c r="F846" s="14">
        <v>3.1996414967510045E-3</v>
      </c>
      <c r="G846" s="14">
        <v>1.9127702914201183E-3</v>
      </c>
      <c r="H846" s="14">
        <v>1.6284261886823971E-3</v>
      </c>
    </row>
    <row r="847" spans="2:8" x14ac:dyDescent="0.25">
      <c r="B847" s="29">
        <v>839</v>
      </c>
      <c r="C847" s="30">
        <v>0.60973837209302328</v>
      </c>
      <c r="D847" s="28">
        <v>36474</v>
      </c>
      <c r="E847" s="14">
        <v>1.6497054097481811E-3</v>
      </c>
      <c r="F847" s="14">
        <v>3.2023399775584771E-3</v>
      </c>
      <c r="G847" s="14">
        <v>1.9139900711764302E-3</v>
      </c>
      <c r="H847" s="14">
        <v>1.6561823494291475E-3</v>
      </c>
    </row>
    <row r="848" spans="2:8" x14ac:dyDescent="0.25">
      <c r="B848" s="29">
        <v>840</v>
      </c>
      <c r="C848" s="30">
        <v>0.61046511627906974</v>
      </c>
      <c r="D848" s="28">
        <v>36475</v>
      </c>
      <c r="E848" s="14">
        <v>1.6590894400032585E-3</v>
      </c>
      <c r="F848" s="14">
        <v>3.2158427923174582E-3</v>
      </c>
      <c r="G848" s="14">
        <v>1.914306626879192E-3</v>
      </c>
      <c r="H848" s="14">
        <v>1.6571182889713934E-3</v>
      </c>
    </row>
    <row r="849" spans="2:8" x14ac:dyDescent="0.25">
      <c r="B849" s="29">
        <v>841</v>
      </c>
      <c r="C849" s="30">
        <v>0.61119186046511631</v>
      </c>
      <c r="D849" s="28">
        <v>36476</v>
      </c>
      <c r="E849" s="14">
        <v>1.6625128981306858E-3</v>
      </c>
      <c r="F849" s="14">
        <v>3.2440238829134493E-3</v>
      </c>
      <c r="G849" s="14">
        <v>1.9323138077624868E-3</v>
      </c>
      <c r="H849" s="14">
        <v>1.6572283265632313E-3</v>
      </c>
    </row>
    <row r="850" spans="2:8" x14ac:dyDescent="0.25">
      <c r="B850" s="29">
        <v>842</v>
      </c>
      <c r="C850" s="30">
        <v>0.61191860465116277</v>
      </c>
      <c r="D850" s="28">
        <v>36479</v>
      </c>
      <c r="E850" s="14">
        <v>1.6651344201710216E-3</v>
      </c>
      <c r="F850" s="14">
        <v>3.2515364811975811E-3</v>
      </c>
      <c r="G850" s="14">
        <v>1.9329422140976771E-3</v>
      </c>
      <c r="H850" s="14">
        <v>1.6773135125388364E-3</v>
      </c>
    </row>
    <row r="851" spans="2:8" x14ac:dyDescent="0.25">
      <c r="B851" s="29">
        <v>843</v>
      </c>
      <c r="C851" s="30">
        <v>0.61264534883720934</v>
      </c>
      <c r="D851" s="28">
        <v>36480</v>
      </c>
      <c r="E851" s="14">
        <v>1.6756615598885194E-3</v>
      </c>
      <c r="F851" s="14">
        <v>3.2639794601458938E-3</v>
      </c>
      <c r="G851" s="14">
        <v>1.9351433765320003E-3</v>
      </c>
      <c r="H851" s="14">
        <v>1.6900647258550896E-3</v>
      </c>
    </row>
    <row r="852" spans="2:8" x14ac:dyDescent="0.25">
      <c r="B852" s="29">
        <v>844</v>
      </c>
      <c r="C852" s="30">
        <v>0.61337209302325579</v>
      </c>
      <c r="D852" s="28">
        <v>36481</v>
      </c>
      <c r="E852" s="14">
        <v>1.685270299846664E-3</v>
      </c>
      <c r="F852" s="14">
        <v>3.2798248505903072E-3</v>
      </c>
      <c r="G852" s="14">
        <v>1.9370271923826454E-3</v>
      </c>
      <c r="H852" s="14">
        <v>1.6921700875324409E-3</v>
      </c>
    </row>
    <row r="853" spans="2:8" x14ac:dyDescent="0.25">
      <c r="B853" s="29">
        <v>845</v>
      </c>
      <c r="C853" s="30">
        <v>0.61409883720930236</v>
      </c>
      <c r="D853" s="28">
        <v>36482</v>
      </c>
      <c r="E853" s="14">
        <v>1.6887881300968743E-3</v>
      </c>
      <c r="F853" s="14">
        <v>3.3080742845661426E-3</v>
      </c>
      <c r="G853" s="14">
        <v>1.9518239726916686E-3</v>
      </c>
      <c r="H853" s="14">
        <v>1.6932838297120333E-3</v>
      </c>
    </row>
    <row r="854" spans="2:8" x14ac:dyDescent="0.25">
      <c r="B854" s="29">
        <v>846</v>
      </c>
      <c r="C854" s="30">
        <v>0.61482558139534882</v>
      </c>
      <c r="D854" s="28">
        <v>36483</v>
      </c>
      <c r="E854" s="14">
        <v>1.7133693404249861E-3</v>
      </c>
      <c r="F854" s="14">
        <v>3.3237747653804828E-3</v>
      </c>
      <c r="G854" s="14">
        <v>1.9673150835344266E-3</v>
      </c>
      <c r="H854" s="14">
        <v>1.698404689264521E-3</v>
      </c>
    </row>
    <row r="855" spans="2:8" x14ac:dyDescent="0.25">
      <c r="B855" s="29">
        <v>847</v>
      </c>
      <c r="C855" s="30">
        <v>0.61555232558139539</v>
      </c>
      <c r="D855" s="28">
        <v>36486</v>
      </c>
      <c r="E855" s="14">
        <v>1.7168083714846905E-3</v>
      </c>
      <c r="F855" s="14">
        <v>3.3284023668638252E-3</v>
      </c>
      <c r="G855" s="14">
        <v>1.9684375869584159E-3</v>
      </c>
      <c r="H855" s="14">
        <v>1.7013623375769617E-3</v>
      </c>
    </row>
    <row r="856" spans="2:8" x14ac:dyDescent="0.25">
      <c r="B856" s="29">
        <v>848</v>
      </c>
      <c r="C856" s="30">
        <v>0.61627906976744184</v>
      </c>
      <c r="D856" s="28">
        <v>36487</v>
      </c>
      <c r="E856" s="14">
        <v>1.7369140577454534E-3</v>
      </c>
      <c r="F856" s="14">
        <v>3.3363599890194884E-3</v>
      </c>
      <c r="G856" s="14">
        <v>1.9806449946093707E-3</v>
      </c>
      <c r="H856" s="14">
        <v>1.7206269431814915E-3</v>
      </c>
    </row>
    <row r="857" spans="2:8" x14ac:dyDescent="0.25">
      <c r="B857" s="29">
        <v>849</v>
      </c>
      <c r="C857" s="30">
        <v>0.61700581395348841</v>
      </c>
      <c r="D857" s="28">
        <v>36488</v>
      </c>
      <c r="E857" s="14">
        <v>1.7764659320500531E-3</v>
      </c>
      <c r="F857" s="14">
        <v>3.3459333345391418E-3</v>
      </c>
      <c r="G857" s="14">
        <v>2.003240674469442E-3</v>
      </c>
      <c r="H857" s="14">
        <v>1.7363838048617634E-3</v>
      </c>
    </row>
    <row r="858" spans="2:8" x14ac:dyDescent="0.25">
      <c r="B858" s="29">
        <v>850</v>
      </c>
      <c r="C858" s="30">
        <v>0.61773255813953487</v>
      </c>
      <c r="D858" s="28">
        <v>36489</v>
      </c>
      <c r="E858" s="14">
        <v>1.7799939421694333E-3</v>
      </c>
      <c r="F858" s="14">
        <v>3.3991702646496424E-3</v>
      </c>
      <c r="G858" s="14">
        <v>2.0246043590170792E-3</v>
      </c>
      <c r="H858" s="14">
        <v>1.7421611001160466E-3</v>
      </c>
    </row>
    <row r="859" spans="2:8" x14ac:dyDescent="0.25">
      <c r="B859" s="29">
        <v>851</v>
      </c>
      <c r="C859" s="30">
        <v>0.61845930232558144</v>
      </c>
      <c r="D859" s="28">
        <v>36490</v>
      </c>
      <c r="E859" s="14">
        <v>1.7938601684013289E-3</v>
      </c>
      <c r="F859" s="14">
        <v>3.4342080219789128E-3</v>
      </c>
      <c r="G859" s="14">
        <v>2.0248471500501353E-3</v>
      </c>
      <c r="H859" s="14">
        <v>1.7597661037604523E-3</v>
      </c>
    </row>
    <row r="860" spans="2:8" x14ac:dyDescent="0.25">
      <c r="B860" s="29">
        <v>852</v>
      </c>
      <c r="C860" s="30">
        <v>0.6191860465116279</v>
      </c>
      <c r="D860" s="28">
        <v>36493</v>
      </c>
      <c r="E860" s="14">
        <v>1.8185238707970619E-3</v>
      </c>
      <c r="F860" s="14">
        <v>3.4349010801741908E-3</v>
      </c>
      <c r="G860" s="14">
        <v>2.0290765819084289E-3</v>
      </c>
      <c r="H860" s="14">
        <v>1.765518521435894E-3</v>
      </c>
    </row>
    <row r="861" spans="2:8" x14ac:dyDescent="0.25">
      <c r="B861" s="29">
        <v>853</v>
      </c>
      <c r="C861" s="30">
        <v>0.61991279069767447</v>
      </c>
      <c r="D861" s="28">
        <v>36494</v>
      </c>
      <c r="E861" s="14">
        <v>1.8327021133894839E-3</v>
      </c>
      <c r="F861" s="14">
        <v>3.4524300418010689E-3</v>
      </c>
      <c r="G861" s="14">
        <v>2.0349692958201437E-3</v>
      </c>
      <c r="H861" s="14">
        <v>1.7817054332517793E-3</v>
      </c>
    </row>
    <row r="862" spans="2:8" x14ac:dyDescent="0.25">
      <c r="B862" s="29">
        <v>854</v>
      </c>
      <c r="C862" s="30">
        <v>0.62063953488372092</v>
      </c>
      <c r="D862" s="28">
        <v>36495</v>
      </c>
      <c r="E862" s="14">
        <v>1.8692016968826497E-3</v>
      </c>
      <c r="F862" s="14">
        <v>3.471238311136382E-3</v>
      </c>
      <c r="G862" s="14">
        <v>2.0351203628328207E-3</v>
      </c>
      <c r="H862" s="14">
        <v>1.8080753072514224E-3</v>
      </c>
    </row>
    <row r="863" spans="2:8" x14ac:dyDescent="0.25">
      <c r="B863" s="29">
        <v>855</v>
      </c>
      <c r="C863" s="30">
        <v>0.62136627906976749</v>
      </c>
      <c r="D863" s="28">
        <v>36496</v>
      </c>
      <c r="E863" s="14">
        <v>1.8712676613692469E-3</v>
      </c>
      <c r="F863" s="14">
        <v>3.4928522559503072E-3</v>
      </c>
      <c r="G863" s="14">
        <v>2.0369425690442977E-3</v>
      </c>
      <c r="H863" s="14">
        <v>1.8271798597938819E-3</v>
      </c>
    </row>
    <row r="864" spans="2:8" x14ac:dyDescent="0.25">
      <c r="B864" s="29">
        <v>856</v>
      </c>
      <c r="C864" s="30">
        <v>0.62209302325581395</v>
      </c>
      <c r="D864" s="28">
        <v>36497</v>
      </c>
      <c r="E864" s="14">
        <v>1.9226594288250798E-3</v>
      </c>
      <c r="F864" s="14">
        <v>3.5258996288525246E-3</v>
      </c>
      <c r="G864" s="14">
        <v>2.0427482437348488E-3</v>
      </c>
      <c r="H864" s="14">
        <v>1.8493779819670486E-3</v>
      </c>
    </row>
    <row r="865" spans="2:8" x14ac:dyDescent="0.25">
      <c r="B865" s="29">
        <v>857</v>
      </c>
      <c r="C865" s="30">
        <v>0.62281976744186052</v>
      </c>
      <c r="D865" s="28">
        <v>36500</v>
      </c>
      <c r="E865" s="14">
        <v>1.9536439348297741E-3</v>
      </c>
      <c r="F865" s="14">
        <v>3.5304369846791417E-3</v>
      </c>
      <c r="G865" s="14">
        <v>2.0550254281737068E-3</v>
      </c>
      <c r="H865" s="14">
        <v>1.8533334505676188E-3</v>
      </c>
    </row>
    <row r="866" spans="2:8" x14ac:dyDescent="0.25">
      <c r="B866" s="29">
        <v>858</v>
      </c>
      <c r="C866" s="30">
        <v>0.62354651162790697</v>
      </c>
      <c r="D866" s="28">
        <v>36501</v>
      </c>
      <c r="E866" s="14">
        <v>1.9579821156749944E-3</v>
      </c>
      <c r="F866" s="14">
        <v>3.5646033531668841E-3</v>
      </c>
      <c r="G866" s="14">
        <v>2.0569077819680981E-3</v>
      </c>
      <c r="H866" s="14">
        <v>1.8599826132223998E-3</v>
      </c>
    </row>
    <row r="867" spans="2:8" x14ac:dyDescent="0.25">
      <c r="B867" s="29">
        <v>859</v>
      </c>
      <c r="C867" s="30">
        <v>0.62427325581395354</v>
      </c>
      <c r="D867" s="28">
        <v>36502</v>
      </c>
      <c r="E867" s="14">
        <v>2.0451070336391375E-3</v>
      </c>
      <c r="F867" s="14">
        <v>3.5795277691317295E-3</v>
      </c>
      <c r="G867" s="14">
        <v>2.0971688220901008E-3</v>
      </c>
      <c r="H867" s="14">
        <v>1.8633772494749843E-3</v>
      </c>
    </row>
    <row r="868" spans="2:8" x14ac:dyDescent="0.25">
      <c r="B868" s="29">
        <v>860</v>
      </c>
      <c r="C868" s="30">
        <v>0.625</v>
      </c>
      <c r="D868" s="28">
        <v>36503</v>
      </c>
      <c r="E868" s="14">
        <v>2.0571812418657132E-3</v>
      </c>
      <c r="F868" s="14">
        <v>3.6339165545087315E-3</v>
      </c>
      <c r="G868" s="14">
        <v>2.1151887745840536E-3</v>
      </c>
      <c r="H868" s="14">
        <v>1.8661470789454349E-3</v>
      </c>
    </row>
    <row r="869" spans="2:8" x14ac:dyDescent="0.25">
      <c r="B869" s="29">
        <v>861</v>
      </c>
      <c r="C869" s="30">
        <v>0.62572674418604646</v>
      </c>
      <c r="D869" s="28">
        <v>36504</v>
      </c>
      <c r="E869" s="14">
        <v>2.0572906461853169E-3</v>
      </c>
      <c r="F869" s="14">
        <v>3.6530456205929873E-3</v>
      </c>
      <c r="G869" s="14">
        <v>2.1343129309761011E-3</v>
      </c>
      <c r="H869" s="14">
        <v>1.8698860451254354E-3</v>
      </c>
    </row>
    <row r="870" spans="2:8" x14ac:dyDescent="0.25">
      <c r="B870" s="29">
        <v>862</v>
      </c>
      <c r="C870" s="30">
        <v>0.62645348837209303</v>
      </c>
      <c r="D870" s="28">
        <v>36507</v>
      </c>
      <c r="E870" s="14">
        <v>2.0633236169684821E-3</v>
      </c>
      <c r="F870" s="14">
        <v>3.662639655882316E-3</v>
      </c>
      <c r="G870" s="14">
        <v>2.1513680494262832E-3</v>
      </c>
      <c r="H870" s="14">
        <v>1.8862595595319446E-3</v>
      </c>
    </row>
    <row r="871" spans="2:8" x14ac:dyDescent="0.25">
      <c r="B871" s="29">
        <v>863</v>
      </c>
      <c r="C871" s="30">
        <v>0.62718023255813948</v>
      </c>
      <c r="D871" s="28">
        <v>36508</v>
      </c>
      <c r="E871" s="14">
        <v>2.0834938957852156E-3</v>
      </c>
      <c r="F871" s="14">
        <v>3.6900958466452582E-3</v>
      </c>
      <c r="G871" s="14">
        <v>2.1807433848504143E-3</v>
      </c>
      <c r="H871" s="14">
        <v>1.9002377910300795E-3</v>
      </c>
    </row>
    <row r="872" spans="2:8" x14ac:dyDescent="0.25">
      <c r="B872" s="29">
        <v>864</v>
      </c>
      <c r="C872" s="30">
        <v>0.62790697674418605</v>
      </c>
      <c r="D872" s="28">
        <v>36509</v>
      </c>
      <c r="E872" s="14">
        <v>2.0842906846976206E-3</v>
      </c>
      <c r="F872" s="14">
        <v>3.7063221715192274E-3</v>
      </c>
      <c r="G872" s="14">
        <v>2.1994760050281226E-3</v>
      </c>
      <c r="H872" s="14">
        <v>1.9083753658935001E-3</v>
      </c>
    </row>
    <row r="873" spans="2:8" x14ac:dyDescent="0.25">
      <c r="B873" s="29">
        <v>865</v>
      </c>
      <c r="C873" s="30">
        <v>0.62863372093023251</v>
      </c>
      <c r="D873" s="28">
        <v>36510</v>
      </c>
      <c r="E873" s="14">
        <v>2.1031460705989158E-3</v>
      </c>
      <c r="F873" s="14">
        <v>3.7251615053572884E-3</v>
      </c>
      <c r="G873" s="14">
        <v>2.2008004834392914E-3</v>
      </c>
      <c r="H873" s="14">
        <v>1.920183931891328E-3</v>
      </c>
    </row>
    <row r="874" spans="2:8" x14ac:dyDescent="0.25">
      <c r="B874" s="29">
        <v>866</v>
      </c>
      <c r="C874" s="30">
        <v>0.62936046511627908</v>
      </c>
      <c r="D874" s="28">
        <v>36511</v>
      </c>
      <c r="E874" s="14">
        <v>2.1179739192203062E-3</v>
      </c>
      <c r="F874" s="14">
        <v>3.7712371380713705E-3</v>
      </c>
      <c r="G874" s="14">
        <v>2.2022213711221372E-3</v>
      </c>
      <c r="H874" s="14">
        <v>1.9231889973170932E-3</v>
      </c>
    </row>
    <row r="875" spans="2:8" x14ac:dyDescent="0.25">
      <c r="B875" s="29">
        <v>867</v>
      </c>
      <c r="C875" s="30">
        <v>0.63008720930232553</v>
      </c>
      <c r="D875" s="28">
        <v>36514</v>
      </c>
      <c r="E875" s="14">
        <v>2.1533175958776685E-3</v>
      </c>
      <c r="F875" s="14">
        <v>3.795866722901664E-3</v>
      </c>
      <c r="G875" s="14">
        <v>2.2056906588323599E-3</v>
      </c>
      <c r="H875" s="14">
        <v>1.9365974814848695E-3</v>
      </c>
    </row>
    <row r="876" spans="2:8" x14ac:dyDescent="0.25">
      <c r="B876" s="29">
        <v>868</v>
      </c>
      <c r="C876" s="30">
        <v>0.6308139534883721</v>
      </c>
      <c r="D876" s="28">
        <v>36515</v>
      </c>
      <c r="E876" s="14">
        <v>2.1659692695787935E-3</v>
      </c>
      <c r="F876" s="14">
        <v>3.8000019338433333E-3</v>
      </c>
      <c r="G876" s="14">
        <v>2.2087473290250959E-3</v>
      </c>
      <c r="H876" s="14">
        <v>1.9383110602262832E-3</v>
      </c>
    </row>
    <row r="877" spans="2:8" x14ac:dyDescent="0.25">
      <c r="B877" s="29">
        <v>869</v>
      </c>
      <c r="C877" s="30">
        <v>0.63154069767441856</v>
      </c>
      <c r="D877" s="28">
        <v>36516</v>
      </c>
      <c r="E877" s="14">
        <v>2.1676047966996403E-3</v>
      </c>
      <c r="F877" s="14">
        <v>3.8121402003303828E-3</v>
      </c>
      <c r="G877" s="14">
        <v>2.2167926618308353E-3</v>
      </c>
      <c r="H877" s="14">
        <v>1.9401051250803381E-3</v>
      </c>
    </row>
    <row r="878" spans="2:8" x14ac:dyDescent="0.25">
      <c r="B878" s="29">
        <v>870</v>
      </c>
      <c r="C878" s="30">
        <v>0.63226744186046513</v>
      </c>
      <c r="D878" s="28">
        <v>36517</v>
      </c>
      <c r="E878" s="14">
        <v>2.1877829769290091E-3</v>
      </c>
      <c r="F878" s="14">
        <v>3.8620184421336301E-3</v>
      </c>
      <c r="G878" s="14">
        <v>2.2248348256637129E-3</v>
      </c>
      <c r="H878" s="14">
        <v>1.9498967326940125E-3</v>
      </c>
    </row>
    <row r="879" spans="2:8" x14ac:dyDescent="0.25">
      <c r="B879" s="29">
        <v>871</v>
      </c>
      <c r="C879" s="30">
        <v>0.63299418604651159</v>
      </c>
      <c r="D879" s="28">
        <v>36518</v>
      </c>
      <c r="E879" s="14">
        <v>2.2020237033242296E-3</v>
      </c>
      <c r="F879" s="14">
        <v>3.8621134381922051E-3</v>
      </c>
      <c r="G879" s="14">
        <v>2.2329143618324832E-3</v>
      </c>
      <c r="H879" s="14">
        <v>1.9563630586050484E-3</v>
      </c>
    </row>
    <row r="880" spans="2:8" x14ac:dyDescent="0.25">
      <c r="B880" s="29">
        <v>872</v>
      </c>
      <c r="C880" s="30">
        <v>0.63372093023255816</v>
      </c>
      <c r="D880" s="28">
        <v>36521</v>
      </c>
      <c r="E880" s="14">
        <v>2.2402260333422852E-3</v>
      </c>
      <c r="F880" s="14">
        <v>3.8632439928678597E-3</v>
      </c>
      <c r="G880" s="14">
        <v>2.2444037564230968E-3</v>
      </c>
      <c r="H880" s="14">
        <v>1.9573549613136846E-3</v>
      </c>
    </row>
    <row r="881" spans="2:8" x14ac:dyDescent="0.25">
      <c r="B881" s="29">
        <v>873</v>
      </c>
      <c r="C881" s="30">
        <v>0.63444767441860461</v>
      </c>
      <c r="D881" s="28">
        <v>36522</v>
      </c>
      <c r="E881" s="14">
        <v>2.2606168254482029E-3</v>
      </c>
      <c r="F881" s="14">
        <v>3.8803530295650202E-3</v>
      </c>
      <c r="G881" s="14">
        <v>2.2535251434161463E-3</v>
      </c>
      <c r="H881" s="14">
        <v>1.9612326498573479E-3</v>
      </c>
    </row>
    <row r="882" spans="2:8" x14ac:dyDescent="0.25">
      <c r="B882" s="29">
        <v>874</v>
      </c>
      <c r="C882" s="30">
        <v>0.63517441860465118</v>
      </c>
      <c r="D882" s="28">
        <v>36523</v>
      </c>
      <c r="E882" s="14">
        <v>2.2811238951363499E-3</v>
      </c>
      <c r="F882" s="14">
        <v>3.8875377699167935E-3</v>
      </c>
      <c r="G882" s="14">
        <v>2.2544993293152071E-3</v>
      </c>
      <c r="H882" s="14">
        <v>1.9712359660855718E-3</v>
      </c>
    </row>
    <row r="883" spans="2:8" x14ac:dyDescent="0.25">
      <c r="B883" s="29">
        <v>875</v>
      </c>
      <c r="C883" s="30">
        <v>0.63590116279069764</v>
      </c>
      <c r="D883" s="28">
        <v>36524</v>
      </c>
      <c r="E883" s="14">
        <v>2.3479690068091141E-3</v>
      </c>
      <c r="F883" s="14">
        <v>3.8919037439018034E-3</v>
      </c>
      <c r="G883" s="14">
        <v>2.2578240986474984E-3</v>
      </c>
      <c r="H883" s="14">
        <v>1.9745575862640586E-3</v>
      </c>
    </row>
    <row r="884" spans="2:8" x14ac:dyDescent="0.25">
      <c r="B884" s="29">
        <v>876</v>
      </c>
      <c r="C884" s="30">
        <v>0.63662790697674421</v>
      </c>
      <c r="D884" s="28">
        <v>36525</v>
      </c>
      <c r="E884" s="14">
        <v>2.3527566465377792E-3</v>
      </c>
      <c r="F884" s="14">
        <v>3.9510739355217428E-3</v>
      </c>
      <c r="G884" s="14">
        <v>2.2604210625432053E-3</v>
      </c>
      <c r="H884" s="14">
        <v>1.9773464862534733E-3</v>
      </c>
    </row>
    <row r="885" spans="2:8" x14ac:dyDescent="0.25">
      <c r="B885" s="29">
        <v>877</v>
      </c>
      <c r="C885" s="30">
        <v>0.63735465116279066</v>
      </c>
      <c r="D885" s="28">
        <v>36528</v>
      </c>
      <c r="E885" s="14">
        <v>2.3650285935834514E-3</v>
      </c>
      <c r="F885" s="14">
        <v>3.9518634464532632E-3</v>
      </c>
      <c r="G885" s="14">
        <v>2.2946076719709829E-3</v>
      </c>
      <c r="H885" s="14">
        <v>1.9825575096230176E-3</v>
      </c>
    </row>
    <row r="886" spans="2:8" x14ac:dyDescent="0.25">
      <c r="B886" s="29">
        <v>878</v>
      </c>
      <c r="C886" s="30">
        <v>0.63808139534883723</v>
      </c>
      <c r="D886" s="28">
        <v>36529</v>
      </c>
      <c r="E886" s="14">
        <v>2.3668194454879998E-3</v>
      </c>
      <c r="F886" s="14">
        <v>3.9640439827950402E-3</v>
      </c>
      <c r="G886" s="14">
        <v>2.2980684672813112E-3</v>
      </c>
      <c r="H886" s="14">
        <v>1.990400545332038E-3</v>
      </c>
    </row>
    <row r="887" spans="2:8" x14ac:dyDescent="0.25">
      <c r="B887" s="29">
        <v>879</v>
      </c>
      <c r="C887" s="30">
        <v>0.63880813953488369</v>
      </c>
      <c r="D887" s="28">
        <v>36530</v>
      </c>
      <c r="E887" s="14">
        <v>2.3687219111019342E-3</v>
      </c>
      <c r="F887" s="14">
        <v>3.9652337326756548E-3</v>
      </c>
      <c r="G887" s="14">
        <v>2.2985795956858013E-3</v>
      </c>
      <c r="H887" s="14">
        <v>2.0091723498220308E-3</v>
      </c>
    </row>
    <row r="888" spans="2:8" x14ac:dyDescent="0.25">
      <c r="B888" s="29">
        <v>880</v>
      </c>
      <c r="C888" s="30">
        <v>0.63953488372093026</v>
      </c>
      <c r="D888" s="28">
        <v>36531</v>
      </c>
      <c r="E888" s="14">
        <v>2.4217450517274308E-3</v>
      </c>
      <c r="F888" s="14">
        <v>3.9789800090554994E-3</v>
      </c>
      <c r="G888" s="14">
        <v>2.3164372654917997E-3</v>
      </c>
      <c r="H888" s="14">
        <v>2.0239496950882115E-3</v>
      </c>
    </row>
    <row r="889" spans="2:8" x14ac:dyDescent="0.25">
      <c r="B889" s="29">
        <v>881</v>
      </c>
      <c r="C889" s="30">
        <v>0.64026162790697672</v>
      </c>
      <c r="D889" s="28">
        <v>36532</v>
      </c>
      <c r="E889" s="14">
        <v>2.4439715368755888E-3</v>
      </c>
      <c r="F889" s="14">
        <v>3.9882009451284173E-3</v>
      </c>
      <c r="G889" s="14">
        <v>2.323274676502507E-3</v>
      </c>
      <c r="H889" s="14">
        <v>2.0290553592329005E-3</v>
      </c>
    </row>
    <row r="890" spans="2:8" x14ac:dyDescent="0.25">
      <c r="B890" s="29">
        <v>882</v>
      </c>
      <c r="C890" s="30">
        <v>0.64098837209302328</v>
      </c>
      <c r="D890" s="28">
        <v>36535</v>
      </c>
      <c r="E890" s="14">
        <v>2.465446442884156E-3</v>
      </c>
      <c r="F890" s="14">
        <v>3.9933373195524258E-3</v>
      </c>
      <c r="G890" s="14">
        <v>2.3243948069617826E-3</v>
      </c>
      <c r="H890" s="14">
        <v>2.0468994121905621E-3</v>
      </c>
    </row>
    <row r="891" spans="2:8" x14ac:dyDescent="0.25">
      <c r="B891" s="29">
        <v>883</v>
      </c>
      <c r="C891" s="30">
        <v>0.64171511627906974</v>
      </c>
      <c r="D891" s="28">
        <v>36536</v>
      </c>
      <c r="E891" s="14">
        <v>2.4660104124978321E-3</v>
      </c>
      <c r="F891" s="14">
        <v>4.0300080600161881E-3</v>
      </c>
      <c r="G891" s="14">
        <v>2.334889132143525E-3</v>
      </c>
      <c r="H891" s="14">
        <v>2.0490294905515238E-3</v>
      </c>
    </row>
    <row r="892" spans="2:8" x14ac:dyDescent="0.25">
      <c r="B892" s="29">
        <v>884</v>
      </c>
      <c r="C892" s="30">
        <v>0.64244186046511631</v>
      </c>
      <c r="D892" s="28">
        <v>36537</v>
      </c>
      <c r="E892" s="14">
        <v>2.544531390844984E-3</v>
      </c>
      <c r="F892" s="14">
        <v>4.0313069582931238E-3</v>
      </c>
      <c r="G892" s="14">
        <v>2.3394418760096514E-3</v>
      </c>
      <c r="H892" s="14">
        <v>2.0600702743659438E-3</v>
      </c>
    </row>
    <row r="893" spans="2:8" x14ac:dyDescent="0.25">
      <c r="B893" s="29">
        <v>885</v>
      </c>
      <c r="C893" s="30">
        <v>0.64316860465116277</v>
      </c>
      <c r="D893" s="28">
        <v>36538</v>
      </c>
      <c r="E893" s="14">
        <v>2.560636182902698E-3</v>
      </c>
      <c r="F893" s="14">
        <v>4.0489799119618475E-3</v>
      </c>
      <c r="G893" s="14">
        <v>2.340689786949568E-3</v>
      </c>
      <c r="H893" s="14">
        <v>2.0618846818629025E-3</v>
      </c>
    </row>
    <row r="894" spans="2:8" x14ac:dyDescent="0.25">
      <c r="B894" s="29">
        <v>886</v>
      </c>
      <c r="C894" s="30">
        <v>0.64389534883720934</v>
      </c>
      <c r="D894" s="28">
        <v>36539</v>
      </c>
      <c r="E894" s="14">
        <v>2.5633073145043817E-3</v>
      </c>
      <c r="F894" s="14">
        <v>4.0935512921977946E-3</v>
      </c>
      <c r="G894" s="14">
        <v>2.3418623056121746E-3</v>
      </c>
      <c r="H894" s="14">
        <v>2.0791916331686536E-3</v>
      </c>
    </row>
    <row r="895" spans="2:8" x14ac:dyDescent="0.25">
      <c r="B895" s="29">
        <v>887</v>
      </c>
      <c r="C895" s="30">
        <v>0.64462209302325579</v>
      </c>
      <c r="D895" s="28">
        <v>36542</v>
      </c>
      <c r="E895" s="14">
        <v>2.5981965459267453E-3</v>
      </c>
      <c r="F895" s="14">
        <v>4.0965055223609603E-3</v>
      </c>
      <c r="G895" s="14">
        <v>2.3570199651723467E-3</v>
      </c>
      <c r="H895" s="14">
        <v>2.0925069260395281E-3</v>
      </c>
    </row>
    <row r="896" spans="2:8" x14ac:dyDescent="0.25">
      <c r="B896" s="29">
        <v>888</v>
      </c>
      <c r="C896" s="30">
        <v>0.64534883720930236</v>
      </c>
      <c r="D896" s="28">
        <v>36543</v>
      </c>
      <c r="E896" s="14">
        <v>2.6288442081490171E-3</v>
      </c>
      <c r="F896" s="14">
        <v>4.1104101846829444E-3</v>
      </c>
      <c r="G896" s="14">
        <v>2.3633957269806327E-3</v>
      </c>
      <c r="H896" s="14">
        <v>2.0925983110797299E-3</v>
      </c>
    </row>
    <row r="897" spans="2:8" x14ac:dyDescent="0.25">
      <c r="B897" s="29">
        <v>889</v>
      </c>
      <c r="C897" s="30">
        <v>0.64607558139534882</v>
      </c>
      <c r="D897" s="28">
        <v>36544</v>
      </c>
      <c r="E897" s="14">
        <v>2.6658382400939207E-3</v>
      </c>
      <c r="F897" s="14">
        <v>4.113900183068564E-3</v>
      </c>
      <c r="G897" s="14">
        <v>2.3643514806102051E-3</v>
      </c>
      <c r="H897" s="14">
        <v>2.0930197189215956E-3</v>
      </c>
    </row>
    <row r="898" spans="2:8" x14ac:dyDescent="0.25">
      <c r="B898" s="29">
        <v>890</v>
      </c>
      <c r="C898" s="30">
        <v>0.64680232558139539</v>
      </c>
      <c r="D898" s="28">
        <v>36545</v>
      </c>
      <c r="E898" s="14">
        <v>2.7030481320702293E-3</v>
      </c>
      <c r="F898" s="14">
        <v>4.1233177436288404E-3</v>
      </c>
      <c r="G898" s="14">
        <v>2.3757885503667975E-3</v>
      </c>
      <c r="H898" s="14">
        <v>2.1042692192537963E-3</v>
      </c>
    </row>
    <row r="899" spans="2:8" x14ac:dyDescent="0.25">
      <c r="B899" s="29">
        <v>891</v>
      </c>
      <c r="C899" s="30">
        <v>0.64752906976744184</v>
      </c>
      <c r="D899" s="28">
        <v>36546</v>
      </c>
      <c r="E899" s="14">
        <v>2.7309936190573758E-3</v>
      </c>
      <c r="F899" s="14">
        <v>4.1702424372451752E-3</v>
      </c>
      <c r="G899" s="14">
        <v>2.3783944489397246E-3</v>
      </c>
      <c r="H899" s="14">
        <v>2.1137586725354486E-3</v>
      </c>
    </row>
    <row r="900" spans="2:8" x14ac:dyDescent="0.25">
      <c r="B900" s="29">
        <v>892</v>
      </c>
      <c r="C900" s="30">
        <v>0.64825581395348841</v>
      </c>
      <c r="D900" s="28">
        <v>36549</v>
      </c>
      <c r="E900" s="14">
        <v>2.7462432552651794E-3</v>
      </c>
      <c r="F900" s="14">
        <v>4.1871807849813703E-3</v>
      </c>
      <c r="G900" s="14">
        <v>2.3803740587806654E-3</v>
      </c>
      <c r="H900" s="14">
        <v>2.116707973841803E-3</v>
      </c>
    </row>
    <row r="901" spans="2:8" x14ac:dyDescent="0.25">
      <c r="B901" s="29">
        <v>893</v>
      </c>
      <c r="C901" s="30">
        <v>0.64898255813953487</v>
      </c>
      <c r="D901" s="28">
        <v>36550</v>
      </c>
      <c r="E901" s="14">
        <v>2.7504187702713789E-3</v>
      </c>
      <c r="F901" s="14">
        <v>4.2059195475794287E-3</v>
      </c>
      <c r="G901" s="14">
        <v>2.3827654234729323E-3</v>
      </c>
      <c r="H901" s="14">
        <v>2.1336085219696883E-3</v>
      </c>
    </row>
    <row r="902" spans="2:8" x14ac:dyDescent="0.25">
      <c r="B902" s="29">
        <v>894</v>
      </c>
      <c r="C902" s="30">
        <v>0.64970930232558144</v>
      </c>
      <c r="D902" s="28">
        <v>36551</v>
      </c>
      <c r="E902" s="14">
        <v>2.7530364372470029E-3</v>
      </c>
      <c r="F902" s="14">
        <v>4.2213698975372971E-3</v>
      </c>
      <c r="G902" s="14">
        <v>2.3868673583709032E-3</v>
      </c>
      <c r="H902" s="14">
        <v>2.1578517859588862E-3</v>
      </c>
    </row>
    <row r="903" spans="2:8" x14ac:dyDescent="0.25">
      <c r="B903" s="29">
        <v>895</v>
      </c>
      <c r="C903" s="30">
        <v>0.6504360465116279</v>
      </c>
      <c r="D903" s="28">
        <v>36552</v>
      </c>
      <c r="E903" s="14">
        <v>2.7726611730489736E-3</v>
      </c>
      <c r="F903" s="14">
        <v>4.2230778785243839E-3</v>
      </c>
      <c r="G903" s="14">
        <v>2.3891381621117258E-3</v>
      </c>
      <c r="H903" s="14">
        <v>2.1618658036884671E-3</v>
      </c>
    </row>
    <row r="904" spans="2:8" x14ac:dyDescent="0.25">
      <c r="B904" s="29">
        <v>896</v>
      </c>
      <c r="C904" s="30">
        <v>0.65116279069767447</v>
      </c>
      <c r="D904" s="28">
        <v>36553</v>
      </c>
      <c r="E904" s="14">
        <v>2.7832112768884087E-3</v>
      </c>
      <c r="F904" s="14">
        <v>4.2422416390479611E-3</v>
      </c>
      <c r="G904" s="14">
        <v>2.4242978909090329E-3</v>
      </c>
      <c r="H904" s="14">
        <v>2.1642098352897543E-3</v>
      </c>
    </row>
    <row r="905" spans="2:8" x14ac:dyDescent="0.25">
      <c r="B905" s="29">
        <v>897</v>
      </c>
      <c r="C905" s="30">
        <v>0.65188953488372092</v>
      </c>
      <c r="D905" s="28">
        <v>36556</v>
      </c>
      <c r="E905" s="14">
        <v>2.7866632651059042E-3</v>
      </c>
      <c r="F905" s="14">
        <v>4.2858036663955268E-3</v>
      </c>
      <c r="G905" s="14">
        <v>2.4263813830376346E-3</v>
      </c>
      <c r="H905" s="14">
        <v>2.2024868204515435E-3</v>
      </c>
    </row>
    <row r="906" spans="2:8" x14ac:dyDescent="0.25">
      <c r="B906" s="29">
        <v>898</v>
      </c>
      <c r="C906" s="30">
        <v>0.65261627906976749</v>
      </c>
      <c r="D906" s="28">
        <v>36557</v>
      </c>
      <c r="E906" s="14">
        <v>2.8094428430438523E-3</v>
      </c>
      <c r="F906" s="14">
        <v>4.3284871431983341E-3</v>
      </c>
      <c r="G906" s="14">
        <v>2.4346325069324326E-3</v>
      </c>
      <c r="H906" s="14">
        <v>2.2196829124100591E-3</v>
      </c>
    </row>
    <row r="907" spans="2:8" x14ac:dyDescent="0.25">
      <c r="B907" s="29">
        <v>899</v>
      </c>
      <c r="C907" s="30">
        <v>0.65334302325581395</v>
      </c>
      <c r="D907" s="28">
        <v>36558</v>
      </c>
      <c r="E907" s="14">
        <v>2.8129395218001729E-3</v>
      </c>
      <c r="F907" s="14">
        <v>4.3564900707759868E-3</v>
      </c>
      <c r="G907" s="14">
        <v>2.4476150677572583E-3</v>
      </c>
      <c r="H907" s="14">
        <v>2.2220210789992479E-3</v>
      </c>
    </row>
    <row r="908" spans="2:8" x14ac:dyDescent="0.25">
      <c r="B908" s="29">
        <v>900</v>
      </c>
      <c r="C908" s="30">
        <v>0.65406976744186052</v>
      </c>
      <c r="D908" s="28">
        <v>36559</v>
      </c>
      <c r="E908" s="14">
        <v>2.8310789556464933E-3</v>
      </c>
      <c r="F908" s="14">
        <v>4.3784475596704286E-3</v>
      </c>
      <c r="G908" s="14">
        <v>2.4594453165880381E-3</v>
      </c>
      <c r="H908" s="14">
        <v>2.2362406646101009E-3</v>
      </c>
    </row>
    <row r="909" spans="2:8" x14ac:dyDescent="0.25">
      <c r="B909" s="29">
        <v>901</v>
      </c>
      <c r="C909" s="30">
        <v>0.65479651162790697</v>
      </c>
      <c r="D909" s="28">
        <v>36560</v>
      </c>
      <c r="E909" s="14">
        <v>2.8408217154145543E-3</v>
      </c>
      <c r="F909" s="14">
        <v>4.3837873810304018E-3</v>
      </c>
      <c r="G909" s="14">
        <v>2.4600949711082176E-3</v>
      </c>
      <c r="H909" s="14">
        <v>2.2376042607990866E-3</v>
      </c>
    </row>
    <row r="910" spans="2:8" x14ac:dyDescent="0.25">
      <c r="B910" s="29">
        <v>902</v>
      </c>
      <c r="C910" s="30">
        <v>0.65552325581395354</v>
      </c>
      <c r="D910" s="28">
        <v>36563</v>
      </c>
      <c r="E910" s="14">
        <v>2.8537854624812731E-3</v>
      </c>
      <c r="F910" s="14">
        <v>4.4843622240391401E-3</v>
      </c>
      <c r="G910" s="14">
        <v>2.481407555936066E-3</v>
      </c>
      <c r="H910" s="14">
        <v>2.2537636009872133E-3</v>
      </c>
    </row>
    <row r="911" spans="2:8" x14ac:dyDescent="0.25">
      <c r="B911" s="29">
        <v>903</v>
      </c>
      <c r="C911" s="30">
        <v>0.65625</v>
      </c>
      <c r="D911" s="28">
        <v>36564</v>
      </c>
      <c r="E911" s="14">
        <v>2.8661953231481352E-3</v>
      </c>
      <c r="F911" s="14">
        <v>4.5167856532626338E-3</v>
      </c>
      <c r="G911" s="14">
        <v>2.4823558043320926E-3</v>
      </c>
      <c r="H911" s="14">
        <v>2.2619817891740722E-3</v>
      </c>
    </row>
    <row r="912" spans="2:8" x14ac:dyDescent="0.25">
      <c r="B912" s="29">
        <v>904</v>
      </c>
      <c r="C912" s="30">
        <v>0.65697674418604646</v>
      </c>
      <c r="D912" s="28">
        <v>36565</v>
      </c>
      <c r="E912" s="14">
        <v>2.8719756683266429E-3</v>
      </c>
      <c r="F912" s="14">
        <v>4.529017308570138E-3</v>
      </c>
      <c r="G912" s="14">
        <v>2.48635198230307E-3</v>
      </c>
      <c r="H912" s="14">
        <v>2.2710271711058995E-3</v>
      </c>
    </row>
    <row r="913" spans="2:8" x14ac:dyDescent="0.25">
      <c r="B913" s="29">
        <v>905</v>
      </c>
      <c r="C913" s="30">
        <v>0.65770348837209303</v>
      </c>
      <c r="D913" s="28">
        <v>36566</v>
      </c>
      <c r="E913" s="14">
        <v>2.9197915097438631E-3</v>
      </c>
      <c r="F913" s="14">
        <v>4.5318535080027811E-3</v>
      </c>
      <c r="G913" s="14">
        <v>2.4917214070427907E-3</v>
      </c>
      <c r="H913" s="14">
        <v>2.2759180135152324E-3</v>
      </c>
    </row>
    <row r="914" spans="2:8" x14ac:dyDescent="0.25">
      <c r="B914" s="29">
        <v>906</v>
      </c>
      <c r="C914" s="30">
        <v>0.65843023255813948</v>
      </c>
      <c r="D914" s="28">
        <v>36567</v>
      </c>
      <c r="E914" s="14">
        <v>2.9309141660851523E-3</v>
      </c>
      <c r="F914" s="14">
        <v>4.5493107104983554E-3</v>
      </c>
      <c r="G914" s="14">
        <v>2.4940482938442532E-3</v>
      </c>
      <c r="H914" s="14">
        <v>2.2869162661834476E-3</v>
      </c>
    </row>
    <row r="915" spans="2:8" x14ac:dyDescent="0.25">
      <c r="B915" s="29">
        <v>907</v>
      </c>
      <c r="C915" s="30">
        <v>0.65915697674418605</v>
      </c>
      <c r="D915" s="28">
        <v>36570</v>
      </c>
      <c r="E915" s="14">
        <v>2.9311955099302622E-3</v>
      </c>
      <c r="F915" s="14">
        <v>4.5606083308362688E-3</v>
      </c>
      <c r="G915" s="14">
        <v>2.4967433782023818E-3</v>
      </c>
      <c r="H915" s="14">
        <v>2.2956616377050485E-3</v>
      </c>
    </row>
    <row r="916" spans="2:8" x14ac:dyDescent="0.25">
      <c r="B916" s="29">
        <v>908</v>
      </c>
      <c r="C916" s="30">
        <v>0.65988372093023251</v>
      </c>
      <c r="D916" s="28">
        <v>36571</v>
      </c>
      <c r="E916" s="14">
        <v>2.9346147245581378E-3</v>
      </c>
      <c r="F916" s="14">
        <v>4.5721667764324625E-3</v>
      </c>
      <c r="G916" s="14">
        <v>2.5074352260905375E-3</v>
      </c>
      <c r="H916" s="14">
        <v>2.2958273772831772E-3</v>
      </c>
    </row>
    <row r="917" spans="2:8" x14ac:dyDescent="0.25">
      <c r="B917" s="29">
        <v>909</v>
      </c>
      <c r="C917" s="30">
        <v>0.66061046511627908</v>
      </c>
      <c r="D917" s="28">
        <v>36572</v>
      </c>
      <c r="E917" s="14">
        <v>2.9503160972697007E-3</v>
      </c>
      <c r="F917" s="14">
        <v>4.5872926037353601E-3</v>
      </c>
      <c r="G917" s="14">
        <v>2.5100657597723064E-3</v>
      </c>
      <c r="H917" s="14">
        <v>2.3065197338597572E-3</v>
      </c>
    </row>
    <row r="918" spans="2:8" x14ac:dyDescent="0.25">
      <c r="B918" s="29">
        <v>910</v>
      </c>
      <c r="C918" s="30">
        <v>0.66133720930232553</v>
      </c>
      <c r="D918" s="28">
        <v>36573</v>
      </c>
      <c r="E918" s="14">
        <v>2.9827835413036574E-3</v>
      </c>
      <c r="F918" s="14">
        <v>4.6003353357992882E-3</v>
      </c>
      <c r="G918" s="14">
        <v>2.5224612512300126E-3</v>
      </c>
      <c r="H918" s="14">
        <v>2.3180160534205909E-3</v>
      </c>
    </row>
    <row r="919" spans="2:8" x14ac:dyDescent="0.25">
      <c r="B919" s="29">
        <v>911</v>
      </c>
      <c r="C919" s="30">
        <v>0.6620639534883721</v>
      </c>
      <c r="D919" s="28">
        <v>36574</v>
      </c>
      <c r="E919" s="14">
        <v>2.9903964982875841E-3</v>
      </c>
      <c r="F919" s="14">
        <v>4.6580447172293038E-3</v>
      </c>
      <c r="G919" s="14">
        <v>2.5347858914896992E-3</v>
      </c>
      <c r="H919" s="14">
        <v>2.3270181407016644E-3</v>
      </c>
    </row>
    <row r="920" spans="2:8" x14ac:dyDescent="0.25">
      <c r="B920" s="29">
        <v>912</v>
      </c>
      <c r="C920" s="30">
        <v>0.66279069767441856</v>
      </c>
      <c r="D920" s="28">
        <v>36577</v>
      </c>
      <c r="E920" s="14">
        <v>3.0157885400035056E-3</v>
      </c>
      <c r="F920" s="14">
        <v>4.6681962583832171E-3</v>
      </c>
      <c r="G920" s="14">
        <v>2.5429915346941723E-3</v>
      </c>
      <c r="H920" s="14">
        <v>2.3317615048036536E-3</v>
      </c>
    </row>
    <row r="921" spans="2:8" x14ac:dyDescent="0.25">
      <c r="B921" s="29">
        <v>913</v>
      </c>
      <c r="C921" s="30">
        <v>0.66351744186046513</v>
      </c>
      <c r="D921" s="28">
        <v>36578</v>
      </c>
      <c r="E921" s="14">
        <v>3.0158486633369286E-3</v>
      </c>
      <c r="F921" s="14">
        <v>4.6924892405941776E-3</v>
      </c>
      <c r="G921" s="14">
        <v>2.5438256926395564E-3</v>
      </c>
      <c r="H921" s="14">
        <v>2.3345703805672802E-3</v>
      </c>
    </row>
    <row r="922" spans="2:8" x14ac:dyDescent="0.25">
      <c r="B922" s="29">
        <v>914</v>
      </c>
      <c r="C922" s="30">
        <v>0.66424418604651159</v>
      </c>
      <c r="D922" s="28">
        <v>36579</v>
      </c>
      <c r="E922" s="14">
        <v>3.018635995512442E-3</v>
      </c>
      <c r="F922" s="14">
        <v>4.6958290946084169E-3</v>
      </c>
      <c r="G922" s="14">
        <v>2.5455963694680506E-3</v>
      </c>
      <c r="H922" s="14">
        <v>2.3442282605736333E-3</v>
      </c>
    </row>
    <row r="923" spans="2:8" x14ac:dyDescent="0.25">
      <c r="B923" s="29">
        <v>915</v>
      </c>
      <c r="C923" s="30">
        <v>0.66497093023255816</v>
      </c>
      <c r="D923" s="28">
        <v>36580</v>
      </c>
      <c r="E923" s="14">
        <v>3.0502498852214011E-3</v>
      </c>
      <c r="F923" s="14">
        <v>4.724000519340521E-3</v>
      </c>
      <c r="G923" s="14">
        <v>2.563378177100839E-3</v>
      </c>
      <c r="H923" s="14">
        <v>2.3498188906886375E-3</v>
      </c>
    </row>
    <row r="924" spans="2:8" x14ac:dyDescent="0.25">
      <c r="B924" s="29">
        <v>916</v>
      </c>
      <c r="C924" s="30">
        <v>0.66569767441860461</v>
      </c>
      <c r="D924" s="28">
        <v>36581</v>
      </c>
      <c r="E924" s="14">
        <v>3.066461013765398E-3</v>
      </c>
      <c r="F924" s="14">
        <v>4.7504714404955628E-3</v>
      </c>
      <c r="G924" s="14">
        <v>2.5673940949937357E-3</v>
      </c>
      <c r="H924" s="14">
        <v>2.3596459952014205E-3</v>
      </c>
    </row>
    <row r="925" spans="2:8" x14ac:dyDescent="0.25">
      <c r="B925" s="29">
        <v>917</v>
      </c>
      <c r="C925" s="30">
        <v>0.66642441860465118</v>
      </c>
      <c r="D925" s="28">
        <v>36584</v>
      </c>
      <c r="E925" s="14">
        <v>3.0730908216340946E-3</v>
      </c>
      <c r="F925" s="14">
        <v>4.7581367261519958E-3</v>
      </c>
      <c r="G925" s="14">
        <v>2.5717130982676473E-3</v>
      </c>
      <c r="H925" s="14">
        <v>2.3751633091094074E-3</v>
      </c>
    </row>
    <row r="926" spans="2:8" x14ac:dyDescent="0.25">
      <c r="B926" s="29">
        <v>918</v>
      </c>
      <c r="C926" s="30">
        <v>0.66715116279069764</v>
      </c>
      <c r="D926" s="28">
        <v>36585</v>
      </c>
      <c r="E926" s="14">
        <v>3.0859494056689751E-3</v>
      </c>
      <c r="F926" s="14">
        <v>4.8267056955126897E-3</v>
      </c>
      <c r="G926" s="14">
        <v>2.5774241576490553E-3</v>
      </c>
      <c r="H926" s="14">
        <v>2.3967509203176806E-3</v>
      </c>
    </row>
    <row r="927" spans="2:8" x14ac:dyDescent="0.25">
      <c r="B927" s="29">
        <v>919</v>
      </c>
      <c r="C927" s="30">
        <v>0.66787790697674421</v>
      </c>
      <c r="D927" s="28">
        <v>36586</v>
      </c>
      <c r="E927" s="14">
        <v>3.0996616832674739E-3</v>
      </c>
      <c r="F927" s="14">
        <v>4.9165468811513957E-3</v>
      </c>
      <c r="G927" s="14">
        <v>2.5820547196979682E-3</v>
      </c>
      <c r="H927" s="14">
        <v>2.401643985627411E-3</v>
      </c>
    </row>
    <row r="928" spans="2:8" x14ac:dyDescent="0.25">
      <c r="B928" s="29">
        <v>920</v>
      </c>
      <c r="C928" s="30">
        <v>0.66860465116279066</v>
      </c>
      <c r="D928" s="28">
        <v>36587</v>
      </c>
      <c r="E928" s="14">
        <v>3.0997267506460702E-3</v>
      </c>
      <c r="F928" s="14">
        <v>4.9313349971307208E-3</v>
      </c>
      <c r="G928" s="14">
        <v>2.5832192846027002E-3</v>
      </c>
      <c r="H928" s="14">
        <v>2.4080061331562598E-3</v>
      </c>
    </row>
    <row r="929" spans="2:8" x14ac:dyDescent="0.25">
      <c r="B929" s="29">
        <v>921</v>
      </c>
      <c r="C929" s="30">
        <v>0.66933139534883723</v>
      </c>
      <c r="D929" s="28">
        <v>36588</v>
      </c>
      <c r="E929" s="14">
        <v>3.1080164053107762E-3</v>
      </c>
      <c r="F929" s="14">
        <v>4.9480744108651997E-3</v>
      </c>
      <c r="G929" s="14">
        <v>2.5887782092410827E-3</v>
      </c>
      <c r="H929" s="14">
        <v>2.4085488481158995E-3</v>
      </c>
    </row>
    <row r="930" spans="2:8" x14ac:dyDescent="0.25">
      <c r="B930" s="29">
        <v>922</v>
      </c>
      <c r="C930" s="30">
        <v>0.67005813953488369</v>
      </c>
      <c r="D930" s="28">
        <v>36591</v>
      </c>
      <c r="E930" s="14">
        <v>3.1322187854820882E-3</v>
      </c>
      <c r="F930" s="14">
        <v>4.9528186231584392E-3</v>
      </c>
      <c r="G930" s="14">
        <v>2.6021861227285559E-3</v>
      </c>
      <c r="H930" s="14">
        <v>2.4201931379610468E-3</v>
      </c>
    </row>
    <row r="931" spans="2:8" x14ac:dyDescent="0.25">
      <c r="B931" s="29">
        <v>923</v>
      </c>
      <c r="C931" s="30">
        <v>0.67078488372093026</v>
      </c>
      <c r="D931" s="28">
        <v>36592</v>
      </c>
      <c r="E931" s="14">
        <v>3.1405093157592656E-3</v>
      </c>
      <c r="F931" s="14">
        <v>4.9676775565099529E-3</v>
      </c>
      <c r="G931" s="14">
        <v>2.6289499973712882E-3</v>
      </c>
      <c r="H931" s="14">
        <v>2.4331510367013648E-3</v>
      </c>
    </row>
    <row r="932" spans="2:8" x14ac:dyDescent="0.25">
      <c r="B932" s="29">
        <v>924</v>
      </c>
      <c r="C932" s="30">
        <v>0.67151162790697672</v>
      </c>
      <c r="D932" s="28">
        <v>36593</v>
      </c>
      <c r="E932" s="14">
        <v>3.223529860567842E-3</v>
      </c>
      <c r="F932" s="14">
        <v>4.9695470777908479E-3</v>
      </c>
      <c r="G932" s="14">
        <v>2.6377345344148484E-3</v>
      </c>
      <c r="H932" s="14">
        <v>2.4539547296549506E-3</v>
      </c>
    </row>
    <row r="933" spans="2:8" x14ac:dyDescent="0.25">
      <c r="B933" s="29">
        <v>925</v>
      </c>
      <c r="C933" s="30">
        <v>0.67223837209302328</v>
      </c>
      <c r="D933" s="28">
        <v>36594</v>
      </c>
      <c r="E933" s="14">
        <v>3.2268608162440149E-3</v>
      </c>
      <c r="F933" s="14">
        <v>4.9758316747225972E-3</v>
      </c>
      <c r="G933" s="14">
        <v>2.6419797278018908E-3</v>
      </c>
      <c r="H933" s="14">
        <v>2.4707527187305626E-3</v>
      </c>
    </row>
    <row r="934" spans="2:8" x14ac:dyDescent="0.25">
      <c r="B934" s="29">
        <v>926</v>
      </c>
      <c r="C934" s="30">
        <v>0.67296511627906974</v>
      </c>
      <c r="D934" s="28">
        <v>36595</v>
      </c>
      <c r="E934" s="14">
        <v>3.2335833460890306E-3</v>
      </c>
      <c r="F934" s="14">
        <v>4.9803203977349941E-3</v>
      </c>
      <c r="G934" s="14">
        <v>2.6545540349220964E-3</v>
      </c>
      <c r="H934" s="14">
        <v>2.5167004764977464E-3</v>
      </c>
    </row>
    <row r="935" spans="2:8" x14ac:dyDescent="0.25">
      <c r="B935" s="29">
        <v>927</v>
      </c>
      <c r="C935" s="30">
        <v>0.67369186046511631</v>
      </c>
      <c r="D935" s="28">
        <v>36598</v>
      </c>
      <c r="E935" s="14">
        <v>3.2400226956927902E-3</v>
      </c>
      <c r="F935" s="14">
        <v>5.0027793218454519E-3</v>
      </c>
      <c r="G935" s="14">
        <v>2.6745434159600734E-3</v>
      </c>
      <c r="H935" s="14">
        <v>2.5194217051225818E-3</v>
      </c>
    </row>
    <row r="936" spans="2:8" x14ac:dyDescent="0.25">
      <c r="B936" s="29">
        <v>928</v>
      </c>
      <c r="C936" s="30">
        <v>0.67441860465116277</v>
      </c>
      <c r="D936" s="28">
        <v>36599</v>
      </c>
      <c r="E936" s="14">
        <v>3.2456244953706914E-3</v>
      </c>
      <c r="F936" s="14">
        <v>5.0548094160520751E-3</v>
      </c>
      <c r="G936" s="14">
        <v>2.6870837526569158E-3</v>
      </c>
      <c r="H936" s="14">
        <v>2.5258836749910691E-3</v>
      </c>
    </row>
    <row r="937" spans="2:8" x14ac:dyDescent="0.25">
      <c r="B937" s="29">
        <v>929</v>
      </c>
      <c r="C937" s="30">
        <v>0.67514534883720934</v>
      </c>
      <c r="D937" s="28">
        <v>36600</v>
      </c>
      <c r="E937" s="14">
        <v>3.2738300365291462E-3</v>
      </c>
      <c r="F937" s="14">
        <v>5.0809669911868749E-3</v>
      </c>
      <c r="G937" s="14">
        <v>2.701054648908352E-3</v>
      </c>
      <c r="H937" s="14">
        <v>2.5260997574035218E-3</v>
      </c>
    </row>
    <row r="938" spans="2:8" x14ac:dyDescent="0.25">
      <c r="B938" s="29">
        <v>930</v>
      </c>
      <c r="C938" s="30">
        <v>0.67587209302325579</v>
      </c>
      <c r="D938" s="28">
        <v>36601</v>
      </c>
      <c r="E938" s="14">
        <v>3.2961858420970103E-3</v>
      </c>
      <c r="F938" s="14">
        <v>5.0988514404066709E-3</v>
      </c>
      <c r="G938" s="14">
        <v>2.733288577730919E-3</v>
      </c>
      <c r="H938" s="14">
        <v>2.527478290694685E-3</v>
      </c>
    </row>
    <row r="939" spans="2:8" x14ac:dyDescent="0.25">
      <c r="B939" s="29">
        <v>931</v>
      </c>
      <c r="C939" s="30">
        <v>0.67659883720930236</v>
      </c>
      <c r="D939" s="28">
        <v>36602</v>
      </c>
      <c r="E939" s="14">
        <v>3.2977691561588696E-3</v>
      </c>
      <c r="F939" s="14">
        <v>5.1083947424781506E-3</v>
      </c>
      <c r="G939" s="14">
        <v>2.7353177795654826E-3</v>
      </c>
      <c r="H939" s="14">
        <v>2.5464194254076538E-3</v>
      </c>
    </row>
    <row r="940" spans="2:8" x14ac:dyDescent="0.25">
      <c r="B940" s="29">
        <v>932</v>
      </c>
      <c r="C940" s="30">
        <v>0.67732558139534882</v>
      </c>
      <c r="D940" s="28">
        <v>36605</v>
      </c>
      <c r="E940" s="14">
        <v>3.3231791747438955E-3</v>
      </c>
      <c r="F940" s="14">
        <v>5.1103681049644578E-3</v>
      </c>
      <c r="G940" s="14">
        <v>2.7353746922482713E-3</v>
      </c>
      <c r="H940" s="14">
        <v>2.5467590617222814E-3</v>
      </c>
    </row>
    <row r="941" spans="2:8" x14ac:dyDescent="0.25">
      <c r="B941" s="29">
        <v>933</v>
      </c>
      <c r="C941" s="30">
        <v>0.67805232558139539</v>
      </c>
      <c r="D941" s="28">
        <v>36606</v>
      </c>
      <c r="E941" s="14">
        <v>3.3318340080297215E-3</v>
      </c>
      <c r="F941" s="14">
        <v>5.1761685831817061E-3</v>
      </c>
      <c r="G941" s="14">
        <v>2.7373823781009499E-3</v>
      </c>
      <c r="H941" s="14">
        <v>2.5472329141942749E-3</v>
      </c>
    </row>
    <row r="942" spans="2:8" x14ac:dyDescent="0.25">
      <c r="B942" s="29">
        <v>934</v>
      </c>
      <c r="C942" s="30">
        <v>0.67877906976744184</v>
      </c>
      <c r="D942" s="28">
        <v>36607</v>
      </c>
      <c r="E942" s="14">
        <v>3.365812098574672E-3</v>
      </c>
      <c r="F942" s="14">
        <v>5.2020486418362655E-3</v>
      </c>
      <c r="G942" s="14">
        <v>2.7387473207907131E-3</v>
      </c>
      <c r="H942" s="14">
        <v>2.5544778066950652E-3</v>
      </c>
    </row>
    <row r="943" spans="2:8" x14ac:dyDescent="0.25">
      <c r="B943" s="29">
        <v>935</v>
      </c>
      <c r="C943" s="30">
        <v>0.67950581395348841</v>
      </c>
      <c r="D943" s="28">
        <v>36608</v>
      </c>
      <c r="E943" s="14">
        <v>3.372738415188703E-3</v>
      </c>
      <c r="F943" s="14">
        <v>5.2273994064566676E-3</v>
      </c>
      <c r="G943" s="14">
        <v>2.7402622822469969E-3</v>
      </c>
      <c r="H943" s="14">
        <v>2.5820604624739348E-3</v>
      </c>
    </row>
    <row r="944" spans="2:8" x14ac:dyDescent="0.25">
      <c r="B944" s="29">
        <v>936</v>
      </c>
      <c r="C944" s="30">
        <v>0.68023255813953487</v>
      </c>
      <c r="D944" s="28">
        <v>36609</v>
      </c>
      <c r="E944" s="14">
        <v>3.3730552437525319E-3</v>
      </c>
      <c r="F944" s="14">
        <v>5.2331907110865217E-3</v>
      </c>
      <c r="G944" s="14">
        <v>2.7733145714754492E-3</v>
      </c>
      <c r="H944" s="14">
        <v>2.5884988520826326E-3</v>
      </c>
    </row>
    <row r="945" spans="2:8" x14ac:dyDescent="0.25">
      <c r="B945" s="29">
        <v>937</v>
      </c>
      <c r="C945" s="30">
        <v>0.68095930232558144</v>
      </c>
      <c r="D945" s="28">
        <v>36612</v>
      </c>
      <c r="E945" s="14">
        <v>3.3804110985573566E-3</v>
      </c>
      <c r="F945" s="14">
        <v>5.2353273063650008E-3</v>
      </c>
      <c r="G945" s="14">
        <v>2.7794478164246961E-3</v>
      </c>
      <c r="H945" s="14">
        <v>2.5966691744324422E-3</v>
      </c>
    </row>
    <row r="946" spans="2:8" x14ac:dyDescent="0.25">
      <c r="B946" s="29">
        <v>938</v>
      </c>
      <c r="C946" s="30">
        <v>0.6816860465116279</v>
      </c>
      <c r="D946" s="28">
        <v>36613</v>
      </c>
      <c r="E946" s="14">
        <v>3.4051546997004856E-3</v>
      </c>
      <c r="F946" s="14">
        <v>5.2383500740984523E-3</v>
      </c>
      <c r="G946" s="14">
        <v>2.7856857468711027E-3</v>
      </c>
      <c r="H946" s="14">
        <v>2.60641757737996E-3</v>
      </c>
    </row>
    <row r="947" spans="2:8" x14ac:dyDescent="0.25">
      <c r="B947" s="29">
        <v>939</v>
      </c>
      <c r="C947" s="30">
        <v>0.68241279069767447</v>
      </c>
      <c r="D947" s="28">
        <v>36614</v>
      </c>
      <c r="E947" s="14">
        <v>3.4354469967809997E-3</v>
      </c>
      <c r="F947" s="14">
        <v>5.285688866560001E-3</v>
      </c>
      <c r="G947" s="14">
        <v>2.7868091035765374E-3</v>
      </c>
      <c r="H947" s="14">
        <v>2.6138187011698791E-3</v>
      </c>
    </row>
    <row r="948" spans="2:8" x14ac:dyDescent="0.25">
      <c r="B948" s="29">
        <v>940</v>
      </c>
      <c r="C948" s="30">
        <v>0.68313953488372092</v>
      </c>
      <c r="D948" s="28">
        <v>36615</v>
      </c>
      <c r="E948" s="14">
        <v>3.4442340486249279E-3</v>
      </c>
      <c r="F948" s="14">
        <v>5.2964618107280703E-3</v>
      </c>
      <c r="G948" s="14">
        <v>2.7868366439371961E-3</v>
      </c>
      <c r="H948" s="14">
        <v>2.6394611726732629E-3</v>
      </c>
    </row>
    <row r="949" spans="2:8" x14ac:dyDescent="0.25">
      <c r="B949" s="29">
        <v>941</v>
      </c>
      <c r="C949" s="30">
        <v>0.68386627906976749</v>
      </c>
      <c r="D949" s="28">
        <v>36616</v>
      </c>
      <c r="E949" s="14">
        <v>3.4785489481530263E-3</v>
      </c>
      <c r="F949" s="14">
        <v>5.3348568715034794E-3</v>
      </c>
      <c r="G949" s="14">
        <v>2.7869876507615743E-3</v>
      </c>
      <c r="H949" s="14">
        <v>2.6543652886124921E-3</v>
      </c>
    </row>
    <row r="950" spans="2:8" x14ac:dyDescent="0.25">
      <c r="B950" s="29">
        <v>942</v>
      </c>
      <c r="C950" s="30">
        <v>0.68459302325581395</v>
      </c>
      <c r="D950" s="28">
        <v>36619</v>
      </c>
      <c r="E950" s="14">
        <v>3.4983281470457595E-3</v>
      </c>
      <c r="F950" s="14">
        <v>5.3660463417724014E-3</v>
      </c>
      <c r="G950" s="14">
        <v>2.7963602180507419E-3</v>
      </c>
      <c r="H950" s="14">
        <v>2.6848561981293257E-3</v>
      </c>
    </row>
    <row r="951" spans="2:8" x14ac:dyDescent="0.25">
      <c r="B951" s="29">
        <v>943</v>
      </c>
      <c r="C951" s="30">
        <v>0.68531976744186052</v>
      </c>
      <c r="D951" s="28">
        <v>36620</v>
      </c>
      <c r="E951" s="14">
        <v>3.5155715033743373E-3</v>
      </c>
      <c r="F951" s="14">
        <v>5.3871622000785102E-3</v>
      </c>
      <c r="G951" s="14">
        <v>2.8009608533090535E-3</v>
      </c>
      <c r="H951" s="14">
        <v>2.686501681168085E-3</v>
      </c>
    </row>
    <row r="952" spans="2:8" x14ac:dyDescent="0.25">
      <c r="B952" s="29">
        <v>944</v>
      </c>
      <c r="C952" s="30">
        <v>0.68604651162790697</v>
      </c>
      <c r="D952" s="28">
        <v>36621</v>
      </c>
      <c r="E952" s="14">
        <v>3.5278720861862123E-3</v>
      </c>
      <c r="F952" s="14">
        <v>5.4173326355395623E-3</v>
      </c>
      <c r="G952" s="14">
        <v>2.8170489695575895E-3</v>
      </c>
      <c r="H952" s="14">
        <v>2.6893589630353262E-3</v>
      </c>
    </row>
    <row r="953" spans="2:8" x14ac:dyDescent="0.25">
      <c r="B953" s="29">
        <v>945</v>
      </c>
      <c r="C953" s="30">
        <v>0.68677325581395354</v>
      </c>
      <c r="D953" s="28">
        <v>36622</v>
      </c>
      <c r="E953" s="14">
        <v>3.5307717068691069E-3</v>
      </c>
      <c r="F953" s="14">
        <v>5.4565640181729602E-3</v>
      </c>
      <c r="G953" s="14">
        <v>2.8229980239014019E-3</v>
      </c>
      <c r="H953" s="14">
        <v>2.6910975473007251E-3</v>
      </c>
    </row>
    <row r="954" spans="2:8" x14ac:dyDescent="0.25">
      <c r="B954" s="29">
        <v>946</v>
      </c>
      <c r="C954" s="30">
        <v>0.6875</v>
      </c>
      <c r="D954" s="28">
        <v>36623</v>
      </c>
      <c r="E954" s="14">
        <v>3.5383319292334736E-3</v>
      </c>
      <c r="F954" s="14">
        <v>5.4609845993025541E-3</v>
      </c>
      <c r="G954" s="14">
        <v>2.8308851261822365E-3</v>
      </c>
      <c r="H954" s="14">
        <v>2.7137968810820642E-3</v>
      </c>
    </row>
    <row r="955" spans="2:8" x14ac:dyDescent="0.25">
      <c r="B955" s="29">
        <v>947</v>
      </c>
      <c r="C955" s="30">
        <v>0.68822674418604646</v>
      </c>
      <c r="D955" s="28">
        <v>36626</v>
      </c>
      <c r="E955" s="14">
        <v>3.5392535392535507E-3</v>
      </c>
      <c r="F955" s="14">
        <v>5.4617203687028493E-3</v>
      </c>
      <c r="G955" s="14">
        <v>2.8353230349884573E-3</v>
      </c>
      <c r="H955" s="14">
        <v>2.7215210009489789E-3</v>
      </c>
    </row>
    <row r="956" spans="2:8" x14ac:dyDescent="0.25">
      <c r="B956" s="29">
        <v>948</v>
      </c>
      <c r="C956" s="30">
        <v>0.68895348837209303</v>
      </c>
      <c r="D956" s="28">
        <v>36627</v>
      </c>
      <c r="E956" s="14">
        <v>3.5439725205821393E-3</v>
      </c>
      <c r="F956" s="14">
        <v>5.469433679209823E-3</v>
      </c>
      <c r="G956" s="14">
        <v>2.8456560475125237E-3</v>
      </c>
      <c r="H956" s="14">
        <v>2.7607485322834083E-3</v>
      </c>
    </row>
    <row r="957" spans="2:8" x14ac:dyDescent="0.25">
      <c r="B957" s="29">
        <v>949</v>
      </c>
      <c r="C957" s="30">
        <v>0.68968023255813948</v>
      </c>
      <c r="D957" s="28">
        <v>36628</v>
      </c>
      <c r="E957" s="14">
        <v>3.5645328976681157E-3</v>
      </c>
      <c r="F957" s="14">
        <v>5.4808306926519279E-3</v>
      </c>
      <c r="G957" s="14">
        <v>2.8463301617907E-3</v>
      </c>
      <c r="H957" s="14">
        <v>2.7713579591481354E-3</v>
      </c>
    </row>
    <row r="958" spans="2:8" x14ac:dyDescent="0.25">
      <c r="B958" s="29">
        <v>950</v>
      </c>
      <c r="C958" s="30">
        <v>0.69040697674418605</v>
      </c>
      <c r="D958" s="28">
        <v>36629</v>
      </c>
      <c r="E958" s="14">
        <v>3.5668120464729114E-3</v>
      </c>
      <c r="F958" s="14">
        <v>5.5025973330478095E-3</v>
      </c>
      <c r="G958" s="14">
        <v>2.8513296261722942E-3</v>
      </c>
      <c r="H958" s="14">
        <v>2.7725639140499859E-3</v>
      </c>
    </row>
    <row r="959" spans="2:8" x14ac:dyDescent="0.25">
      <c r="B959" s="29">
        <v>951</v>
      </c>
      <c r="C959" s="30">
        <v>0.69113372093023251</v>
      </c>
      <c r="D959" s="28">
        <v>36630</v>
      </c>
      <c r="E959" s="14">
        <v>3.5775127768311599E-3</v>
      </c>
      <c r="F959" s="14">
        <v>5.510143992821348E-3</v>
      </c>
      <c r="G959" s="14">
        <v>2.8519156263451251E-3</v>
      </c>
      <c r="H959" s="14">
        <v>2.7789516023576598E-3</v>
      </c>
    </row>
    <row r="960" spans="2:8" x14ac:dyDescent="0.25">
      <c r="B960" s="29">
        <v>952</v>
      </c>
      <c r="C960" s="30">
        <v>0.69186046511627908</v>
      </c>
      <c r="D960" s="28">
        <v>36633</v>
      </c>
      <c r="E960" s="14">
        <v>3.5887466886221908E-3</v>
      </c>
      <c r="F960" s="14">
        <v>5.51044790676114E-3</v>
      </c>
      <c r="G960" s="14">
        <v>2.9082384676484274E-3</v>
      </c>
      <c r="H960" s="14">
        <v>2.7888825374386087E-3</v>
      </c>
    </row>
    <row r="961" spans="2:8" x14ac:dyDescent="0.25">
      <c r="B961" s="29">
        <v>953</v>
      </c>
      <c r="C961" s="30">
        <v>0.69258720930232553</v>
      </c>
      <c r="D961" s="28">
        <v>36634</v>
      </c>
      <c r="E961" s="14">
        <v>3.6112943831454469E-3</v>
      </c>
      <c r="F961" s="14">
        <v>5.5326493431777646E-3</v>
      </c>
      <c r="G961" s="14">
        <v>2.9089664613277666E-3</v>
      </c>
      <c r="H961" s="14">
        <v>2.7958987684533641E-3</v>
      </c>
    </row>
    <row r="962" spans="2:8" x14ac:dyDescent="0.25">
      <c r="B962" s="29">
        <v>954</v>
      </c>
      <c r="C962" s="30">
        <v>0.6933139534883721</v>
      </c>
      <c r="D962" s="28">
        <v>36635</v>
      </c>
      <c r="E962" s="14">
        <v>3.6184962291461176E-3</v>
      </c>
      <c r="F962" s="14">
        <v>5.5332302936630384E-3</v>
      </c>
      <c r="G962" s="14">
        <v>2.9343041895342203E-3</v>
      </c>
      <c r="H962" s="14">
        <v>2.8028047370217911E-3</v>
      </c>
    </row>
    <row r="963" spans="2:8" x14ac:dyDescent="0.25">
      <c r="B963" s="29">
        <v>955</v>
      </c>
      <c r="C963" s="30">
        <v>0.69404069767441856</v>
      </c>
      <c r="D963" s="28">
        <v>36636</v>
      </c>
      <c r="E963" s="14">
        <v>3.6261743860228624E-3</v>
      </c>
      <c r="F963" s="14">
        <v>5.5700698643808E-3</v>
      </c>
      <c r="G963" s="14">
        <v>2.9496037855092361E-3</v>
      </c>
      <c r="H963" s="14">
        <v>2.839539117128087E-3</v>
      </c>
    </row>
    <row r="964" spans="2:8" x14ac:dyDescent="0.25">
      <c r="B964" s="29">
        <v>956</v>
      </c>
      <c r="C964" s="30">
        <v>0.69476744186046513</v>
      </c>
      <c r="D964" s="28">
        <v>36637</v>
      </c>
      <c r="E964" s="14">
        <v>3.6441941361604613E-3</v>
      </c>
      <c r="F964" s="14">
        <v>5.5706837578455293E-3</v>
      </c>
      <c r="G964" s="14">
        <v>2.9508568834410998E-3</v>
      </c>
      <c r="H964" s="14">
        <v>2.8552468455102622E-3</v>
      </c>
    </row>
    <row r="965" spans="2:8" x14ac:dyDescent="0.25">
      <c r="B965" s="29">
        <v>957</v>
      </c>
      <c r="C965" s="30">
        <v>0.69549418604651159</v>
      </c>
      <c r="D965" s="28">
        <v>36640</v>
      </c>
      <c r="E965" s="14">
        <v>3.6496350364965124E-3</v>
      </c>
      <c r="F965" s="14">
        <v>5.5758868109385684E-3</v>
      </c>
      <c r="G965" s="14">
        <v>2.9592894442143081E-3</v>
      </c>
      <c r="H965" s="14">
        <v>2.8626316234301452E-3</v>
      </c>
    </row>
    <row r="966" spans="2:8" x14ac:dyDescent="0.25">
      <c r="B966" s="29">
        <v>958</v>
      </c>
      <c r="C966" s="30">
        <v>0.69622093023255816</v>
      </c>
      <c r="D966" s="28">
        <v>36641</v>
      </c>
      <c r="E966" s="14">
        <v>3.7061416908026334E-3</v>
      </c>
      <c r="F966" s="14">
        <v>5.5812112415887238E-3</v>
      </c>
      <c r="G966" s="14">
        <v>2.9714348262721568E-3</v>
      </c>
      <c r="H966" s="14">
        <v>2.8687895460074659E-3</v>
      </c>
    </row>
    <row r="967" spans="2:8" x14ac:dyDescent="0.25">
      <c r="B967" s="29">
        <v>959</v>
      </c>
      <c r="C967" s="30">
        <v>0.69694767441860461</v>
      </c>
      <c r="D967" s="28">
        <v>36642</v>
      </c>
      <c r="E967" s="14">
        <v>3.7140415996772536E-3</v>
      </c>
      <c r="F967" s="14">
        <v>5.606070964654597E-3</v>
      </c>
      <c r="G967" s="14">
        <v>2.9940119760478723E-3</v>
      </c>
      <c r="H967" s="14">
        <v>2.8807192431429931E-3</v>
      </c>
    </row>
    <row r="968" spans="2:8" x14ac:dyDescent="0.25">
      <c r="B968" s="29">
        <v>960</v>
      </c>
      <c r="C968" s="30">
        <v>0.69767441860465118</v>
      </c>
      <c r="D968" s="28">
        <v>36643</v>
      </c>
      <c r="E968" s="14">
        <v>3.7275499830564662E-3</v>
      </c>
      <c r="F968" s="14">
        <v>5.6300696474391732E-3</v>
      </c>
      <c r="G968" s="14">
        <v>3.0588262588233661E-3</v>
      </c>
      <c r="H968" s="14">
        <v>2.8881706400202714E-3</v>
      </c>
    </row>
    <row r="969" spans="2:8" x14ac:dyDescent="0.25">
      <c r="B969" s="29">
        <v>961</v>
      </c>
      <c r="C969" s="30">
        <v>0.69840116279069764</v>
      </c>
      <c r="D969" s="28">
        <v>36644</v>
      </c>
      <c r="E969" s="14">
        <v>3.7353942290896391E-3</v>
      </c>
      <c r="F969" s="14">
        <v>5.6511614698699919E-3</v>
      </c>
      <c r="G969" s="14">
        <v>3.073245336680408E-3</v>
      </c>
      <c r="H969" s="14">
        <v>2.9035048126732966E-3</v>
      </c>
    </row>
    <row r="970" spans="2:8" x14ac:dyDescent="0.25">
      <c r="B970" s="29">
        <v>962</v>
      </c>
      <c r="C970" s="30">
        <v>0.69912790697674421</v>
      </c>
      <c r="D970" s="28">
        <v>36647</v>
      </c>
      <c r="E970" s="14">
        <v>3.8000000000000256E-3</v>
      </c>
      <c r="F970" s="14">
        <v>5.6714586255259825E-3</v>
      </c>
      <c r="G970" s="14">
        <v>3.0802959023519261E-3</v>
      </c>
      <c r="H970" s="14">
        <v>2.9288402029677522E-3</v>
      </c>
    </row>
    <row r="971" spans="2:8" x14ac:dyDescent="0.25">
      <c r="B971" s="29">
        <v>963</v>
      </c>
      <c r="C971" s="30">
        <v>0.69985465116279066</v>
      </c>
      <c r="D971" s="28">
        <v>36648</v>
      </c>
      <c r="E971" s="14">
        <v>3.8378378992223183E-3</v>
      </c>
      <c r="F971" s="14">
        <v>5.6776510457499096E-3</v>
      </c>
      <c r="G971" s="14">
        <v>3.0917555856624368E-3</v>
      </c>
      <c r="H971" s="14">
        <v>2.9437978298224813E-3</v>
      </c>
    </row>
    <row r="972" spans="2:8" x14ac:dyDescent="0.25">
      <c r="B972" s="29">
        <v>964</v>
      </c>
      <c r="C972" s="30">
        <v>0.70058139534883723</v>
      </c>
      <c r="D972" s="28">
        <v>36649</v>
      </c>
      <c r="E972" s="14">
        <v>3.8526713862161444E-3</v>
      </c>
      <c r="F972" s="14">
        <v>5.6868593833179215E-3</v>
      </c>
      <c r="G972" s="14">
        <v>3.0936356344342109E-3</v>
      </c>
      <c r="H972" s="14">
        <v>2.947527150027707E-3</v>
      </c>
    </row>
    <row r="973" spans="2:8" x14ac:dyDescent="0.25">
      <c r="B973" s="29">
        <v>965</v>
      </c>
      <c r="C973" s="30">
        <v>0.70130813953488369</v>
      </c>
      <c r="D973" s="28">
        <v>36650</v>
      </c>
      <c r="E973" s="14">
        <v>3.8631346578366088E-3</v>
      </c>
      <c r="F973" s="14">
        <v>5.6889237635173728E-3</v>
      </c>
      <c r="G973" s="14">
        <v>3.1149057630275312E-3</v>
      </c>
      <c r="H973" s="14">
        <v>2.9635182110286707E-3</v>
      </c>
    </row>
    <row r="974" spans="2:8" x14ac:dyDescent="0.25">
      <c r="B974" s="29">
        <v>966</v>
      </c>
      <c r="C974" s="30">
        <v>0.70203488372093026</v>
      </c>
      <c r="D974" s="28">
        <v>36651</v>
      </c>
      <c r="E974" s="14">
        <v>3.899887452718076E-3</v>
      </c>
      <c r="F974" s="14">
        <v>5.6903308658011742E-3</v>
      </c>
      <c r="G974" s="14">
        <v>3.118521487994963E-3</v>
      </c>
      <c r="H974" s="14">
        <v>3.0022674283542777E-3</v>
      </c>
    </row>
    <row r="975" spans="2:8" x14ac:dyDescent="0.25">
      <c r="B975" s="29">
        <v>967</v>
      </c>
      <c r="C975" s="30">
        <v>0.70276162790697672</v>
      </c>
      <c r="D975" s="28">
        <v>36654</v>
      </c>
      <c r="E975" s="14">
        <v>3.9089591325527362E-3</v>
      </c>
      <c r="F975" s="14">
        <v>5.6920194124518986E-3</v>
      </c>
      <c r="G975" s="14">
        <v>3.1373844121531658E-3</v>
      </c>
      <c r="H975" s="14">
        <v>3.0050938496517967E-3</v>
      </c>
    </row>
    <row r="976" spans="2:8" x14ac:dyDescent="0.25">
      <c r="B976" s="29">
        <v>968</v>
      </c>
      <c r="C976" s="30">
        <v>0.70348837209302328</v>
      </c>
      <c r="D976" s="28">
        <v>36655</v>
      </c>
      <c r="E976" s="14">
        <v>3.972359104895018E-3</v>
      </c>
      <c r="F976" s="14">
        <v>5.7108891504760173E-3</v>
      </c>
      <c r="G976" s="14">
        <v>3.1404860254882205E-3</v>
      </c>
      <c r="H976" s="14">
        <v>3.0088390950489432E-3</v>
      </c>
    </row>
    <row r="977" spans="2:8" x14ac:dyDescent="0.25">
      <c r="B977" s="29">
        <v>969</v>
      </c>
      <c r="C977" s="30">
        <v>0.70421511627906974</v>
      </c>
      <c r="D977" s="28">
        <v>36656</v>
      </c>
      <c r="E977" s="14">
        <v>3.9946279141842567E-3</v>
      </c>
      <c r="F977" s="14">
        <v>5.7137526528139304E-3</v>
      </c>
      <c r="G977" s="14">
        <v>3.1449716111384696E-3</v>
      </c>
      <c r="H977" s="14">
        <v>3.0591908703639704E-3</v>
      </c>
    </row>
    <row r="978" spans="2:8" x14ac:dyDescent="0.25">
      <c r="B978" s="29">
        <v>970</v>
      </c>
      <c r="C978" s="30">
        <v>0.70494186046511631</v>
      </c>
      <c r="D978" s="28">
        <v>36657</v>
      </c>
      <c r="E978" s="14">
        <v>4.0040382608099723E-3</v>
      </c>
      <c r="F978" s="14">
        <v>5.7330579764456324E-3</v>
      </c>
      <c r="G978" s="14">
        <v>3.1695721077655836E-3</v>
      </c>
      <c r="H978" s="14">
        <v>3.0658285263299059E-3</v>
      </c>
    </row>
    <row r="979" spans="2:8" x14ac:dyDescent="0.25">
      <c r="B979" s="29">
        <v>971</v>
      </c>
      <c r="C979" s="30">
        <v>0.70566860465116277</v>
      </c>
      <c r="D979" s="28">
        <v>36658</v>
      </c>
      <c r="E979" s="14">
        <v>4.0317086542207559E-3</v>
      </c>
      <c r="F979" s="14">
        <v>5.7669117361029976E-3</v>
      </c>
      <c r="G979" s="14">
        <v>3.1741113141723343E-3</v>
      </c>
      <c r="H979" s="14">
        <v>3.0708716449073139E-3</v>
      </c>
    </row>
    <row r="980" spans="2:8" x14ac:dyDescent="0.25">
      <c r="B980" s="29">
        <v>972</v>
      </c>
      <c r="C980" s="30">
        <v>0.70639534883720934</v>
      </c>
      <c r="D980" s="28">
        <v>36661</v>
      </c>
      <c r="E980" s="14">
        <v>4.0522049981133179E-3</v>
      </c>
      <c r="F980" s="14">
        <v>5.799664308835828E-3</v>
      </c>
      <c r="G980" s="14">
        <v>3.1795615551961642E-3</v>
      </c>
      <c r="H980" s="14">
        <v>3.0950179879132293E-3</v>
      </c>
    </row>
    <row r="981" spans="2:8" x14ac:dyDescent="0.25">
      <c r="B981" s="29">
        <v>973</v>
      </c>
      <c r="C981" s="30">
        <v>0.70712209302325579</v>
      </c>
      <c r="D981" s="28">
        <v>36662</v>
      </c>
      <c r="E981" s="14">
        <v>4.1114087158282686E-3</v>
      </c>
      <c r="F981" s="14">
        <v>5.8089403222147951E-3</v>
      </c>
      <c r="G981" s="14">
        <v>3.1800602549774126E-3</v>
      </c>
      <c r="H981" s="14">
        <v>3.1166099163125959E-3</v>
      </c>
    </row>
    <row r="982" spans="2:8" x14ac:dyDescent="0.25">
      <c r="B982" s="29">
        <v>974</v>
      </c>
      <c r="C982" s="30">
        <v>0.70784883720930236</v>
      </c>
      <c r="D982" s="28">
        <v>36663</v>
      </c>
      <c r="E982" s="14">
        <v>4.1235661783112221E-3</v>
      </c>
      <c r="F982" s="14">
        <v>5.8247054883286964E-3</v>
      </c>
      <c r="G982" s="14">
        <v>3.183223852884387E-3</v>
      </c>
      <c r="H982" s="14">
        <v>3.1291044048054498E-3</v>
      </c>
    </row>
    <row r="983" spans="2:8" x14ac:dyDescent="0.25">
      <c r="B983" s="29">
        <v>975</v>
      </c>
      <c r="C983" s="30">
        <v>0.70857558139534882</v>
      </c>
      <c r="D983" s="28">
        <v>36664</v>
      </c>
      <c r="E983" s="14">
        <v>4.1526414543695545E-3</v>
      </c>
      <c r="F983" s="14">
        <v>5.8507017600726297E-3</v>
      </c>
      <c r="G983" s="14">
        <v>3.203588018580783E-3</v>
      </c>
      <c r="H983" s="14">
        <v>3.1340342639298857E-3</v>
      </c>
    </row>
    <row r="984" spans="2:8" x14ac:dyDescent="0.25">
      <c r="B984" s="29">
        <v>976</v>
      </c>
      <c r="C984" s="30">
        <v>0.70930232558139539</v>
      </c>
      <c r="D984" s="28">
        <v>36665</v>
      </c>
      <c r="E984" s="14">
        <v>4.1618978254085448E-3</v>
      </c>
      <c r="F984" s="14">
        <v>5.8719151015371729E-3</v>
      </c>
      <c r="G984" s="14">
        <v>3.2257459700131275E-3</v>
      </c>
      <c r="H984" s="14">
        <v>3.1477561012729144E-3</v>
      </c>
    </row>
    <row r="985" spans="2:8" x14ac:dyDescent="0.25">
      <c r="B985" s="29">
        <v>977</v>
      </c>
      <c r="C985" s="30">
        <v>0.71002906976744184</v>
      </c>
      <c r="D985" s="28">
        <v>36668</v>
      </c>
      <c r="E985" s="14">
        <v>4.1622459805761292E-3</v>
      </c>
      <c r="F985" s="14">
        <v>5.8829882988298277E-3</v>
      </c>
      <c r="G985" s="14">
        <v>3.2378580323786377E-3</v>
      </c>
      <c r="H985" s="14">
        <v>3.153869982362046E-3</v>
      </c>
    </row>
    <row r="986" spans="2:8" x14ac:dyDescent="0.25">
      <c r="B986" s="29">
        <v>978</v>
      </c>
      <c r="C986" s="30">
        <v>0.71075581395348841</v>
      </c>
      <c r="D986" s="28">
        <v>36669</v>
      </c>
      <c r="E986" s="14">
        <v>4.1666991200608461E-3</v>
      </c>
      <c r="F986" s="14">
        <v>5.9004392386530213E-3</v>
      </c>
      <c r="G986" s="14">
        <v>3.2474446337309448E-3</v>
      </c>
      <c r="H986" s="14">
        <v>3.1703567814749035E-3</v>
      </c>
    </row>
    <row r="987" spans="2:8" x14ac:dyDescent="0.25">
      <c r="B987" s="29">
        <v>979</v>
      </c>
      <c r="C987" s="30">
        <v>0.71148255813953487</v>
      </c>
      <c r="D987" s="28">
        <v>36670</v>
      </c>
      <c r="E987" s="14">
        <v>4.1785057663381586E-3</v>
      </c>
      <c r="F987" s="14">
        <v>5.9914449783196044E-3</v>
      </c>
      <c r="G987" s="14">
        <v>3.261926946131144E-3</v>
      </c>
      <c r="H987" s="14">
        <v>3.2004653824773133E-3</v>
      </c>
    </row>
    <row r="988" spans="2:8" x14ac:dyDescent="0.25">
      <c r="B988" s="29">
        <v>980</v>
      </c>
      <c r="C988" s="30">
        <v>0.71220930232558144</v>
      </c>
      <c r="D988" s="28">
        <v>36671</v>
      </c>
      <c r="E988" s="14">
        <v>4.1887740854511524E-3</v>
      </c>
      <c r="F988" s="14">
        <v>5.9991861060426643E-3</v>
      </c>
      <c r="G988" s="14">
        <v>3.3019923886277169E-3</v>
      </c>
      <c r="H988" s="14">
        <v>3.2105468451684156E-3</v>
      </c>
    </row>
    <row r="989" spans="2:8" x14ac:dyDescent="0.25">
      <c r="B989" s="29">
        <v>981</v>
      </c>
      <c r="C989" s="30">
        <v>0.7129360465116279</v>
      </c>
      <c r="D989" s="28">
        <v>36672</v>
      </c>
      <c r="E989" s="14">
        <v>4.1888190752374932E-3</v>
      </c>
      <c r="F989" s="14">
        <v>6.0100093974693181E-3</v>
      </c>
      <c r="G989" s="14">
        <v>3.3141685568625068E-3</v>
      </c>
      <c r="H989" s="14">
        <v>3.2202933599044144E-3</v>
      </c>
    </row>
    <row r="990" spans="2:8" x14ac:dyDescent="0.25">
      <c r="B990" s="29">
        <v>982</v>
      </c>
      <c r="C990" s="30">
        <v>0.71366279069767447</v>
      </c>
      <c r="D990" s="28">
        <v>36675</v>
      </c>
      <c r="E990" s="14">
        <v>4.1974479516453389E-3</v>
      </c>
      <c r="F990" s="14">
        <v>6.0527775707743814E-3</v>
      </c>
      <c r="G990" s="14">
        <v>3.3187436871724429E-3</v>
      </c>
      <c r="H990" s="14">
        <v>3.2216719675837169E-3</v>
      </c>
    </row>
    <row r="991" spans="2:8" x14ac:dyDescent="0.25">
      <c r="B991" s="29">
        <v>983</v>
      </c>
      <c r="C991" s="30">
        <v>0.71438953488372092</v>
      </c>
      <c r="D991" s="28">
        <v>36676</v>
      </c>
      <c r="E991" s="14">
        <v>4.2301154445527622E-3</v>
      </c>
      <c r="F991" s="14">
        <v>6.0648006107610897E-3</v>
      </c>
      <c r="G991" s="14">
        <v>3.343038930227582E-3</v>
      </c>
      <c r="H991" s="14">
        <v>3.2262562211856417E-3</v>
      </c>
    </row>
    <row r="992" spans="2:8" x14ac:dyDescent="0.25">
      <c r="B992" s="29">
        <v>984</v>
      </c>
      <c r="C992" s="30">
        <v>0.71511627906976749</v>
      </c>
      <c r="D992" s="28">
        <v>36677</v>
      </c>
      <c r="E992" s="14">
        <v>4.2338524876393002E-3</v>
      </c>
      <c r="F992" s="14">
        <v>6.0809454149097775E-3</v>
      </c>
      <c r="G992" s="14">
        <v>3.3595178103849044E-3</v>
      </c>
      <c r="H992" s="14">
        <v>3.2372350740265121E-3</v>
      </c>
    </row>
    <row r="993" spans="2:8" x14ac:dyDescent="0.25">
      <c r="B993" s="29">
        <v>985</v>
      </c>
      <c r="C993" s="30">
        <v>0.71584302325581395</v>
      </c>
      <c r="D993" s="28">
        <v>36678</v>
      </c>
      <c r="E993" s="14">
        <v>4.2416791537243093E-3</v>
      </c>
      <c r="F993" s="14">
        <v>6.0930484977057553E-3</v>
      </c>
      <c r="G993" s="14">
        <v>3.3648306061304645E-3</v>
      </c>
      <c r="H993" s="14">
        <v>3.2408451653405117E-3</v>
      </c>
    </row>
    <row r="994" spans="2:8" x14ac:dyDescent="0.25">
      <c r="B994" s="29">
        <v>986</v>
      </c>
      <c r="C994" s="30">
        <v>0.71656976744186052</v>
      </c>
      <c r="D994" s="28">
        <v>36679</v>
      </c>
      <c r="E994" s="14">
        <v>4.2462526562241365E-3</v>
      </c>
      <c r="F994" s="14">
        <v>6.1126748729152247E-3</v>
      </c>
      <c r="G994" s="14">
        <v>3.3857166687660811E-3</v>
      </c>
      <c r="H994" s="14">
        <v>3.2529680470285041E-3</v>
      </c>
    </row>
    <row r="995" spans="2:8" x14ac:dyDescent="0.25">
      <c r="B995" s="29">
        <v>987</v>
      </c>
      <c r="C995" s="30">
        <v>0.71729651162790697</v>
      </c>
      <c r="D995" s="28">
        <v>36682</v>
      </c>
      <c r="E995" s="14">
        <v>4.2589437819420262E-3</v>
      </c>
      <c r="F995" s="14">
        <v>6.1547020880783343E-3</v>
      </c>
      <c r="G995" s="14">
        <v>3.4003691829396221E-3</v>
      </c>
      <c r="H995" s="14">
        <v>3.255867603128593E-3</v>
      </c>
    </row>
    <row r="996" spans="2:8" x14ac:dyDescent="0.25">
      <c r="B996" s="29">
        <v>988</v>
      </c>
      <c r="C996" s="30">
        <v>0.71802325581395354</v>
      </c>
      <c r="D996" s="28">
        <v>36683</v>
      </c>
      <c r="E996" s="14">
        <v>4.2673708155605006E-3</v>
      </c>
      <c r="F996" s="14">
        <v>6.1601642710471527E-3</v>
      </c>
      <c r="G996" s="14">
        <v>3.404062180869305E-3</v>
      </c>
      <c r="H996" s="14">
        <v>3.2693874073151719E-3</v>
      </c>
    </row>
    <row r="997" spans="2:8" x14ac:dyDescent="0.25">
      <c r="B997" s="29">
        <v>989</v>
      </c>
      <c r="C997" s="30">
        <v>0.71875</v>
      </c>
      <c r="D997" s="28">
        <v>36684</v>
      </c>
      <c r="E997" s="14">
        <v>4.2715947831921675E-3</v>
      </c>
      <c r="F997" s="14">
        <v>6.1890956838619449E-3</v>
      </c>
      <c r="G997" s="14">
        <v>3.4078395336096801E-3</v>
      </c>
      <c r="H997" s="14">
        <v>3.2718986360685603E-3</v>
      </c>
    </row>
    <row r="998" spans="2:8" x14ac:dyDescent="0.25">
      <c r="B998" s="29">
        <v>990</v>
      </c>
      <c r="C998" s="30">
        <v>0.71947674418604646</v>
      </c>
      <c r="D998" s="28">
        <v>36685</v>
      </c>
      <c r="E998" s="14">
        <v>4.2910617015226027E-3</v>
      </c>
      <c r="F998" s="14">
        <v>6.2015255432343874E-3</v>
      </c>
      <c r="G998" s="14">
        <v>3.4106404924278966E-3</v>
      </c>
      <c r="H998" s="14">
        <v>3.2760530858154447E-3</v>
      </c>
    </row>
    <row r="999" spans="2:8" x14ac:dyDescent="0.25">
      <c r="B999" s="29">
        <v>991</v>
      </c>
      <c r="C999" s="30">
        <v>0.72020348837209303</v>
      </c>
      <c r="D999" s="28">
        <v>36686</v>
      </c>
      <c r="E999" s="14">
        <v>4.295583187294616E-3</v>
      </c>
      <c r="F999" s="14">
        <v>6.2259389563263934E-3</v>
      </c>
      <c r="G999" s="14">
        <v>3.4467901766477294E-3</v>
      </c>
      <c r="H999" s="14">
        <v>3.2895862302382731E-3</v>
      </c>
    </row>
    <row r="1000" spans="2:8" x14ac:dyDescent="0.25">
      <c r="B1000" s="29">
        <v>992</v>
      </c>
      <c r="C1000" s="30">
        <v>0.72093023255813948</v>
      </c>
      <c r="D1000" s="28">
        <v>36689</v>
      </c>
      <c r="E1000" s="14">
        <v>4.3306940262444193E-3</v>
      </c>
      <c r="F1000" s="14">
        <v>6.2348409188186515E-3</v>
      </c>
      <c r="G1000" s="14">
        <v>3.4488354178967562E-3</v>
      </c>
      <c r="H1000" s="14">
        <v>3.3071958744789859E-3</v>
      </c>
    </row>
    <row r="1001" spans="2:8" x14ac:dyDescent="0.25">
      <c r="B1001" s="29">
        <v>993</v>
      </c>
      <c r="C1001" s="30">
        <v>0.72165697674418605</v>
      </c>
      <c r="D1001" s="28">
        <v>36690</v>
      </c>
      <c r="E1001" s="14">
        <v>4.372452908417257E-3</v>
      </c>
      <c r="F1001" s="14">
        <v>6.2363180095039716E-3</v>
      </c>
      <c r="G1001" s="14">
        <v>3.4670916070791424E-3</v>
      </c>
      <c r="H1001" s="14">
        <v>3.3167008330574179E-3</v>
      </c>
    </row>
    <row r="1002" spans="2:8" x14ac:dyDescent="0.25">
      <c r="B1002" s="29">
        <v>994</v>
      </c>
      <c r="C1002" s="30">
        <v>0.72238372093023251</v>
      </c>
      <c r="D1002" s="28">
        <v>36691</v>
      </c>
      <c r="E1002" s="14">
        <v>4.3917915696356502E-3</v>
      </c>
      <c r="F1002" s="14">
        <v>6.2409985597695616E-3</v>
      </c>
      <c r="G1002" s="14">
        <v>3.4906044563383087E-3</v>
      </c>
      <c r="H1002" s="14">
        <v>3.331978632162968E-3</v>
      </c>
    </row>
    <row r="1003" spans="2:8" x14ac:dyDescent="0.25">
      <c r="B1003" s="29">
        <v>995</v>
      </c>
      <c r="C1003" s="30">
        <v>0.72311046511627908</v>
      </c>
      <c r="D1003" s="28">
        <v>36692</v>
      </c>
      <c r="E1003" s="14">
        <v>4.3950576333031677E-3</v>
      </c>
      <c r="F1003" s="14">
        <v>6.3009828645805843E-3</v>
      </c>
      <c r="G1003" s="14">
        <v>3.497661804505281E-3</v>
      </c>
      <c r="H1003" s="14">
        <v>3.3395728560299937E-3</v>
      </c>
    </row>
    <row r="1004" spans="2:8" x14ac:dyDescent="0.25">
      <c r="B1004" s="29">
        <v>996</v>
      </c>
      <c r="C1004" s="30">
        <v>0.72383720930232553</v>
      </c>
      <c r="D1004" s="28">
        <v>36693</v>
      </c>
      <c r="E1004" s="14">
        <v>4.4247787610618428E-3</v>
      </c>
      <c r="F1004" s="14">
        <v>6.3147682674076222E-3</v>
      </c>
      <c r="G1004" s="14">
        <v>3.5029585798815877E-3</v>
      </c>
      <c r="H1004" s="14">
        <v>3.3531859338650433E-3</v>
      </c>
    </row>
    <row r="1005" spans="2:8" x14ac:dyDescent="0.25">
      <c r="B1005" s="29">
        <v>997</v>
      </c>
      <c r="C1005" s="30">
        <v>0.7245639534883721</v>
      </c>
      <c r="D1005" s="28">
        <v>36696</v>
      </c>
      <c r="E1005" s="14">
        <v>4.4322874149080871E-3</v>
      </c>
      <c r="F1005" s="14">
        <v>6.3418340896663761E-3</v>
      </c>
      <c r="G1005" s="14">
        <v>3.5154836374917675E-3</v>
      </c>
      <c r="H1005" s="14">
        <v>3.3587889413712272E-3</v>
      </c>
    </row>
    <row r="1006" spans="2:8" x14ac:dyDescent="0.25">
      <c r="B1006" s="29">
        <v>998</v>
      </c>
      <c r="C1006" s="30">
        <v>0.72529069767441856</v>
      </c>
      <c r="D1006" s="28">
        <v>36697</v>
      </c>
      <c r="E1006" s="14">
        <v>4.4990523749897093E-3</v>
      </c>
      <c r="F1006" s="14">
        <v>6.3431035848253714E-3</v>
      </c>
      <c r="G1006" s="14">
        <v>3.575401897353947E-3</v>
      </c>
      <c r="H1006" s="14">
        <v>3.3670947166890121E-3</v>
      </c>
    </row>
    <row r="1007" spans="2:8" x14ac:dyDescent="0.25">
      <c r="B1007" s="29">
        <v>999</v>
      </c>
      <c r="C1007" s="30">
        <v>0.72601744186046513</v>
      </c>
      <c r="D1007" s="28">
        <v>36698</v>
      </c>
      <c r="E1007" s="14">
        <v>4.5099005394417802E-3</v>
      </c>
      <c r="F1007" s="14">
        <v>6.3538962435993884E-3</v>
      </c>
      <c r="G1007" s="14">
        <v>3.5906486402570437E-3</v>
      </c>
      <c r="H1007" s="14">
        <v>3.3703247387655956E-3</v>
      </c>
    </row>
    <row r="1008" spans="2:8" x14ac:dyDescent="0.25">
      <c r="B1008" s="29">
        <v>1000</v>
      </c>
      <c r="C1008" s="30">
        <v>0.72674418604651159</v>
      </c>
      <c r="D1008" s="28">
        <v>36699</v>
      </c>
      <c r="E1008" s="14">
        <v>4.5396739323617652E-3</v>
      </c>
      <c r="F1008" s="14">
        <v>6.3779076734618023E-3</v>
      </c>
      <c r="G1008" s="14">
        <v>3.6038505738926752E-3</v>
      </c>
      <c r="H1008" s="14">
        <v>3.3774265726002287E-3</v>
      </c>
    </row>
    <row r="1009" spans="2:8" x14ac:dyDescent="0.25">
      <c r="B1009" s="29">
        <v>1001</v>
      </c>
      <c r="C1009" s="30">
        <v>0.72747093023255816</v>
      </c>
      <c r="D1009" s="28">
        <v>36700</v>
      </c>
      <c r="E1009" s="14">
        <v>4.5502632531766452E-3</v>
      </c>
      <c r="F1009" s="14">
        <v>6.3815619103992915E-3</v>
      </c>
      <c r="G1009" s="14">
        <v>3.6046012540629224E-3</v>
      </c>
      <c r="H1009" s="14">
        <v>3.3986756467870864E-3</v>
      </c>
    </row>
    <row r="1010" spans="2:8" x14ac:dyDescent="0.25">
      <c r="B1010" s="29">
        <v>1002</v>
      </c>
      <c r="C1010" s="30">
        <v>0.72819767441860461</v>
      </c>
      <c r="D1010" s="28">
        <v>36703</v>
      </c>
      <c r="E1010" s="14">
        <v>4.608370856319155E-3</v>
      </c>
      <c r="F1010" s="14">
        <v>6.4198325327695649E-3</v>
      </c>
      <c r="G1010" s="14">
        <v>3.6135707716615784E-3</v>
      </c>
      <c r="H1010" s="14">
        <v>3.4026572135034796E-3</v>
      </c>
    </row>
    <row r="1011" spans="2:8" x14ac:dyDescent="0.25">
      <c r="B1011" s="29">
        <v>1003</v>
      </c>
      <c r="C1011" s="30">
        <v>0.72892441860465118</v>
      </c>
      <c r="D1011" s="28">
        <v>36704</v>
      </c>
      <c r="E1011" s="14">
        <v>4.6223748393388053E-3</v>
      </c>
      <c r="F1011" s="14">
        <v>6.432429152254393E-3</v>
      </c>
      <c r="G1011" s="14">
        <v>3.6216459504476717E-3</v>
      </c>
      <c r="H1011" s="14">
        <v>3.4063743829432893E-3</v>
      </c>
    </row>
    <row r="1012" spans="2:8" x14ac:dyDescent="0.25">
      <c r="B1012" s="29">
        <v>1004</v>
      </c>
      <c r="C1012" s="30">
        <v>0.72965116279069764</v>
      </c>
      <c r="D1012" s="28">
        <v>36705</v>
      </c>
      <c r="E1012" s="14">
        <v>4.623616696398436E-3</v>
      </c>
      <c r="F1012" s="14">
        <v>6.4611334902084927E-3</v>
      </c>
      <c r="G1012" s="14">
        <v>3.6280521285161349E-3</v>
      </c>
      <c r="H1012" s="14">
        <v>3.4244463220125978E-3</v>
      </c>
    </row>
    <row r="1013" spans="2:8" x14ac:dyDescent="0.25">
      <c r="B1013" s="29">
        <v>1005</v>
      </c>
      <c r="C1013" s="30">
        <v>0.73037790697674421</v>
      </c>
      <c r="D1013" s="28">
        <v>36706</v>
      </c>
      <c r="E1013" s="14">
        <v>4.6475422830092317E-3</v>
      </c>
      <c r="F1013" s="14">
        <v>6.4967926360566253E-3</v>
      </c>
      <c r="G1013" s="14">
        <v>3.6324166054055862E-3</v>
      </c>
      <c r="H1013" s="14">
        <v>3.4548778819633252E-3</v>
      </c>
    </row>
    <row r="1014" spans="2:8" x14ac:dyDescent="0.25">
      <c r="B1014" s="29">
        <v>1006</v>
      </c>
      <c r="C1014" s="30">
        <v>0.73110465116279066</v>
      </c>
      <c r="D1014" s="28">
        <v>36707</v>
      </c>
      <c r="E1014" s="14">
        <v>4.6669907632475027E-3</v>
      </c>
      <c r="F1014" s="14">
        <v>6.4982051900512872E-3</v>
      </c>
      <c r="G1014" s="14">
        <v>3.6532388432721774E-3</v>
      </c>
      <c r="H1014" s="14">
        <v>3.4681987807811511E-3</v>
      </c>
    </row>
    <row r="1015" spans="2:8" x14ac:dyDescent="0.25">
      <c r="B1015" s="29">
        <v>1007</v>
      </c>
      <c r="C1015" s="30">
        <v>0.73183139534883723</v>
      </c>
      <c r="D1015" s="28">
        <v>36710</v>
      </c>
      <c r="E1015" s="14">
        <v>4.6758307176100189E-3</v>
      </c>
      <c r="F1015" s="14">
        <v>6.6543145717061769E-3</v>
      </c>
      <c r="G1015" s="14">
        <v>3.6568377060599566E-3</v>
      </c>
      <c r="H1015" s="14">
        <v>3.481756643816203E-3</v>
      </c>
    </row>
    <row r="1016" spans="2:8" x14ac:dyDescent="0.25">
      <c r="B1016" s="29">
        <v>1008</v>
      </c>
      <c r="C1016" s="30">
        <v>0.73255813953488369</v>
      </c>
      <c r="D1016" s="28">
        <v>36711</v>
      </c>
      <c r="E1016" s="14">
        <v>4.739101717305072E-3</v>
      </c>
      <c r="F1016" s="14">
        <v>6.7787216354198154E-3</v>
      </c>
      <c r="G1016" s="14">
        <v>3.6662486642700109E-3</v>
      </c>
      <c r="H1016" s="14">
        <v>3.4909580057585383E-3</v>
      </c>
    </row>
    <row r="1017" spans="2:8" x14ac:dyDescent="0.25">
      <c r="B1017" s="29">
        <v>1009</v>
      </c>
      <c r="C1017" s="30">
        <v>0.73328488372093026</v>
      </c>
      <c r="D1017" s="28">
        <v>36712</v>
      </c>
      <c r="E1017" s="14">
        <v>4.7632562064381379E-3</v>
      </c>
      <c r="F1017" s="14">
        <v>6.8046791394515971E-3</v>
      </c>
      <c r="G1017" s="14">
        <v>3.6825458476590356E-3</v>
      </c>
      <c r="H1017" s="14">
        <v>3.504411689101072E-3</v>
      </c>
    </row>
    <row r="1018" spans="2:8" x14ac:dyDescent="0.25">
      <c r="B1018" s="29">
        <v>1010</v>
      </c>
      <c r="C1018" s="30">
        <v>0.73401162790697672</v>
      </c>
      <c r="D1018" s="28">
        <v>36713</v>
      </c>
      <c r="E1018" s="14">
        <v>4.7784433929281001E-3</v>
      </c>
      <c r="F1018" s="14">
        <v>6.8221495279581212E-3</v>
      </c>
      <c r="G1018" s="14">
        <v>3.7123185195044872E-3</v>
      </c>
      <c r="H1018" s="14">
        <v>3.5180110884750928E-3</v>
      </c>
    </row>
    <row r="1019" spans="2:8" x14ac:dyDescent="0.25">
      <c r="B1019" s="29">
        <v>1011</v>
      </c>
      <c r="C1019" s="30">
        <v>0.73473837209302328</v>
      </c>
      <c r="D1019" s="28">
        <v>36714</v>
      </c>
      <c r="E1019" s="14">
        <v>4.8348106365834198E-3</v>
      </c>
      <c r="F1019" s="14">
        <v>6.8290980279082092E-3</v>
      </c>
      <c r="G1019" s="14">
        <v>3.7847491760707452E-3</v>
      </c>
      <c r="H1019" s="14">
        <v>3.5225680162869191E-3</v>
      </c>
    </row>
    <row r="1020" spans="2:8" x14ac:dyDescent="0.25">
      <c r="B1020" s="29">
        <v>1012</v>
      </c>
      <c r="C1020" s="30">
        <v>0.73546511627906974</v>
      </c>
      <c r="D1020" s="28">
        <v>36717</v>
      </c>
      <c r="E1020" s="14">
        <v>4.8788420881444861E-3</v>
      </c>
      <c r="F1020" s="14">
        <v>6.8755235382811364E-3</v>
      </c>
      <c r="G1020" s="14">
        <v>3.7898664800886106E-3</v>
      </c>
      <c r="H1020" s="14">
        <v>3.5321376499920735E-3</v>
      </c>
    </row>
    <row r="1021" spans="2:8" x14ac:dyDescent="0.25">
      <c r="B1021" s="29">
        <v>1013</v>
      </c>
      <c r="C1021" s="30">
        <v>0.73619186046511631</v>
      </c>
      <c r="D1021" s="28">
        <v>36718</v>
      </c>
      <c r="E1021" s="14">
        <v>4.8935206162210587E-3</v>
      </c>
      <c r="F1021" s="14">
        <v>6.8757299953721152E-3</v>
      </c>
      <c r="G1021" s="14">
        <v>3.7985368598760783E-3</v>
      </c>
      <c r="H1021" s="14">
        <v>3.5450022081647383E-3</v>
      </c>
    </row>
    <row r="1022" spans="2:8" x14ac:dyDescent="0.25">
      <c r="B1022" s="29">
        <v>1014</v>
      </c>
      <c r="C1022" s="30">
        <v>0.73691860465116277</v>
      </c>
      <c r="D1022" s="28">
        <v>36719</v>
      </c>
      <c r="E1022" s="14">
        <v>4.9407114624506754E-3</v>
      </c>
      <c r="F1022" s="14">
        <v>6.8789423731092647E-3</v>
      </c>
      <c r="G1022" s="14">
        <v>3.8037702075293112E-3</v>
      </c>
      <c r="H1022" s="14">
        <v>3.5496568535874134E-3</v>
      </c>
    </row>
    <row r="1023" spans="2:8" x14ac:dyDescent="0.25">
      <c r="B1023" s="29">
        <v>1015</v>
      </c>
      <c r="C1023" s="30">
        <v>0.73764534883720934</v>
      </c>
      <c r="D1023" s="28">
        <v>36720</v>
      </c>
      <c r="E1023" s="14">
        <v>4.9504950495049549E-3</v>
      </c>
      <c r="F1023" s="14">
        <v>6.9052977268226901E-3</v>
      </c>
      <c r="G1023" s="14">
        <v>3.8107681419783379E-3</v>
      </c>
      <c r="H1023" s="14">
        <v>3.5519173942199613E-3</v>
      </c>
    </row>
    <row r="1024" spans="2:8" x14ac:dyDescent="0.25">
      <c r="B1024" s="29">
        <v>1016</v>
      </c>
      <c r="C1024" s="30">
        <v>0.73837209302325579</v>
      </c>
      <c r="D1024" s="28">
        <v>36721</v>
      </c>
      <c r="E1024" s="14">
        <v>4.9866841687722374E-3</v>
      </c>
      <c r="F1024" s="14">
        <v>6.9410014873574344E-3</v>
      </c>
      <c r="G1024" s="14">
        <v>3.8282028423093362E-3</v>
      </c>
      <c r="H1024" s="14">
        <v>3.5838389316692702E-3</v>
      </c>
    </row>
    <row r="1025" spans="2:8" x14ac:dyDescent="0.25">
      <c r="B1025" s="29">
        <v>1017</v>
      </c>
      <c r="C1025" s="30">
        <v>0.73909883720930236</v>
      </c>
      <c r="D1025" s="28">
        <v>36724</v>
      </c>
      <c r="E1025" s="14">
        <v>5.0102489717025467E-3</v>
      </c>
      <c r="F1025" s="14">
        <v>6.952174774122577E-3</v>
      </c>
      <c r="G1025" s="14">
        <v>3.8289559234723214E-3</v>
      </c>
      <c r="H1025" s="14">
        <v>3.6028863527749703E-3</v>
      </c>
    </row>
    <row r="1026" spans="2:8" x14ac:dyDescent="0.25">
      <c r="B1026" s="29">
        <v>1018</v>
      </c>
      <c r="C1026" s="30">
        <v>0.73982558139534882</v>
      </c>
      <c r="D1026" s="28">
        <v>36725</v>
      </c>
      <c r="E1026" s="14">
        <v>5.0295342077688598E-3</v>
      </c>
      <c r="F1026" s="14">
        <v>6.9560859271036168E-3</v>
      </c>
      <c r="G1026" s="14">
        <v>3.8317157686986736E-3</v>
      </c>
      <c r="H1026" s="14">
        <v>3.6156624383924425E-3</v>
      </c>
    </row>
    <row r="1027" spans="2:8" x14ac:dyDescent="0.25">
      <c r="B1027" s="29">
        <v>1019</v>
      </c>
      <c r="C1027" s="30">
        <v>0.74055232558139539</v>
      </c>
      <c r="D1027" s="28">
        <v>36726</v>
      </c>
      <c r="E1027" s="14">
        <v>5.0407940549808128E-3</v>
      </c>
      <c r="F1027" s="14">
        <v>6.9740305554801818E-3</v>
      </c>
      <c r="G1027" s="14">
        <v>3.8530105238945289E-3</v>
      </c>
      <c r="H1027" s="14">
        <v>3.6308094709486486E-3</v>
      </c>
    </row>
    <row r="1028" spans="2:8" x14ac:dyDescent="0.25">
      <c r="B1028" s="29">
        <v>1020</v>
      </c>
      <c r="C1028" s="30">
        <v>0.74127906976744184</v>
      </c>
      <c r="D1028" s="28">
        <v>36727</v>
      </c>
      <c r="E1028" s="14">
        <v>5.0562714076007875E-3</v>
      </c>
      <c r="F1028" s="14">
        <v>6.9853117075737714E-3</v>
      </c>
      <c r="G1028" s="14">
        <v>3.8787804162954131E-3</v>
      </c>
      <c r="H1028" s="14">
        <v>3.6472654464682732E-3</v>
      </c>
    </row>
    <row r="1029" spans="2:8" x14ac:dyDescent="0.25">
      <c r="B1029" s="29">
        <v>1021</v>
      </c>
      <c r="C1029" s="30">
        <v>0.74200581395348841</v>
      </c>
      <c r="D1029" s="28">
        <v>36728</v>
      </c>
      <c r="E1029" s="14">
        <v>5.0763162407820861E-3</v>
      </c>
      <c r="F1029" s="14">
        <v>7.0182251934864937E-3</v>
      </c>
      <c r="G1029" s="14">
        <v>3.8838230327591372E-3</v>
      </c>
      <c r="H1029" s="14">
        <v>3.6570797700353989E-3</v>
      </c>
    </row>
    <row r="1030" spans="2:8" x14ac:dyDescent="0.25">
      <c r="B1030" s="29">
        <v>1022</v>
      </c>
      <c r="C1030" s="30">
        <v>0.74273255813953487</v>
      </c>
      <c r="D1030" s="28">
        <v>36731</v>
      </c>
      <c r="E1030" s="14">
        <v>5.0795800880460984E-3</v>
      </c>
      <c r="F1030" s="14">
        <v>7.0299052491031855E-3</v>
      </c>
      <c r="G1030" s="14">
        <v>3.8919986550260965E-3</v>
      </c>
      <c r="H1030" s="14">
        <v>3.683991524237617E-3</v>
      </c>
    </row>
    <row r="1031" spans="2:8" x14ac:dyDescent="0.25">
      <c r="B1031" s="29">
        <v>1023</v>
      </c>
      <c r="C1031" s="30">
        <v>0.74345930232558144</v>
      </c>
      <c r="D1031" s="28">
        <v>36732</v>
      </c>
      <c r="E1031" s="14">
        <v>5.1135800721076041E-3</v>
      </c>
      <c r="F1031" s="14">
        <v>7.0487198876527657E-3</v>
      </c>
      <c r="G1031" s="14">
        <v>3.8930554760405744E-3</v>
      </c>
      <c r="H1031" s="14">
        <v>3.6877090077980677E-3</v>
      </c>
    </row>
    <row r="1032" spans="2:8" x14ac:dyDescent="0.25">
      <c r="B1032" s="29">
        <v>1024</v>
      </c>
      <c r="C1032" s="30">
        <v>0.7441860465116279</v>
      </c>
      <c r="D1032" s="28">
        <v>36733</v>
      </c>
      <c r="E1032" s="14">
        <v>5.1467252869954461E-3</v>
      </c>
      <c r="F1032" s="14">
        <v>7.0598865211299877E-3</v>
      </c>
      <c r="G1032" s="14">
        <v>3.8948959423321661E-3</v>
      </c>
      <c r="H1032" s="14">
        <v>3.7068143842343029E-3</v>
      </c>
    </row>
    <row r="1033" spans="2:8" x14ac:dyDescent="0.25">
      <c r="B1033" s="29">
        <v>1025</v>
      </c>
      <c r="C1033" s="30">
        <v>0.74491279069767447</v>
      </c>
      <c r="D1033" s="28">
        <v>36734</v>
      </c>
      <c r="E1033" s="14">
        <v>5.1627779876199931E-3</v>
      </c>
      <c r="F1033" s="14">
        <v>7.1036627988254608E-3</v>
      </c>
      <c r="G1033" s="14">
        <v>3.90255439924303E-3</v>
      </c>
      <c r="H1033" s="14">
        <v>3.7169847179021609E-3</v>
      </c>
    </row>
    <row r="1034" spans="2:8" x14ac:dyDescent="0.25">
      <c r="B1034" s="29">
        <v>1026</v>
      </c>
      <c r="C1034" s="30">
        <v>0.74563953488372092</v>
      </c>
      <c r="D1034" s="28">
        <v>36735</v>
      </c>
      <c r="E1034" s="14">
        <v>5.1760196308370254E-3</v>
      </c>
      <c r="F1034" s="14">
        <v>7.1331394081524113E-3</v>
      </c>
      <c r="G1034" s="14">
        <v>3.903458134037141E-3</v>
      </c>
      <c r="H1034" s="14">
        <v>3.7199022973988696E-3</v>
      </c>
    </row>
    <row r="1035" spans="2:8" x14ac:dyDescent="0.25">
      <c r="B1035" s="29">
        <v>1027</v>
      </c>
      <c r="C1035" s="30">
        <v>0.74636627906976749</v>
      </c>
      <c r="D1035" s="28">
        <v>36738</v>
      </c>
      <c r="E1035" s="14">
        <v>5.1813151746147312E-3</v>
      </c>
      <c r="F1035" s="14">
        <v>7.1391198986616722E-3</v>
      </c>
      <c r="G1035" s="14">
        <v>3.906797805520057E-3</v>
      </c>
      <c r="H1035" s="14">
        <v>3.7209775755224538E-3</v>
      </c>
    </row>
    <row r="1036" spans="2:8" x14ac:dyDescent="0.25">
      <c r="B1036" s="29">
        <v>1028</v>
      </c>
      <c r="C1036" s="30">
        <v>0.74709302325581395</v>
      </c>
      <c r="D1036" s="28">
        <v>36739</v>
      </c>
      <c r="E1036" s="14">
        <v>5.1849094398941364E-3</v>
      </c>
      <c r="F1036" s="14">
        <v>7.154466825332273E-3</v>
      </c>
      <c r="G1036" s="14">
        <v>3.9146750928478191E-3</v>
      </c>
      <c r="H1036" s="14">
        <v>3.7253413296115308E-3</v>
      </c>
    </row>
    <row r="1037" spans="2:8" x14ac:dyDescent="0.25">
      <c r="B1037" s="29">
        <v>1029</v>
      </c>
      <c r="C1037" s="30">
        <v>0.74781976744186052</v>
      </c>
      <c r="D1037" s="28">
        <v>36740</v>
      </c>
      <c r="E1037" s="14">
        <v>5.219840027853806E-3</v>
      </c>
      <c r="F1037" s="14">
        <v>7.1643636754663564E-3</v>
      </c>
      <c r="G1037" s="14">
        <v>3.9535220095463508E-3</v>
      </c>
      <c r="H1037" s="14">
        <v>3.7398499845857631E-3</v>
      </c>
    </row>
    <row r="1038" spans="2:8" x14ac:dyDescent="0.25">
      <c r="B1038" s="29">
        <v>1030</v>
      </c>
      <c r="C1038" s="30">
        <v>0.74854651162790697</v>
      </c>
      <c r="D1038" s="28">
        <v>36741</v>
      </c>
      <c r="E1038" s="14">
        <v>5.2329507089803329E-3</v>
      </c>
      <c r="F1038" s="14">
        <v>7.1743974403970512E-3</v>
      </c>
      <c r="G1038" s="14">
        <v>3.9657267931303419E-3</v>
      </c>
      <c r="H1038" s="14">
        <v>3.7567665653340135E-3</v>
      </c>
    </row>
    <row r="1039" spans="2:8" x14ac:dyDescent="0.25">
      <c r="B1039" s="29">
        <v>1031</v>
      </c>
      <c r="C1039" s="30">
        <v>0.74927325581395354</v>
      </c>
      <c r="D1039" s="28">
        <v>36742</v>
      </c>
      <c r="E1039" s="14">
        <v>5.2409849041148426E-3</v>
      </c>
      <c r="F1039" s="14">
        <v>7.18044288533215E-3</v>
      </c>
      <c r="G1039" s="14">
        <v>3.9688756593034835E-3</v>
      </c>
      <c r="H1039" s="14">
        <v>3.7580571428462496E-3</v>
      </c>
    </row>
    <row r="1040" spans="2:8" x14ac:dyDescent="0.25">
      <c r="B1040" s="29">
        <v>1032</v>
      </c>
      <c r="C1040" s="30">
        <v>0.75</v>
      </c>
      <c r="D1040" s="28">
        <v>36745</v>
      </c>
      <c r="E1040" s="14">
        <v>5.2594670406731492E-3</v>
      </c>
      <c r="F1040" s="14">
        <v>7.1844608075584127E-3</v>
      </c>
      <c r="G1040" s="14">
        <v>3.9749078841122554E-3</v>
      </c>
      <c r="H1040" s="14">
        <v>3.7717923559145382E-3</v>
      </c>
    </row>
    <row r="1041" spans="2:8" x14ac:dyDescent="0.25">
      <c r="B1041" s="29">
        <v>1033</v>
      </c>
      <c r="C1041" s="30">
        <v>0.75072674418604646</v>
      </c>
      <c r="D1041" s="28">
        <v>36746</v>
      </c>
      <c r="E1041" s="14">
        <v>5.2664307708962799E-3</v>
      </c>
      <c r="F1041" s="14">
        <v>7.2336210152723623E-3</v>
      </c>
      <c r="G1041" s="14">
        <v>3.9796874952020556E-3</v>
      </c>
      <c r="H1041" s="14">
        <v>3.7829319635696466E-3</v>
      </c>
    </row>
    <row r="1042" spans="2:8" x14ac:dyDescent="0.25">
      <c r="B1042" s="29">
        <v>1034</v>
      </c>
      <c r="C1042" s="30">
        <v>0.75145348837209303</v>
      </c>
      <c r="D1042" s="28">
        <v>36747</v>
      </c>
      <c r="E1042" s="14">
        <v>5.2844570774637223E-3</v>
      </c>
      <c r="F1042" s="14">
        <v>7.3089841357021346E-3</v>
      </c>
      <c r="G1042" s="14">
        <v>4.0001601042751744E-3</v>
      </c>
      <c r="H1042" s="14">
        <v>3.7948128400035145E-3</v>
      </c>
    </row>
    <row r="1043" spans="2:8" x14ac:dyDescent="0.25">
      <c r="B1043" s="29">
        <v>1035</v>
      </c>
      <c r="C1043" s="30">
        <v>0.75218023255813948</v>
      </c>
      <c r="D1043" s="28">
        <v>36748</v>
      </c>
      <c r="E1043" s="14">
        <v>5.2926396141195209E-3</v>
      </c>
      <c r="F1043" s="14">
        <v>7.4296141814389483E-3</v>
      </c>
      <c r="G1043" s="14">
        <v>4.0085351794627577E-3</v>
      </c>
      <c r="H1043" s="14">
        <v>3.8215567524364502E-3</v>
      </c>
    </row>
    <row r="1044" spans="2:8" x14ac:dyDescent="0.25">
      <c r="B1044" s="29">
        <v>1036</v>
      </c>
      <c r="C1044" s="30">
        <v>0.75290697674418605</v>
      </c>
      <c r="D1044" s="28">
        <v>36749</v>
      </c>
      <c r="E1044" s="14">
        <v>5.2966454578764477E-3</v>
      </c>
      <c r="F1044" s="14">
        <v>7.4515081700463615E-3</v>
      </c>
      <c r="G1044" s="14">
        <v>4.0166617078252198E-3</v>
      </c>
      <c r="H1044" s="14">
        <v>3.8368250081151078E-3</v>
      </c>
    </row>
    <row r="1045" spans="2:8" x14ac:dyDescent="0.25">
      <c r="B1045" s="29">
        <v>1037</v>
      </c>
      <c r="C1045" s="30">
        <v>0.75363372093023251</v>
      </c>
      <c r="D1045" s="28">
        <v>36752</v>
      </c>
      <c r="E1045" s="14">
        <v>5.3083830070392857E-3</v>
      </c>
      <c r="F1045" s="14">
        <v>7.4633852738581474E-3</v>
      </c>
      <c r="G1045" s="14">
        <v>4.0321612688012376E-3</v>
      </c>
      <c r="H1045" s="14">
        <v>3.8530101494733239E-3</v>
      </c>
    </row>
    <row r="1046" spans="2:8" x14ac:dyDescent="0.25">
      <c r="B1046" s="29">
        <v>1038</v>
      </c>
      <c r="C1046" s="30">
        <v>0.75436046511627908</v>
      </c>
      <c r="D1046" s="28">
        <v>36753</v>
      </c>
      <c r="E1046" s="14">
        <v>5.3230871560323578E-3</v>
      </c>
      <c r="F1046" s="14">
        <v>7.4985140139911532E-3</v>
      </c>
      <c r="G1046" s="14">
        <v>4.0327729923756994E-3</v>
      </c>
      <c r="H1046" s="14">
        <v>3.8611859507753812E-3</v>
      </c>
    </row>
    <row r="1047" spans="2:8" x14ac:dyDescent="0.25">
      <c r="B1047" s="29">
        <v>1039</v>
      </c>
      <c r="C1047" s="30">
        <v>0.75508720930232553</v>
      </c>
      <c r="D1047" s="28">
        <v>36754</v>
      </c>
      <c r="E1047" s="14">
        <v>5.329989026493287E-3</v>
      </c>
      <c r="F1047" s="14">
        <v>7.5167681751600046E-3</v>
      </c>
      <c r="G1047" s="14">
        <v>4.0673693858845894E-3</v>
      </c>
      <c r="H1047" s="14">
        <v>3.863418606781677E-3</v>
      </c>
    </row>
    <row r="1048" spans="2:8" x14ac:dyDescent="0.25">
      <c r="B1048" s="29">
        <v>1040</v>
      </c>
      <c r="C1048" s="30">
        <v>0.7558139534883721</v>
      </c>
      <c r="D1048" s="28">
        <v>36755</v>
      </c>
      <c r="E1048" s="14">
        <v>5.3857263187662152E-3</v>
      </c>
      <c r="F1048" s="14">
        <v>7.5753402016418558E-3</v>
      </c>
      <c r="G1048" s="14">
        <v>4.0946825218757255E-3</v>
      </c>
      <c r="H1048" s="14">
        <v>3.8748033936526934E-3</v>
      </c>
    </row>
    <row r="1049" spans="2:8" x14ac:dyDescent="0.25">
      <c r="B1049" s="29">
        <v>1041</v>
      </c>
      <c r="C1049" s="30">
        <v>0.75654069767441856</v>
      </c>
      <c r="D1049" s="28">
        <v>36756</v>
      </c>
      <c r="E1049" s="14">
        <v>5.441825023559721E-3</v>
      </c>
      <c r="F1049" s="14">
        <v>7.5825527311059737E-3</v>
      </c>
      <c r="G1049" s="14">
        <v>4.1026173660159149E-3</v>
      </c>
      <c r="H1049" s="14">
        <v>3.8792752553107775E-3</v>
      </c>
    </row>
    <row r="1050" spans="2:8" x14ac:dyDescent="0.25">
      <c r="B1050" s="29">
        <v>1042</v>
      </c>
      <c r="C1050" s="30">
        <v>0.75726744186046513</v>
      </c>
      <c r="D1050" s="28">
        <v>36759</v>
      </c>
      <c r="E1050" s="14">
        <v>5.461813257167325E-3</v>
      </c>
      <c r="F1050" s="14">
        <v>7.631549671821336E-3</v>
      </c>
      <c r="G1050" s="14">
        <v>4.1103934233703843E-3</v>
      </c>
      <c r="H1050" s="14">
        <v>3.8860065399975779E-3</v>
      </c>
    </row>
    <row r="1051" spans="2:8" x14ac:dyDescent="0.25">
      <c r="B1051" s="29">
        <v>1043</v>
      </c>
      <c r="C1051" s="30">
        <v>0.75799418604651159</v>
      </c>
      <c r="D1051" s="28">
        <v>36760</v>
      </c>
      <c r="E1051" s="14">
        <v>5.4854360838321181E-3</v>
      </c>
      <c r="F1051" s="14">
        <v>7.704822204536832E-3</v>
      </c>
      <c r="G1051" s="14">
        <v>4.1337129100946779E-3</v>
      </c>
      <c r="H1051" s="14">
        <v>3.8922210854157148E-3</v>
      </c>
    </row>
    <row r="1052" spans="2:8" x14ac:dyDescent="0.25">
      <c r="B1052" s="29">
        <v>1044</v>
      </c>
      <c r="C1052" s="30">
        <v>0.75872093023255816</v>
      </c>
      <c r="D1052" s="28">
        <v>36761</v>
      </c>
      <c r="E1052" s="14">
        <v>5.490368994111039E-3</v>
      </c>
      <c r="F1052" s="14">
        <v>7.7302567688304347E-3</v>
      </c>
      <c r="G1052" s="14">
        <v>4.1504823761167042E-3</v>
      </c>
      <c r="H1052" s="14">
        <v>3.8956614171635987E-3</v>
      </c>
    </row>
    <row r="1053" spans="2:8" x14ac:dyDescent="0.25">
      <c r="B1053" s="29">
        <v>1045</v>
      </c>
      <c r="C1053" s="30">
        <v>0.75944767441860461</v>
      </c>
      <c r="D1053" s="28">
        <v>36762</v>
      </c>
      <c r="E1053" s="14">
        <v>5.4968219003213026E-3</v>
      </c>
      <c r="F1053" s="14">
        <v>7.7507403115746332E-3</v>
      </c>
      <c r="G1053" s="14">
        <v>4.1631023666950373E-3</v>
      </c>
      <c r="H1053" s="14">
        <v>3.8960235690292948E-3</v>
      </c>
    </row>
    <row r="1054" spans="2:8" x14ac:dyDescent="0.25">
      <c r="B1054" s="29">
        <v>1046</v>
      </c>
      <c r="C1054" s="30">
        <v>0.76017441860465118</v>
      </c>
      <c r="D1054" s="28">
        <v>36763</v>
      </c>
      <c r="E1054" s="14">
        <v>5.5062414379150049E-3</v>
      </c>
      <c r="F1054" s="14">
        <v>7.7939247902252262E-3</v>
      </c>
      <c r="G1054" s="14">
        <v>4.1686968761842635E-3</v>
      </c>
      <c r="H1054" s="14">
        <v>3.8967090595006804E-3</v>
      </c>
    </row>
    <row r="1055" spans="2:8" x14ac:dyDescent="0.25">
      <c r="B1055" s="29">
        <v>1047</v>
      </c>
      <c r="C1055" s="30">
        <v>0.76090116279069764</v>
      </c>
      <c r="D1055" s="28">
        <v>36766</v>
      </c>
      <c r="E1055" s="14">
        <v>5.5160176666859684E-3</v>
      </c>
      <c r="F1055" s="14">
        <v>7.8110946602276687E-3</v>
      </c>
      <c r="G1055" s="14">
        <v>4.1747685939486079E-3</v>
      </c>
      <c r="H1055" s="14">
        <v>3.9124425245721023E-3</v>
      </c>
    </row>
    <row r="1056" spans="2:8" x14ac:dyDescent="0.25">
      <c r="B1056" s="29">
        <v>1048</v>
      </c>
      <c r="C1056" s="30">
        <v>0.76162790697674421</v>
      </c>
      <c r="D1056" s="28">
        <v>36767</v>
      </c>
      <c r="E1056" s="14">
        <v>5.5402201453245148E-3</v>
      </c>
      <c r="F1056" s="14">
        <v>7.8140295026429829E-3</v>
      </c>
      <c r="G1056" s="14">
        <v>4.1931137996957801E-3</v>
      </c>
      <c r="H1056" s="14">
        <v>3.9179062504274935E-3</v>
      </c>
    </row>
    <row r="1057" spans="2:8" x14ac:dyDescent="0.25">
      <c r="B1057" s="29">
        <v>1049</v>
      </c>
      <c r="C1057" s="30">
        <v>0.76235465116279066</v>
      </c>
      <c r="D1057" s="28">
        <v>36768</v>
      </c>
      <c r="E1057" s="14">
        <v>5.5565303854476777E-3</v>
      </c>
      <c r="F1057" s="14">
        <v>7.9369970895393216E-3</v>
      </c>
      <c r="G1057" s="14">
        <v>4.2023022122485987E-3</v>
      </c>
      <c r="H1057" s="14">
        <v>3.9597467574262529E-3</v>
      </c>
    </row>
    <row r="1058" spans="2:8" x14ac:dyDescent="0.25">
      <c r="B1058" s="29">
        <v>1050</v>
      </c>
      <c r="C1058" s="30">
        <v>0.76308139534883723</v>
      </c>
      <c r="D1058" s="28">
        <v>36769</v>
      </c>
      <c r="E1058" s="14">
        <v>5.5761863989718385E-3</v>
      </c>
      <c r="F1058" s="14">
        <v>7.937577070143087E-3</v>
      </c>
      <c r="G1058" s="14">
        <v>4.2034442072855782E-3</v>
      </c>
      <c r="H1058" s="14">
        <v>3.9631096205727358E-3</v>
      </c>
    </row>
    <row r="1059" spans="2:8" x14ac:dyDescent="0.25">
      <c r="B1059" s="29">
        <v>1051</v>
      </c>
      <c r="C1059" s="30">
        <v>0.76380813953488369</v>
      </c>
      <c r="D1059" s="28">
        <v>36770</v>
      </c>
      <c r="E1059" s="14">
        <v>5.5762081784387352E-3</v>
      </c>
      <c r="F1059" s="14">
        <v>7.9873850030507398E-3</v>
      </c>
      <c r="G1059" s="14">
        <v>4.2069410120786355E-3</v>
      </c>
      <c r="H1059" s="14">
        <v>3.9655374368204217E-3</v>
      </c>
    </row>
    <row r="1060" spans="2:8" x14ac:dyDescent="0.25">
      <c r="B1060" s="29">
        <v>1052</v>
      </c>
      <c r="C1060" s="30">
        <v>0.76453488372093026</v>
      </c>
      <c r="D1060" s="28">
        <v>36773</v>
      </c>
      <c r="E1060" s="14">
        <v>5.5875102711584468E-3</v>
      </c>
      <c r="F1060" s="14">
        <v>8.0005981755644218E-3</v>
      </c>
      <c r="G1060" s="14">
        <v>4.2642742426757252E-3</v>
      </c>
      <c r="H1060" s="14">
        <v>3.9702503480566701E-3</v>
      </c>
    </row>
    <row r="1061" spans="2:8" x14ac:dyDescent="0.25">
      <c r="B1061" s="29">
        <v>1053</v>
      </c>
      <c r="C1061" s="30">
        <v>0.76526162790697672</v>
      </c>
      <c r="D1061" s="28">
        <v>36774</v>
      </c>
      <c r="E1061" s="14">
        <v>5.6071698927324665E-3</v>
      </c>
      <c r="F1061" s="14">
        <v>8.0016446067965319E-3</v>
      </c>
      <c r="G1061" s="14">
        <v>4.2903880690448037E-3</v>
      </c>
      <c r="H1061" s="14">
        <v>3.9720410105100312E-3</v>
      </c>
    </row>
    <row r="1062" spans="2:8" x14ac:dyDescent="0.25">
      <c r="B1062" s="29">
        <v>1054</v>
      </c>
      <c r="C1062" s="30">
        <v>0.76598837209302328</v>
      </c>
      <c r="D1062" s="28">
        <v>36775</v>
      </c>
      <c r="E1062" s="14">
        <v>5.6202572738708323E-3</v>
      </c>
      <c r="F1062" s="14">
        <v>8.0269485073132252E-3</v>
      </c>
      <c r="G1062" s="14">
        <v>4.3105686834588042E-3</v>
      </c>
      <c r="H1062" s="14">
        <v>3.9943393162270805E-3</v>
      </c>
    </row>
    <row r="1063" spans="2:8" x14ac:dyDescent="0.25">
      <c r="B1063" s="29">
        <v>1055</v>
      </c>
      <c r="C1063" s="30">
        <v>0.76671511627906974</v>
      </c>
      <c r="D1063" s="28">
        <v>36776</v>
      </c>
      <c r="E1063" s="14">
        <v>5.6652291300085533E-3</v>
      </c>
      <c r="F1063" s="14">
        <v>8.0358892833032325E-3</v>
      </c>
      <c r="G1063" s="14">
        <v>4.3133063317237763E-3</v>
      </c>
      <c r="H1063" s="14">
        <v>4.0046539816598788E-3</v>
      </c>
    </row>
    <row r="1064" spans="2:8" x14ac:dyDescent="0.25">
      <c r="B1064" s="29">
        <v>1056</v>
      </c>
      <c r="C1064" s="30">
        <v>0.76744186046511631</v>
      </c>
      <c r="D1064" s="28">
        <v>36777</v>
      </c>
      <c r="E1064" s="14">
        <v>5.6819411512958329E-3</v>
      </c>
      <c r="F1064" s="14">
        <v>8.051161225176795E-3</v>
      </c>
      <c r="G1064" s="14">
        <v>4.3247493611164867E-3</v>
      </c>
      <c r="H1064" s="14">
        <v>4.0050073105970087E-3</v>
      </c>
    </row>
    <row r="1065" spans="2:8" x14ac:dyDescent="0.25">
      <c r="B1065" s="29">
        <v>1057</v>
      </c>
      <c r="C1065" s="30">
        <v>0.76816860465116277</v>
      </c>
      <c r="D1065" s="28">
        <v>36780</v>
      </c>
      <c r="E1065" s="14">
        <v>5.694883643753812E-3</v>
      </c>
      <c r="F1065" s="14">
        <v>8.0707236215371569E-3</v>
      </c>
      <c r="G1065" s="14">
        <v>4.328438558781178E-3</v>
      </c>
      <c r="H1065" s="14">
        <v>4.0161370651740531E-3</v>
      </c>
    </row>
    <row r="1066" spans="2:8" x14ac:dyDescent="0.25">
      <c r="B1066" s="29">
        <v>1058</v>
      </c>
      <c r="C1066" s="30">
        <v>0.76889534883720934</v>
      </c>
      <c r="D1066" s="28">
        <v>36781</v>
      </c>
      <c r="E1066" s="14">
        <v>5.7358243198948333E-3</v>
      </c>
      <c r="F1066" s="14">
        <v>8.0732499753863873E-3</v>
      </c>
      <c r="G1066" s="14">
        <v>4.346614655893033E-3</v>
      </c>
      <c r="H1066" s="14">
        <v>4.0196675466804615E-3</v>
      </c>
    </row>
    <row r="1067" spans="2:8" x14ac:dyDescent="0.25">
      <c r="B1067" s="29">
        <v>1059</v>
      </c>
      <c r="C1067" s="30">
        <v>0.76962209302325579</v>
      </c>
      <c r="D1067" s="28">
        <v>36782</v>
      </c>
      <c r="E1067" s="14">
        <v>5.7560833696985725E-3</v>
      </c>
      <c r="F1067" s="14">
        <v>8.0989039292562737E-3</v>
      </c>
      <c r="G1067" s="14">
        <v>4.3473264023443647E-3</v>
      </c>
      <c r="H1067" s="14">
        <v>4.019682300751227E-3</v>
      </c>
    </row>
    <row r="1068" spans="2:8" x14ac:dyDescent="0.25">
      <c r="B1068" s="29">
        <v>1060</v>
      </c>
      <c r="C1068" s="30">
        <v>0.77034883720930236</v>
      </c>
      <c r="D1068" s="28">
        <v>36783</v>
      </c>
      <c r="E1068" s="14">
        <v>5.7655242140430829E-3</v>
      </c>
      <c r="F1068" s="14">
        <v>8.114938498845925E-3</v>
      </c>
      <c r="G1068" s="14">
        <v>4.3523899556379142E-3</v>
      </c>
      <c r="H1068" s="14">
        <v>4.0253523418712243E-3</v>
      </c>
    </row>
    <row r="1069" spans="2:8" x14ac:dyDescent="0.25">
      <c r="B1069" s="29">
        <v>1061</v>
      </c>
      <c r="C1069" s="30">
        <v>0.77107558139534882</v>
      </c>
      <c r="D1069" s="28">
        <v>36784</v>
      </c>
      <c r="E1069" s="14">
        <v>5.7715834135030342E-3</v>
      </c>
      <c r="F1069" s="14">
        <v>8.1174729491415576E-3</v>
      </c>
      <c r="G1069" s="14">
        <v>4.3529032160192216E-3</v>
      </c>
      <c r="H1069" s="14">
        <v>4.0322235397820096E-3</v>
      </c>
    </row>
    <row r="1070" spans="2:8" x14ac:dyDescent="0.25">
      <c r="B1070" s="29">
        <v>1062</v>
      </c>
      <c r="C1070" s="30">
        <v>0.77180232558139539</v>
      </c>
      <c r="D1070" s="28">
        <v>36787</v>
      </c>
      <c r="E1070" s="14">
        <v>5.7831361517208801E-3</v>
      </c>
      <c r="F1070" s="14">
        <v>8.1241340137869766E-3</v>
      </c>
      <c r="G1070" s="14">
        <v>4.3714950110058659E-3</v>
      </c>
      <c r="H1070" s="14">
        <v>4.0368002267052285E-3</v>
      </c>
    </row>
    <row r="1071" spans="2:8" x14ac:dyDescent="0.25">
      <c r="B1071" s="29">
        <v>1063</v>
      </c>
      <c r="C1071" s="30">
        <v>0.77252906976744184</v>
      </c>
      <c r="D1071" s="28">
        <v>36788</v>
      </c>
      <c r="E1071" s="14">
        <v>5.790348277457058E-3</v>
      </c>
      <c r="F1071" s="14">
        <v>8.1244584961011057E-3</v>
      </c>
      <c r="G1071" s="14">
        <v>4.378273384848308E-3</v>
      </c>
      <c r="H1071" s="14">
        <v>4.0471003161140825E-3</v>
      </c>
    </row>
    <row r="1072" spans="2:8" x14ac:dyDescent="0.25">
      <c r="B1072" s="29">
        <v>1064</v>
      </c>
      <c r="C1072" s="30">
        <v>0.77325581395348841</v>
      </c>
      <c r="D1072" s="28">
        <v>36789</v>
      </c>
      <c r="E1072" s="14">
        <v>5.8014537760637808E-3</v>
      </c>
      <c r="F1072" s="14">
        <v>8.1303009021662653E-3</v>
      </c>
      <c r="G1072" s="14">
        <v>4.3848721909411914E-3</v>
      </c>
      <c r="H1072" s="14">
        <v>4.0482826097117735E-3</v>
      </c>
    </row>
    <row r="1073" spans="2:8" x14ac:dyDescent="0.25">
      <c r="B1073" s="29">
        <v>1065</v>
      </c>
      <c r="C1073" s="30">
        <v>0.77398255813953487</v>
      </c>
      <c r="D1073" s="28">
        <v>36790</v>
      </c>
      <c r="E1073" s="14">
        <v>5.8258944653579725E-3</v>
      </c>
      <c r="F1073" s="14">
        <v>8.1733819211875502E-3</v>
      </c>
      <c r="G1073" s="14">
        <v>4.3977293228822933E-3</v>
      </c>
      <c r="H1073" s="14">
        <v>4.0497100601181828E-3</v>
      </c>
    </row>
    <row r="1074" spans="2:8" x14ac:dyDescent="0.25">
      <c r="B1074" s="29">
        <v>1066</v>
      </c>
      <c r="C1074" s="30">
        <v>0.77470930232558144</v>
      </c>
      <c r="D1074" s="28">
        <v>36791</v>
      </c>
      <c r="E1074" s="14">
        <v>5.8308783075688986E-3</v>
      </c>
      <c r="F1074" s="14">
        <v>8.1821239883650421E-3</v>
      </c>
      <c r="G1074" s="14">
        <v>4.4174814465780532E-3</v>
      </c>
      <c r="H1074" s="14">
        <v>4.0660903908320105E-3</v>
      </c>
    </row>
    <row r="1075" spans="2:8" x14ac:dyDescent="0.25">
      <c r="B1075" s="29">
        <v>1067</v>
      </c>
      <c r="C1075" s="30">
        <v>0.7754360465116279</v>
      </c>
      <c r="D1075" s="28">
        <v>36794</v>
      </c>
      <c r="E1075" s="14">
        <v>5.8712130134748186E-3</v>
      </c>
      <c r="F1075" s="14">
        <v>8.1825818258183247E-3</v>
      </c>
      <c r="G1075" s="14">
        <v>4.4270103670496219E-3</v>
      </c>
      <c r="H1075" s="14">
        <v>4.0905801288849018E-3</v>
      </c>
    </row>
    <row r="1076" spans="2:8" x14ac:dyDescent="0.25">
      <c r="B1076" s="29">
        <v>1068</v>
      </c>
      <c r="C1076" s="30">
        <v>0.77616279069767447</v>
      </c>
      <c r="D1076" s="28">
        <v>36795</v>
      </c>
      <c r="E1076" s="14">
        <v>5.8788422566862231E-3</v>
      </c>
      <c r="F1076" s="14">
        <v>8.1877184223664301E-3</v>
      </c>
      <c r="G1076" s="14">
        <v>4.4304271226465186E-3</v>
      </c>
      <c r="H1076" s="14">
        <v>4.1090515556692969E-3</v>
      </c>
    </row>
    <row r="1077" spans="2:8" x14ac:dyDescent="0.25">
      <c r="B1077" s="29">
        <v>1069</v>
      </c>
      <c r="C1077" s="30">
        <v>0.77688953488372092</v>
      </c>
      <c r="D1077" s="28">
        <v>36796</v>
      </c>
      <c r="E1077" s="14">
        <v>5.9080852047224131E-3</v>
      </c>
      <c r="F1077" s="14">
        <v>8.1892759821766692E-3</v>
      </c>
      <c r="G1077" s="14">
        <v>4.4383561643834835E-3</v>
      </c>
      <c r="H1077" s="14">
        <v>4.1449792757852332E-3</v>
      </c>
    </row>
    <row r="1078" spans="2:8" x14ac:dyDescent="0.25">
      <c r="B1078" s="29">
        <v>1070</v>
      </c>
      <c r="C1078" s="30">
        <v>0.77761627906976749</v>
      </c>
      <c r="D1078" s="28">
        <v>36797</v>
      </c>
      <c r="E1078" s="14">
        <v>5.9249613758101116E-3</v>
      </c>
      <c r="F1078" s="14">
        <v>8.2151699302273062E-3</v>
      </c>
      <c r="G1078" s="14">
        <v>4.4554303629118497E-3</v>
      </c>
      <c r="H1078" s="14">
        <v>4.1673055336965527E-3</v>
      </c>
    </row>
    <row r="1079" spans="2:8" x14ac:dyDescent="0.25">
      <c r="B1079" s="29">
        <v>1071</v>
      </c>
      <c r="C1079" s="30">
        <v>0.77834302325581395</v>
      </c>
      <c r="D1079" s="28">
        <v>36798</v>
      </c>
      <c r="E1079" s="14">
        <v>5.9349302824454053E-3</v>
      </c>
      <c r="F1079" s="14">
        <v>8.2423913780249602E-3</v>
      </c>
      <c r="G1079" s="14">
        <v>4.4761273209550367E-3</v>
      </c>
      <c r="H1079" s="14">
        <v>4.1715100306221496E-3</v>
      </c>
    </row>
    <row r="1080" spans="2:8" x14ac:dyDescent="0.25">
      <c r="B1080" s="29">
        <v>1072</v>
      </c>
      <c r="C1080" s="30">
        <v>0.77906976744186052</v>
      </c>
      <c r="D1080" s="28">
        <v>36801</v>
      </c>
      <c r="E1080" s="14">
        <v>5.9764948221678882E-3</v>
      </c>
      <c r="F1080" s="14">
        <v>8.2682715246149563E-3</v>
      </c>
      <c r="G1080" s="14">
        <v>4.4909415667262476E-3</v>
      </c>
      <c r="H1080" s="14">
        <v>4.2012261233618457E-3</v>
      </c>
    </row>
    <row r="1081" spans="2:8" x14ac:dyDescent="0.25">
      <c r="B1081" s="29">
        <v>1073</v>
      </c>
      <c r="C1081" s="30">
        <v>0.77979651162790697</v>
      </c>
      <c r="D1081" s="28">
        <v>36802</v>
      </c>
      <c r="E1081" s="14">
        <v>5.9851945188216238E-3</v>
      </c>
      <c r="F1081" s="14">
        <v>8.3202158758712841E-3</v>
      </c>
      <c r="G1081" s="14">
        <v>4.4961131681575672E-3</v>
      </c>
      <c r="H1081" s="14">
        <v>4.2385746690292159E-3</v>
      </c>
    </row>
    <row r="1082" spans="2:8" x14ac:dyDescent="0.25">
      <c r="B1082" s="29">
        <v>1074</v>
      </c>
      <c r="C1082" s="30">
        <v>0.78052325581395354</v>
      </c>
      <c r="D1082" s="28">
        <v>36803</v>
      </c>
      <c r="E1082" s="14">
        <v>6.0021174981093051E-3</v>
      </c>
      <c r="F1082" s="14">
        <v>8.3403702500810528E-3</v>
      </c>
      <c r="G1082" s="14">
        <v>4.49633908246172E-3</v>
      </c>
      <c r="H1082" s="14">
        <v>4.2640806870811072E-3</v>
      </c>
    </row>
    <row r="1083" spans="2:8" x14ac:dyDescent="0.25">
      <c r="B1083" s="29">
        <v>1075</v>
      </c>
      <c r="C1083" s="30">
        <v>0.78125</v>
      </c>
      <c r="D1083" s="28">
        <v>36804</v>
      </c>
      <c r="E1083" s="14">
        <v>6.0076671750766142E-3</v>
      </c>
      <c r="F1083" s="14">
        <v>8.3475959973540181E-3</v>
      </c>
      <c r="G1083" s="14">
        <v>4.5032523489185738E-3</v>
      </c>
      <c r="H1083" s="14">
        <v>4.3025269831785899E-3</v>
      </c>
    </row>
    <row r="1084" spans="2:8" x14ac:dyDescent="0.25">
      <c r="B1084" s="29">
        <v>1076</v>
      </c>
      <c r="C1084" s="30">
        <v>0.78197674418604646</v>
      </c>
      <c r="D1084" s="28">
        <v>36805</v>
      </c>
      <c r="E1084" s="14">
        <v>6.0313264107112463E-3</v>
      </c>
      <c r="F1084" s="14">
        <v>8.4237356625533888E-3</v>
      </c>
      <c r="G1084" s="14">
        <v>4.5159326161963165E-3</v>
      </c>
      <c r="H1084" s="14">
        <v>4.3092205606279693E-3</v>
      </c>
    </row>
    <row r="1085" spans="2:8" x14ac:dyDescent="0.25">
      <c r="B1085" s="29">
        <v>1077</v>
      </c>
      <c r="C1085" s="30">
        <v>0.78270348837209303</v>
      </c>
      <c r="D1085" s="28">
        <v>36808</v>
      </c>
      <c r="E1085" s="14">
        <v>6.0366942244141075E-3</v>
      </c>
      <c r="F1085" s="14">
        <v>8.4651169239939872E-3</v>
      </c>
      <c r="G1085" s="14">
        <v>4.5489006823353773E-3</v>
      </c>
      <c r="H1085" s="14">
        <v>4.3117795021899059E-3</v>
      </c>
    </row>
    <row r="1086" spans="2:8" x14ac:dyDescent="0.25">
      <c r="B1086" s="29">
        <v>1078</v>
      </c>
      <c r="C1086" s="30">
        <v>0.78343023255813948</v>
      </c>
      <c r="D1086" s="28">
        <v>36809</v>
      </c>
      <c r="E1086" s="14">
        <v>6.0978063996777188E-3</v>
      </c>
      <c r="F1086" s="14">
        <v>8.5251410514659565E-3</v>
      </c>
      <c r="G1086" s="14">
        <v>4.6090856128748747E-3</v>
      </c>
      <c r="H1086" s="14">
        <v>4.3268176267513342E-3</v>
      </c>
    </row>
    <row r="1087" spans="2:8" x14ac:dyDescent="0.25">
      <c r="B1087" s="29">
        <v>1079</v>
      </c>
      <c r="C1087" s="30">
        <v>0.78415697674418605</v>
      </c>
      <c r="D1087" s="28">
        <v>36810</v>
      </c>
      <c r="E1087" s="14">
        <v>6.1185798000691349E-3</v>
      </c>
      <c r="F1087" s="14">
        <v>8.5824676969850078E-3</v>
      </c>
      <c r="G1087" s="14">
        <v>4.6130416622198744E-3</v>
      </c>
      <c r="H1087" s="14">
        <v>4.3269982404246839E-3</v>
      </c>
    </row>
    <row r="1088" spans="2:8" x14ac:dyDescent="0.25">
      <c r="B1088" s="29">
        <v>1080</v>
      </c>
      <c r="C1088" s="30">
        <v>0.78488372093023251</v>
      </c>
      <c r="D1088" s="28">
        <v>36811</v>
      </c>
      <c r="E1088" s="14">
        <v>6.1771911739056939E-3</v>
      </c>
      <c r="F1088" s="14">
        <v>8.5905926662575016E-3</v>
      </c>
      <c r="G1088" s="14">
        <v>4.6193529718527859E-3</v>
      </c>
      <c r="H1088" s="14">
        <v>4.4010269218085043E-3</v>
      </c>
    </row>
    <row r="1089" spans="2:8" x14ac:dyDescent="0.25">
      <c r="B1089" s="29">
        <v>1081</v>
      </c>
      <c r="C1089" s="30">
        <v>0.78561046511627908</v>
      </c>
      <c r="D1089" s="28">
        <v>36812</v>
      </c>
      <c r="E1089" s="14">
        <v>6.1994561211509147E-3</v>
      </c>
      <c r="F1089" s="14">
        <v>8.5983127839064366E-3</v>
      </c>
      <c r="G1089" s="14">
        <v>4.639329542053261E-3</v>
      </c>
      <c r="H1089" s="14">
        <v>4.4155155938923503E-3</v>
      </c>
    </row>
    <row r="1090" spans="2:8" x14ac:dyDescent="0.25">
      <c r="B1090" s="29">
        <v>1082</v>
      </c>
      <c r="C1090" s="30">
        <v>0.78633720930232553</v>
      </c>
      <c r="D1090" s="28">
        <v>36815</v>
      </c>
      <c r="E1090" s="14">
        <v>6.2003616151329322E-3</v>
      </c>
      <c r="F1090" s="14">
        <v>8.6049090739033218E-3</v>
      </c>
      <c r="G1090" s="14">
        <v>4.6916075456542305E-3</v>
      </c>
      <c r="H1090" s="14">
        <v>4.4542367153485697E-3</v>
      </c>
    </row>
    <row r="1091" spans="2:8" x14ac:dyDescent="0.25">
      <c r="B1091" s="29">
        <v>1083</v>
      </c>
      <c r="C1091" s="30">
        <v>0.7870639534883721</v>
      </c>
      <c r="D1091" s="28">
        <v>36816</v>
      </c>
      <c r="E1091" s="14">
        <v>6.2720708375059164E-3</v>
      </c>
      <c r="F1091" s="14">
        <v>8.6442637693395774E-3</v>
      </c>
      <c r="G1091" s="14">
        <v>4.695531830763322E-3</v>
      </c>
      <c r="H1091" s="14">
        <v>4.467029454191529E-3</v>
      </c>
    </row>
    <row r="1092" spans="2:8" x14ac:dyDescent="0.25">
      <c r="B1092" s="29">
        <v>1084</v>
      </c>
      <c r="C1092" s="30">
        <v>0.78779069767441856</v>
      </c>
      <c r="D1092" s="28">
        <v>36817</v>
      </c>
      <c r="E1092" s="14">
        <v>6.2893081761006275E-3</v>
      </c>
      <c r="F1092" s="14">
        <v>8.6596097436550945E-3</v>
      </c>
      <c r="G1092" s="14">
        <v>4.7026342308291724E-3</v>
      </c>
      <c r="H1092" s="14">
        <v>4.4714275248709748E-3</v>
      </c>
    </row>
    <row r="1093" spans="2:8" x14ac:dyDescent="0.25">
      <c r="B1093" s="29">
        <v>1085</v>
      </c>
      <c r="C1093" s="30">
        <v>0.78851744186046513</v>
      </c>
      <c r="D1093" s="28">
        <v>36818</v>
      </c>
      <c r="E1093" s="14">
        <v>6.2951021034853838E-3</v>
      </c>
      <c r="F1093" s="14">
        <v>8.6837294332724468E-3</v>
      </c>
      <c r="G1093" s="14">
        <v>4.7067106250089363E-3</v>
      </c>
      <c r="H1093" s="14">
        <v>4.4780239714648845E-3</v>
      </c>
    </row>
    <row r="1094" spans="2:8" x14ac:dyDescent="0.25">
      <c r="B1094" s="29">
        <v>1086</v>
      </c>
      <c r="C1094" s="30">
        <v>0.78924418604651159</v>
      </c>
      <c r="D1094" s="28">
        <v>36819</v>
      </c>
      <c r="E1094" s="14">
        <v>6.3043107854829916E-3</v>
      </c>
      <c r="F1094" s="14">
        <v>8.7087037556285996E-3</v>
      </c>
      <c r="G1094" s="14">
        <v>4.7155762930604084E-3</v>
      </c>
      <c r="H1094" s="14">
        <v>4.4952327526956099E-3</v>
      </c>
    </row>
    <row r="1095" spans="2:8" x14ac:dyDescent="0.25">
      <c r="B1095" s="29">
        <v>1087</v>
      </c>
      <c r="C1095" s="30">
        <v>0.78997093023255816</v>
      </c>
      <c r="D1095" s="28">
        <v>36822</v>
      </c>
      <c r="E1095" s="14">
        <v>6.3072533413426335E-3</v>
      </c>
      <c r="F1095" s="14">
        <v>8.709830550453157E-3</v>
      </c>
      <c r="G1095" s="14">
        <v>4.7177147597075031E-3</v>
      </c>
      <c r="H1095" s="14">
        <v>4.5291618111503512E-3</v>
      </c>
    </row>
    <row r="1096" spans="2:8" x14ac:dyDescent="0.25">
      <c r="B1096" s="29">
        <v>1088</v>
      </c>
      <c r="C1096" s="30">
        <v>0.79069767441860461</v>
      </c>
      <c r="D1096" s="28">
        <v>36823</v>
      </c>
      <c r="E1096" s="14">
        <v>6.3652448010047546E-3</v>
      </c>
      <c r="F1096" s="14">
        <v>8.7099235542245079E-3</v>
      </c>
      <c r="G1096" s="14">
        <v>4.7237530681241147E-3</v>
      </c>
      <c r="H1096" s="14">
        <v>4.5342497757359986E-3</v>
      </c>
    </row>
    <row r="1097" spans="2:8" x14ac:dyDescent="0.25">
      <c r="B1097" s="29">
        <v>1089</v>
      </c>
      <c r="C1097" s="30">
        <v>0.79142441860465118</v>
      </c>
      <c r="D1097" s="28">
        <v>36824</v>
      </c>
      <c r="E1097" s="14">
        <v>6.4102564102566095E-3</v>
      </c>
      <c r="F1097" s="14">
        <v>8.7126062995523945E-3</v>
      </c>
      <c r="G1097" s="14">
        <v>4.7309591889785896E-3</v>
      </c>
      <c r="H1097" s="14">
        <v>4.5698131913193283E-3</v>
      </c>
    </row>
    <row r="1098" spans="2:8" x14ac:dyDescent="0.25">
      <c r="B1098" s="29">
        <v>1090</v>
      </c>
      <c r="C1098" s="30">
        <v>0.79215116279069764</v>
      </c>
      <c r="D1098" s="28">
        <v>36825</v>
      </c>
      <c r="E1098" s="14">
        <v>6.4167510976023134E-3</v>
      </c>
      <c r="F1098" s="14">
        <v>8.7733040889865777E-3</v>
      </c>
      <c r="G1098" s="14">
        <v>4.7504912660558674E-3</v>
      </c>
      <c r="H1098" s="14">
        <v>4.5932003462228373E-3</v>
      </c>
    </row>
    <row r="1099" spans="2:8" x14ac:dyDescent="0.25">
      <c r="B1099" s="29">
        <v>1091</v>
      </c>
      <c r="C1099" s="30">
        <v>0.79287790697674421</v>
      </c>
      <c r="D1099" s="28">
        <v>36826</v>
      </c>
      <c r="E1099" s="14">
        <v>6.4360418342717107E-3</v>
      </c>
      <c r="F1099" s="14">
        <v>8.806047550662166E-3</v>
      </c>
      <c r="G1099" s="14">
        <v>4.7526242769699856E-3</v>
      </c>
      <c r="H1099" s="14">
        <v>4.5946463343961687E-3</v>
      </c>
    </row>
    <row r="1100" spans="2:8" x14ac:dyDescent="0.25">
      <c r="B1100" s="29">
        <v>1092</v>
      </c>
      <c r="C1100" s="30">
        <v>0.79360465116279066</v>
      </c>
      <c r="D1100" s="28">
        <v>36829</v>
      </c>
      <c r="E1100" s="14">
        <v>6.4705287635224984E-3</v>
      </c>
      <c r="F1100" s="14">
        <v>8.8563617724113364E-3</v>
      </c>
      <c r="G1100" s="14">
        <v>4.7544468061304634E-3</v>
      </c>
      <c r="H1100" s="14">
        <v>4.6081482777028619E-3</v>
      </c>
    </row>
    <row r="1101" spans="2:8" x14ac:dyDescent="0.25">
      <c r="B1101" s="29">
        <v>1093</v>
      </c>
      <c r="C1101" s="30">
        <v>0.79433139534883723</v>
      </c>
      <c r="D1101" s="28">
        <v>36830</v>
      </c>
      <c r="E1101" s="14">
        <v>6.4860586096788797E-3</v>
      </c>
      <c r="F1101" s="14">
        <v>8.8885345875600041E-3</v>
      </c>
      <c r="G1101" s="14">
        <v>4.8000726650194725E-3</v>
      </c>
      <c r="H1101" s="14">
        <v>4.6302336048097189E-3</v>
      </c>
    </row>
    <row r="1102" spans="2:8" x14ac:dyDescent="0.25">
      <c r="B1102" s="29">
        <v>1094</v>
      </c>
      <c r="C1102" s="30">
        <v>0.79505813953488369</v>
      </c>
      <c r="D1102" s="28">
        <v>36831</v>
      </c>
      <c r="E1102" s="14">
        <v>6.5008033879812022E-3</v>
      </c>
      <c r="F1102" s="14">
        <v>9.0075684894999064E-3</v>
      </c>
      <c r="G1102" s="14">
        <v>4.8306327840308416E-3</v>
      </c>
      <c r="H1102" s="14">
        <v>4.6349669392350187E-3</v>
      </c>
    </row>
    <row r="1103" spans="2:8" x14ac:dyDescent="0.25">
      <c r="B1103" s="29">
        <v>1095</v>
      </c>
      <c r="C1103" s="30">
        <v>0.79578488372093026</v>
      </c>
      <c r="D1103" s="28">
        <v>36832</v>
      </c>
      <c r="E1103" s="14">
        <v>6.5126127406822665E-3</v>
      </c>
      <c r="F1103" s="14">
        <v>9.1125972857757365E-3</v>
      </c>
      <c r="G1103" s="14">
        <v>4.84049203296677E-3</v>
      </c>
      <c r="H1103" s="14">
        <v>4.6355463892330025E-3</v>
      </c>
    </row>
    <row r="1104" spans="2:8" x14ac:dyDescent="0.25">
      <c r="B1104" s="29">
        <v>1096</v>
      </c>
      <c r="C1104" s="30">
        <v>0.79651162790697672</v>
      </c>
      <c r="D1104" s="28">
        <v>36833</v>
      </c>
      <c r="E1104" s="14">
        <v>6.5300827194652022E-3</v>
      </c>
      <c r="F1104" s="14">
        <v>9.1807820666205409E-3</v>
      </c>
      <c r="G1104" s="14">
        <v>4.8468825732539411E-3</v>
      </c>
      <c r="H1104" s="14">
        <v>4.6389288201856846E-3</v>
      </c>
    </row>
    <row r="1105" spans="2:8" x14ac:dyDescent="0.25">
      <c r="B1105" s="29">
        <v>1097</v>
      </c>
      <c r="C1105" s="30">
        <v>0.79723837209302328</v>
      </c>
      <c r="D1105" s="28">
        <v>36836</v>
      </c>
      <c r="E1105" s="14">
        <v>6.5406565729562161E-3</v>
      </c>
      <c r="F1105" s="14">
        <v>9.183783637884968E-3</v>
      </c>
      <c r="G1105" s="14">
        <v>4.8519742763952767E-3</v>
      </c>
      <c r="H1105" s="14">
        <v>4.6505132046713365E-3</v>
      </c>
    </row>
    <row r="1106" spans="2:8" x14ac:dyDescent="0.25">
      <c r="B1106" s="29">
        <v>1098</v>
      </c>
      <c r="C1106" s="30">
        <v>0.79796511627906974</v>
      </c>
      <c r="D1106" s="28">
        <v>36837</v>
      </c>
      <c r="E1106" s="14">
        <v>6.5448139879831224E-3</v>
      </c>
      <c r="F1106" s="14">
        <v>9.2191136871893065E-3</v>
      </c>
      <c r="G1106" s="14">
        <v>4.8533705401485605E-3</v>
      </c>
      <c r="H1106" s="14">
        <v>4.6533795371252133E-3</v>
      </c>
    </row>
    <row r="1107" spans="2:8" x14ac:dyDescent="0.25">
      <c r="B1107" s="29">
        <v>1099</v>
      </c>
      <c r="C1107" s="30">
        <v>0.79869186046511631</v>
      </c>
      <c r="D1107" s="28">
        <v>36838</v>
      </c>
      <c r="E1107" s="14">
        <v>6.5939884778323243E-3</v>
      </c>
      <c r="F1107" s="14">
        <v>9.2739944026778431E-3</v>
      </c>
      <c r="G1107" s="14">
        <v>4.8775758920220902E-3</v>
      </c>
      <c r="H1107" s="14">
        <v>4.6605597410383833E-3</v>
      </c>
    </row>
    <row r="1108" spans="2:8" x14ac:dyDescent="0.25">
      <c r="B1108" s="29">
        <v>1100</v>
      </c>
      <c r="C1108" s="30">
        <v>0.79941860465116277</v>
      </c>
      <c r="D1108" s="28">
        <v>36839</v>
      </c>
      <c r="E1108" s="14">
        <v>6.6079757823267471E-3</v>
      </c>
      <c r="F1108" s="14">
        <v>9.3138671244286098E-3</v>
      </c>
      <c r="G1108" s="14">
        <v>4.892863168550754E-3</v>
      </c>
      <c r="H1108" s="14">
        <v>4.6788634416782496E-3</v>
      </c>
    </row>
    <row r="1109" spans="2:8" x14ac:dyDescent="0.25">
      <c r="B1109" s="29">
        <v>1101</v>
      </c>
      <c r="C1109" s="30">
        <v>0.80014534883720934</v>
      </c>
      <c r="D1109" s="28">
        <v>36840</v>
      </c>
      <c r="E1109" s="14">
        <v>6.6116381257443901E-3</v>
      </c>
      <c r="F1109" s="14">
        <v>9.340749106768742E-3</v>
      </c>
      <c r="G1109" s="14">
        <v>4.9064946223511541E-3</v>
      </c>
      <c r="H1109" s="14">
        <v>4.6817429601994313E-3</v>
      </c>
    </row>
    <row r="1110" spans="2:8" x14ac:dyDescent="0.25">
      <c r="B1110" s="29">
        <v>1102</v>
      </c>
      <c r="C1110" s="30">
        <v>0.80087209302325579</v>
      </c>
      <c r="D1110" s="28">
        <v>36843</v>
      </c>
      <c r="E1110" s="14">
        <v>6.6213981636598085E-3</v>
      </c>
      <c r="F1110" s="14">
        <v>9.345589203905158E-3</v>
      </c>
      <c r="G1110" s="14">
        <v>4.9187024433696713E-3</v>
      </c>
      <c r="H1110" s="14">
        <v>4.7143906932057174E-3</v>
      </c>
    </row>
    <row r="1111" spans="2:8" x14ac:dyDescent="0.25">
      <c r="B1111" s="29">
        <v>1103</v>
      </c>
      <c r="C1111" s="30">
        <v>0.80159883720930236</v>
      </c>
      <c r="D1111" s="28">
        <v>36844</v>
      </c>
      <c r="E1111" s="14">
        <v>6.6237912687023837E-3</v>
      </c>
      <c r="F1111" s="14">
        <v>9.3924174885873235E-3</v>
      </c>
      <c r="G1111" s="14">
        <v>4.956629491945419E-3</v>
      </c>
      <c r="H1111" s="14">
        <v>4.7151348740710692E-3</v>
      </c>
    </row>
    <row r="1112" spans="2:8" x14ac:dyDescent="0.25">
      <c r="B1112" s="29">
        <v>1104</v>
      </c>
      <c r="C1112" s="30">
        <v>0.80232558139534882</v>
      </c>
      <c r="D1112" s="28">
        <v>36845</v>
      </c>
      <c r="E1112" s="14">
        <v>6.6434410177911296E-3</v>
      </c>
      <c r="F1112" s="14">
        <v>9.4191522762951951E-3</v>
      </c>
      <c r="G1112" s="14">
        <v>4.9720323182098625E-3</v>
      </c>
      <c r="H1112" s="14">
        <v>4.717699470557335E-3</v>
      </c>
    </row>
    <row r="1113" spans="2:8" x14ac:dyDescent="0.25">
      <c r="B1113" s="29">
        <v>1105</v>
      </c>
      <c r="C1113" s="30">
        <v>0.80305232558139539</v>
      </c>
      <c r="D1113" s="28">
        <v>36846</v>
      </c>
      <c r="E1113" s="14">
        <v>6.6780825452537051E-3</v>
      </c>
      <c r="F1113" s="14">
        <v>9.4528826612472194E-3</v>
      </c>
      <c r="G1113" s="14">
        <v>5.0176759037516838E-3</v>
      </c>
      <c r="H1113" s="14">
        <v>4.7189720304233072E-3</v>
      </c>
    </row>
    <row r="1114" spans="2:8" x14ac:dyDescent="0.25">
      <c r="B1114" s="29">
        <v>1106</v>
      </c>
      <c r="C1114" s="30">
        <v>0.80377906976744184</v>
      </c>
      <c r="D1114" s="28">
        <v>36847</v>
      </c>
      <c r="E1114" s="14">
        <v>6.7380845854132509E-3</v>
      </c>
      <c r="F1114" s="14">
        <v>9.491501895697585E-3</v>
      </c>
      <c r="G1114" s="14">
        <v>5.0303156285447237E-3</v>
      </c>
      <c r="H1114" s="14">
        <v>4.7523190347703364E-3</v>
      </c>
    </row>
    <row r="1115" spans="2:8" x14ac:dyDescent="0.25">
      <c r="B1115" s="29">
        <v>1107</v>
      </c>
      <c r="C1115" s="30">
        <v>0.80450581395348841</v>
      </c>
      <c r="D1115" s="28">
        <v>36850</v>
      </c>
      <c r="E1115" s="14">
        <v>6.7552748168620003E-3</v>
      </c>
      <c r="F1115" s="14">
        <v>9.5165820554419245E-3</v>
      </c>
      <c r="G1115" s="14">
        <v>5.0764077873142188E-3</v>
      </c>
      <c r="H1115" s="14">
        <v>4.7523403449216683E-3</v>
      </c>
    </row>
    <row r="1116" spans="2:8" x14ac:dyDescent="0.25">
      <c r="B1116" s="29">
        <v>1108</v>
      </c>
      <c r="C1116" s="30">
        <v>0.80523255813953487</v>
      </c>
      <c r="D1116" s="28">
        <v>36851</v>
      </c>
      <c r="E1116" s="14">
        <v>6.7755548069501348E-3</v>
      </c>
      <c r="F1116" s="14">
        <v>9.5437067626997774E-3</v>
      </c>
      <c r="G1116" s="14">
        <v>5.0851059012730904E-3</v>
      </c>
      <c r="H1116" s="14">
        <v>4.7671670654859666E-3</v>
      </c>
    </row>
    <row r="1117" spans="2:8" x14ac:dyDescent="0.25">
      <c r="B1117" s="29">
        <v>1109</v>
      </c>
      <c r="C1117" s="30">
        <v>0.80595930232558144</v>
      </c>
      <c r="D1117" s="28">
        <v>36852</v>
      </c>
      <c r="E1117" s="14">
        <v>6.7761792762206507E-3</v>
      </c>
      <c r="F1117" s="14">
        <v>9.5864083640837539E-3</v>
      </c>
      <c r="G1117" s="14">
        <v>5.1178580686794817E-3</v>
      </c>
      <c r="H1117" s="14">
        <v>4.8460914732629378E-3</v>
      </c>
    </row>
    <row r="1118" spans="2:8" x14ac:dyDescent="0.25">
      <c r="B1118" s="29">
        <v>1110</v>
      </c>
      <c r="C1118" s="30">
        <v>0.8066860465116279</v>
      </c>
      <c r="D1118" s="28">
        <v>36853</v>
      </c>
      <c r="E1118" s="14">
        <v>6.8153296650255157E-3</v>
      </c>
      <c r="F1118" s="14">
        <v>9.5943058523184632E-3</v>
      </c>
      <c r="G1118" s="14">
        <v>5.1366531800582926E-3</v>
      </c>
      <c r="H1118" s="14">
        <v>4.8544587289035771E-3</v>
      </c>
    </row>
    <row r="1119" spans="2:8" x14ac:dyDescent="0.25">
      <c r="B1119" s="29">
        <v>1111</v>
      </c>
      <c r="C1119" s="30">
        <v>0.80741279069767447</v>
      </c>
      <c r="D1119" s="28">
        <v>36854</v>
      </c>
      <c r="E1119" s="14">
        <v>6.8899354613640718E-3</v>
      </c>
      <c r="F1119" s="14">
        <v>9.6082779009607489E-3</v>
      </c>
      <c r="G1119" s="14">
        <v>5.1383860796450076E-3</v>
      </c>
      <c r="H1119" s="14">
        <v>4.8550638087133885E-3</v>
      </c>
    </row>
    <row r="1120" spans="2:8" x14ac:dyDescent="0.25">
      <c r="B1120" s="29">
        <v>1112</v>
      </c>
      <c r="C1120" s="30">
        <v>0.80813953488372092</v>
      </c>
      <c r="D1120" s="28">
        <v>36857</v>
      </c>
      <c r="E1120" s="14">
        <v>6.9108923001650613E-3</v>
      </c>
      <c r="F1120" s="14">
        <v>9.6336970876484962E-3</v>
      </c>
      <c r="G1120" s="14">
        <v>5.1666749465943962E-3</v>
      </c>
      <c r="H1120" s="14">
        <v>4.8606587712226373E-3</v>
      </c>
    </row>
    <row r="1121" spans="2:8" x14ac:dyDescent="0.25">
      <c r="B1121" s="29">
        <v>1113</v>
      </c>
      <c r="C1121" s="30">
        <v>0.80886627906976749</v>
      </c>
      <c r="D1121" s="28">
        <v>36858</v>
      </c>
      <c r="E1121" s="14">
        <v>6.9202342769489888E-3</v>
      </c>
      <c r="F1121" s="14">
        <v>9.6601029091627488E-3</v>
      </c>
      <c r="G1121" s="14">
        <v>5.179150747987471E-3</v>
      </c>
      <c r="H1121" s="14">
        <v>4.9007731691757435E-3</v>
      </c>
    </row>
    <row r="1122" spans="2:8" x14ac:dyDescent="0.25">
      <c r="B1122" s="29">
        <v>1114</v>
      </c>
      <c r="C1122" s="30">
        <v>0.80959302325581395</v>
      </c>
      <c r="D1122" s="28">
        <v>36859</v>
      </c>
      <c r="E1122" s="14">
        <v>6.9394777028202181E-3</v>
      </c>
      <c r="F1122" s="14">
        <v>9.7218572876394127E-3</v>
      </c>
      <c r="G1122" s="14">
        <v>5.2200240121105246E-3</v>
      </c>
      <c r="H1122" s="14">
        <v>4.9220659742018396E-3</v>
      </c>
    </row>
    <row r="1123" spans="2:8" x14ac:dyDescent="0.25">
      <c r="B1123" s="29">
        <v>1115</v>
      </c>
      <c r="C1123" s="30">
        <v>0.81031976744186052</v>
      </c>
      <c r="D1123" s="28">
        <v>36860</v>
      </c>
      <c r="E1123" s="14">
        <v>7.0387523412969166E-3</v>
      </c>
      <c r="F1123" s="14">
        <v>9.7775221562834691E-3</v>
      </c>
      <c r="G1123" s="14">
        <v>5.2294831622210491E-3</v>
      </c>
      <c r="H1123" s="14">
        <v>4.9452682476201389E-3</v>
      </c>
    </row>
    <row r="1124" spans="2:8" x14ac:dyDescent="0.25">
      <c r="B1124" s="29">
        <v>1116</v>
      </c>
      <c r="C1124" s="30">
        <v>0.81104651162790697</v>
      </c>
      <c r="D1124" s="28">
        <v>36861</v>
      </c>
      <c r="E1124" s="14">
        <v>7.0577164366374401E-3</v>
      </c>
      <c r="F1124" s="14">
        <v>9.7868823334028576E-3</v>
      </c>
      <c r="G1124" s="14">
        <v>5.2360168336695878E-3</v>
      </c>
      <c r="H1124" s="14">
        <v>4.9508143309334729E-3</v>
      </c>
    </row>
    <row r="1125" spans="2:8" x14ac:dyDescent="0.25">
      <c r="B1125" s="29">
        <v>1117</v>
      </c>
      <c r="C1125" s="30">
        <v>0.81177325581395354</v>
      </c>
      <c r="D1125" s="28">
        <v>36864</v>
      </c>
      <c r="E1125" s="14">
        <v>7.0591557249752857E-3</v>
      </c>
      <c r="F1125" s="14">
        <v>9.8234928180795933E-3</v>
      </c>
      <c r="G1125" s="14">
        <v>5.2392783839254609E-3</v>
      </c>
      <c r="H1125" s="14">
        <v>4.9731217447508639E-3</v>
      </c>
    </row>
    <row r="1126" spans="2:8" x14ac:dyDescent="0.25">
      <c r="B1126" s="29">
        <v>1118</v>
      </c>
      <c r="C1126" s="30">
        <v>0.8125</v>
      </c>
      <c r="D1126" s="28">
        <v>36865</v>
      </c>
      <c r="E1126" s="14">
        <v>7.118876447944178E-3</v>
      </c>
      <c r="F1126" s="14">
        <v>9.8368830226882586E-3</v>
      </c>
      <c r="G1126" s="14">
        <v>5.2437075509388364E-3</v>
      </c>
      <c r="H1126" s="14">
        <v>5.0037337831331692E-3</v>
      </c>
    </row>
    <row r="1127" spans="2:8" x14ac:dyDescent="0.25">
      <c r="B1127" s="29">
        <v>1119</v>
      </c>
      <c r="C1127" s="30">
        <v>0.81322674418604646</v>
      </c>
      <c r="D1127" s="28">
        <v>36866</v>
      </c>
      <c r="E1127" s="14">
        <v>7.1738892336898896E-3</v>
      </c>
      <c r="F1127" s="14">
        <v>9.9167722800737046E-3</v>
      </c>
      <c r="G1127" s="14">
        <v>5.2447014399463754E-3</v>
      </c>
      <c r="H1127" s="14">
        <v>5.0047580651490179E-3</v>
      </c>
    </row>
    <row r="1128" spans="2:8" x14ac:dyDescent="0.25">
      <c r="B1128" s="29">
        <v>1120</v>
      </c>
      <c r="C1128" s="30">
        <v>0.81395348837209303</v>
      </c>
      <c r="D1128" s="28">
        <v>36867</v>
      </c>
      <c r="E1128" s="14">
        <v>7.1792562851262787E-3</v>
      </c>
      <c r="F1128" s="14">
        <v>9.9713085783192934E-3</v>
      </c>
      <c r="G1128" s="14">
        <v>5.2478267054454353E-3</v>
      </c>
      <c r="H1128" s="14">
        <v>5.0081545946881745E-3</v>
      </c>
    </row>
    <row r="1129" spans="2:8" x14ac:dyDescent="0.25">
      <c r="B1129" s="29">
        <v>1121</v>
      </c>
      <c r="C1129" s="30">
        <v>0.81468023255813948</v>
      </c>
      <c r="D1129" s="28">
        <v>36868</v>
      </c>
      <c r="E1129" s="14">
        <v>7.220316042627184E-3</v>
      </c>
      <c r="F1129" s="14">
        <v>9.9755757479342844E-3</v>
      </c>
      <c r="G1129" s="14">
        <v>5.2529392289082377E-3</v>
      </c>
      <c r="H1129" s="14">
        <v>5.030861133556731E-3</v>
      </c>
    </row>
    <row r="1130" spans="2:8" x14ac:dyDescent="0.25">
      <c r="B1130" s="29">
        <v>1122</v>
      </c>
      <c r="C1130" s="30">
        <v>0.81540697674418605</v>
      </c>
      <c r="D1130" s="28">
        <v>36871</v>
      </c>
      <c r="E1130" s="14">
        <v>7.2265976614691585E-3</v>
      </c>
      <c r="F1130" s="14">
        <v>9.981792694520264E-3</v>
      </c>
      <c r="G1130" s="14">
        <v>5.2746759441111291E-3</v>
      </c>
      <c r="H1130" s="14">
        <v>5.1040418230443151E-3</v>
      </c>
    </row>
    <row r="1131" spans="2:8" x14ac:dyDescent="0.25">
      <c r="B1131" s="29">
        <v>1123</v>
      </c>
      <c r="C1131" s="30">
        <v>0.81613372093023251</v>
      </c>
      <c r="D1131" s="28">
        <v>36872</v>
      </c>
      <c r="E1131" s="14">
        <v>7.2412299696837934E-3</v>
      </c>
      <c r="F1131" s="14">
        <v>9.9977353564149052E-3</v>
      </c>
      <c r="G1131" s="14">
        <v>5.3093259464451759E-3</v>
      </c>
      <c r="H1131" s="14">
        <v>5.1504322965017172E-3</v>
      </c>
    </row>
    <row r="1132" spans="2:8" x14ac:dyDescent="0.25">
      <c r="B1132" s="29">
        <v>1124</v>
      </c>
      <c r="C1132" s="30">
        <v>0.81686046511627908</v>
      </c>
      <c r="D1132" s="28">
        <v>36873</v>
      </c>
      <c r="E1132" s="14">
        <v>7.3958946702388229E-3</v>
      </c>
      <c r="F1132" s="14">
        <v>1.0011773501886312E-2</v>
      </c>
      <c r="G1132" s="14">
        <v>5.317592437490859E-3</v>
      </c>
      <c r="H1132" s="14">
        <v>5.1895106394608701E-3</v>
      </c>
    </row>
    <row r="1133" spans="2:8" x14ac:dyDescent="0.25">
      <c r="B1133" s="29">
        <v>1125</v>
      </c>
      <c r="C1133" s="30">
        <v>0.81758720930232553</v>
      </c>
      <c r="D1133" s="28">
        <v>36874</v>
      </c>
      <c r="E1133" s="14">
        <v>7.4916634044213115E-3</v>
      </c>
      <c r="F1133" s="14">
        <v>1.0044316469079773E-2</v>
      </c>
      <c r="G1133" s="14">
        <v>5.3214234807812399E-3</v>
      </c>
      <c r="H1133" s="14">
        <v>5.2041705031145025E-3</v>
      </c>
    </row>
    <row r="1134" spans="2:8" x14ac:dyDescent="0.25">
      <c r="B1134" s="29">
        <v>1126</v>
      </c>
      <c r="C1134" s="30">
        <v>0.8183139534883721</v>
      </c>
      <c r="D1134" s="28">
        <v>36875</v>
      </c>
      <c r="E1134" s="14">
        <v>7.4996213586511207E-3</v>
      </c>
      <c r="F1134" s="14">
        <v>1.0061843894888067E-2</v>
      </c>
      <c r="G1134" s="14">
        <v>5.3216229259291925E-3</v>
      </c>
      <c r="H1134" s="14">
        <v>5.2215310444724498E-3</v>
      </c>
    </row>
    <row r="1135" spans="2:8" x14ac:dyDescent="0.25">
      <c r="B1135" s="29">
        <v>1127</v>
      </c>
      <c r="C1135" s="30">
        <v>0.81904069767441856</v>
      </c>
      <c r="D1135" s="28">
        <v>36878</v>
      </c>
      <c r="E1135" s="14">
        <v>7.5643668460843028E-3</v>
      </c>
      <c r="F1135" s="14">
        <v>1.0068765226157073E-2</v>
      </c>
      <c r="G1135" s="14">
        <v>5.3299109274538292E-3</v>
      </c>
      <c r="H1135" s="14">
        <v>5.2579218863110901E-3</v>
      </c>
    </row>
    <row r="1136" spans="2:8" x14ac:dyDescent="0.25">
      <c r="B1136" s="29">
        <v>1128</v>
      </c>
      <c r="C1136" s="30">
        <v>0.81976744186046513</v>
      </c>
      <c r="D1136" s="28">
        <v>36879</v>
      </c>
      <c r="E1136" s="14">
        <v>7.5767185461128594E-3</v>
      </c>
      <c r="F1136" s="14">
        <v>1.0086902545003218E-2</v>
      </c>
      <c r="G1136" s="14">
        <v>5.3321882412420418E-3</v>
      </c>
      <c r="H1136" s="14">
        <v>5.2604462122336493E-3</v>
      </c>
    </row>
    <row r="1137" spans="2:8" x14ac:dyDescent="0.25">
      <c r="B1137" s="29">
        <v>1129</v>
      </c>
      <c r="C1137" s="30">
        <v>0.82049418604651159</v>
      </c>
      <c r="D1137" s="28">
        <v>36880</v>
      </c>
      <c r="E1137" s="14">
        <v>7.6123731271147133E-3</v>
      </c>
      <c r="F1137" s="14">
        <v>1.0087119252007781E-2</v>
      </c>
      <c r="G1137" s="14">
        <v>5.3357401396105786E-3</v>
      </c>
      <c r="H1137" s="14">
        <v>5.2656364587218459E-3</v>
      </c>
    </row>
    <row r="1138" spans="2:8" x14ac:dyDescent="0.25">
      <c r="B1138" s="29">
        <v>1130</v>
      </c>
      <c r="C1138" s="30">
        <v>0.82122093023255816</v>
      </c>
      <c r="D1138" s="28">
        <v>36881</v>
      </c>
      <c r="E1138" s="14">
        <v>7.612663040043266E-3</v>
      </c>
      <c r="F1138" s="14">
        <v>1.0102356327966744E-2</v>
      </c>
      <c r="G1138" s="14">
        <v>5.3376653515895267E-3</v>
      </c>
      <c r="H1138" s="14">
        <v>5.2659578822709776E-3</v>
      </c>
    </row>
    <row r="1139" spans="2:8" x14ac:dyDescent="0.25">
      <c r="B1139" s="29">
        <v>1131</v>
      </c>
      <c r="C1139" s="30">
        <v>0.82194767441860461</v>
      </c>
      <c r="D1139" s="28">
        <v>36882</v>
      </c>
      <c r="E1139" s="14">
        <v>7.6385005664296735E-3</v>
      </c>
      <c r="F1139" s="14">
        <v>1.0119620514230654E-2</v>
      </c>
      <c r="G1139" s="14">
        <v>5.3608942916634206E-3</v>
      </c>
      <c r="H1139" s="14">
        <v>5.2957987056484919E-3</v>
      </c>
    </row>
    <row r="1140" spans="2:8" x14ac:dyDescent="0.25">
      <c r="B1140" s="29">
        <v>1132</v>
      </c>
      <c r="C1140" s="30">
        <v>0.82267441860465118</v>
      </c>
      <c r="D1140" s="28">
        <v>36885</v>
      </c>
      <c r="E1140" s="14">
        <v>7.6425707237870455E-3</v>
      </c>
      <c r="F1140" s="14">
        <v>1.0150174077217633E-2</v>
      </c>
      <c r="G1140" s="14">
        <v>5.3650765530557365E-3</v>
      </c>
      <c r="H1140" s="14">
        <v>5.3036556092791905E-3</v>
      </c>
    </row>
    <row r="1141" spans="2:8" x14ac:dyDescent="0.25">
      <c r="B1141" s="29">
        <v>1133</v>
      </c>
      <c r="C1141" s="30">
        <v>0.82340116279069764</v>
      </c>
      <c r="D1141" s="28">
        <v>36886</v>
      </c>
      <c r="E1141" s="14">
        <v>7.6867048856954501E-3</v>
      </c>
      <c r="F1141" s="14">
        <v>1.0282449477824418E-2</v>
      </c>
      <c r="G1141" s="14">
        <v>5.4178731837901672E-3</v>
      </c>
      <c r="H1141" s="14">
        <v>5.3381129847309703E-3</v>
      </c>
    </row>
    <row r="1142" spans="2:8" x14ac:dyDescent="0.25">
      <c r="B1142" s="29">
        <v>1134</v>
      </c>
      <c r="C1142" s="30">
        <v>0.82412790697674421</v>
      </c>
      <c r="D1142" s="28">
        <v>36887</v>
      </c>
      <c r="E1142" s="14">
        <v>7.7062556663645143E-3</v>
      </c>
      <c r="F1142" s="14">
        <v>1.0348214761625396E-2</v>
      </c>
      <c r="G1142" s="14">
        <v>5.4387614094530967E-3</v>
      </c>
      <c r="H1142" s="14">
        <v>5.3631324224233442E-3</v>
      </c>
    </row>
    <row r="1143" spans="2:8" x14ac:dyDescent="0.25">
      <c r="B1143" s="29">
        <v>1135</v>
      </c>
      <c r="C1143" s="30">
        <v>0.82485465116279066</v>
      </c>
      <c r="D1143" s="28">
        <v>36888</v>
      </c>
      <c r="E1143" s="14">
        <v>7.7410117010090485E-3</v>
      </c>
      <c r="F1143" s="14">
        <v>1.0349838726828153E-2</v>
      </c>
      <c r="G1143" s="14">
        <v>5.4589051579001513E-3</v>
      </c>
      <c r="H1143" s="14">
        <v>5.3701723249819158E-3</v>
      </c>
    </row>
    <row r="1144" spans="2:8" x14ac:dyDescent="0.25">
      <c r="B1144" s="29">
        <v>1136</v>
      </c>
      <c r="C1144" s="30">
        <v>0.82558139534883723</v>
      </c>
      <c r="D1144" s="28">
        <v>36889</v>
      </c>
      <c r="E1144" s="14">
        <v>7.7595360614228781E-3</v>
      </c>
      <c r="F1144" s="14">
        <v>1.0439556261832905E-2</v>
      </c>
      <c r="G1144" s="14">
        <v>5.467545542495289E-3</v>
      </c>
      <c r="H1144" s="14">
        <v>5.3726069247285405E-3</v>
      </c>
    </row>
    <row r="1145" spans="2:8" x14ac:dyDescent="0.25">
      <c r="B1145" s="29">
        <v>1137</v>
      </c>
      <c r="C1145" s="30">
        <v>0.82630813953488369</v>
      </c>
      <c r="D1145" s="28">
        <v>36892</v>
      </c>
      <c r="E1145" s="14">
        <v>7.7770087592303749E-3</v>
      </c>
      <c r="F1145" s="14">
        <v>1.0449478786046074E-2</v>
      </c>
      <c r="G1145" s="14">
        <v>5.4983190231943091E-3</v>
      </c>
      <c r="H1145" s="14">
        <v>5.3995841000032746E-3</v>
      </c>
    </row>
    <row r="1146" spans="2:8" x14ac:dyDescent="0.25">
      <c r="B1146" s="29">
        <v>1138</v>
      </c>
      <c r="C1146" s="30">
        <v>0.82703488372093026</v>
      </c>
      <c r="D1146" s="28">
        <v>36893</v>
      </c>
      <c r="E1146" s="14">
        <v>7.7909330715906222E-3</v>
      </c>
      <c r="F1146" s="14">
        <v>1.0484909371329953E-2</v>
      </c>
      <c r="G1146" s="14">
        <v>5.4992452016391358E-3</v>
      </c>
      <c r="H1146" s="14">
        <v>5.4093695797899251E-3</v>
      </c>
    </row>
    <row r="1147" spans="2:8" x14ac:dyDescent="0.25">
      <c r="B1147" s="29">
        <v>1139</v>
      </c>
      <c r="C1147" s="30">
        <v>0.82776162790697672</v>
      </c>
      <c r="D1147" s="28">
        <v>36894</v>
      </c>
      <c r="E1147" s="14">
        <v>7.8053335449110861E-3</v>
      </c>
      <c r="F1147" s="14">
        <v>1.0488887024197924E-2</v>
      </c>
      <c r="G1147" s="14">
        <v>5.5030503145299114E-3</v>
      </c>
      <c r="H1147" s="14">
        <v>5.4365365250626848E-3</v>
      </c>
    </row>
    <row r="1148" spans="2:8" x14ac:dyDescent="0.25">
      <c r="B1148" s="29">
        <v>1140</v>
      </c>
      <c r="C1148" s="30">
        <v>0.82848837209302328</v>
      </c>
      <c r="D1148" s="28">
        <v>36895</v>
      </c>
      <c r="E1148" s="14">
        <v>7.8092186114524509E-3</v>
      </c>
      <c r="F1148" s="14">
        <v>1.0568528947634936E-2</v>
      </c>
      <c r="G1148" s="14">
        <v>5.5169334375133605E-3</v>
      </c>
      <c r="H1148" s="14">
        <v>5.4395188641767301E-3</v>
      </c>
    </row>
    <row r="1149" spans="2:8" x14ac:dyDescent="0.25">
      <c r="B1149" s="29">
        <v>1141</v>
      </c>
      <c r="C1149" s="30">
        <v>0.82921511627906974</v>
      </c>
      <c r="D1149" s="28">
        <v>36896</v>
      </c>
      <c r="E1149" s="14">
        <v>7.948004080400306E-3</v>
      </c>
      <c r="F1149" s="14">
        <v>1.0612444152012568E-2</v>
      </c>
      <c r="G1149" s="14">
        <v>5.5283551674467635E-3</v>
      </c>
      <c r="H1149" s="14">
        <v>5.4487033621107191E-3</v>
      </c>
    </row>
    <row r="1150" spans="2:8" x14ac:dyDescent="0.25">
      <c r="B1150" s="29">
        <v>1142</v>
      </c>
      <c r="C1150" s="30">
        <v>0.82994186046511631</v>
      </c>
      <c r="D1150" s="28">
        <v>36899</v>
      </c>
      <c r="E1150" s="14">
        <v>7.9543902772090114E-3</v>
      </c>
      <c r="F1150" s="14">
        <v>1.0614016488519118E-2</v>
      </c>
      <c r="G1150" s="14">
        <v>5.5754567098613705E-3</v>
      </c>
      <c r="H1150" s="14">
        <v>5.4731726154928937E-3</v>
      </c>
    </row>
    <row r="1151" spans="2:8" x14ac:dyDescent="0.25">
      <c r="B1151" s="29">
        <v>1143</v>
      </c>
      <c r="C1151" s="30">
        <v>0.83066860465116277</v>
      </c>
      <c r="D1151" s="28">
        <v>36900</v>
      </c>
      <c r="E1151" s="14">
        <v>7.9985501729948894E-3</v>
      </c>
      <c r="F1151" s="14">
        <v>1.0627769889419492E-2</v>
      </c>
      <c r="G1151" s="14">
        <v>5.587557603686788E-3</v>
      </c>
      <c r="H1151" s="14">
        <v>5.5058843354711222E-3</v>
      </c>
    </row>
    <row r="1152" spans="2:8" x14ac:dyDescent="0.25">
      <c r="B1152" s="29">
        <v>1144</v>
      </c>
      <c r="C1152" s="30">
        <v>0.83139534883720934</v>
      </c>
      <c r="D1152" s="28">
        <v>36901</v>
      </c>
      <c r="E1152" s="14">
        <v>8.0198335931485065E-3</v>
      </c>
      <c r="F1152" s="14">
        <v>1.0633458920862537E-2</v>
      </c>
      <c r="G1152" s="14">
        <v>5.5878284923926991E-3</v>
      </c>
      <c r="H1152" s="14">
        <v>5.5063759311167366E-3</v>
      </c>
    </row>
    <row r="1153" spans="2:8" x14ac:dyDescent="0.25">
      <c r="B1153" s="29">
        <v>1145</v>
      </c>
      <c r="C1153" s="30">
        <v>0.83212209302325579</v>
      </c>
      <c r="D1153" s="28">
        <v>36902</v>
      </c>
      <c r="E1153" s="14">
        <v>8.0301838064686937E-3</v>
      </c>
      <c r="F1153" s="14">
        <v>1.0654131850939219E-2</v>
      </c>
      <c r="G1153" s="14">
        <v>5.6534923163900075E-3</v>
      </c>
      <c r="H1153" s="14">
        <v>5.5677595826628679E-3</v>
      </c>
    </row>
    <row r="1154" spans="2:8" x14ac:dyDescent="0.25">
      <c r="B1154" s="29">
        <v>1146</v>
      </c>
      <c r="C1154" s="30">
        <v>0.83284883720930236</v>
      </c>
      <c r="D1154" s="28">
        <v>36903</v>
      </c>
      <c r="E1154" s="14">
        <v>8.10552593460101E-3</v>
      </c>
      <c r="F1154" s="14">
        <v>1.0671320567297693E-2</v>
      </c>
      <c r="G1154" s="14">
        <v>5.6626192030317934E-3</v>
      </c>
      <c r="H1154" s="14">
        <v>5.5868971223680839E-3</v>
      </c>
    </row>
    <row r="1155" spans="2:8" x14ac:dyDescent="0.25">
      <c r="B1155" s="29">
        <v>1147</v>
      </c>
      <c r="C1155" s="30">
        <v>0.83357558139534882</v>
      </c>
      <c r="D1155" s="28">
        <v>36906</v>
      </c>
      <c r="E1155" s="14">
        <v>8.12737931377705E-3</v>
      </c>
      <c r="F1155" s="14">
        <v>1.0702522221720745E-2</v>
      </c>
      <c r="G1155" s="14">
        <v>5.6808780541615089E-3</v>
      </c>
      <c r="H1155" s="14">
        <v>5.614451890226491E-3</v>
      </c>
    </row>
    <row r="1156" spans="2:8" x14ac:dyDescent="0.25">
      <c r="B1156" s="29">
        <v>1148</v>
      </c>
      <c r="C1156" s="30">
        <v>0.83430232558139539</v>
      </c>
      <c r="D1156" s="28">
        <v>36907</v>
      </c>
      <c r="E1156" s="14">
        <v>8.2963234108568429E-3</v>
      </c>
      <c r="F1156" s="14">
        <v>1.0722840781749454E-2</v>
      </c>
      <c r="G1156" s="14">
        <v>5.6837454746152538E-3</v>
      </c>
      <c r="H1156" s="14">
        <v>5.6307451442787699E-3</v>
      </c>
    </row>
    <row r="1157" spans="2:8" x14ac:dyDescent="0.25">
      <c r="B1157" s="29">
        <v>1149</v>
      </c>
      <c r="C1157" s="30">
        <v>0.83502906976744184</v>
      </c>
      <c r="D1157" s="28">
        <v>36908</v>
      </c>
      <c r="E1157" s="14">
        <v>8.3562681983166964E-3</v>
      </c>
      <c r="F1157" s="14">
        <v>1.0783010546976834E-2</v>
      </c>
      <c r="G1157" s="14">
        <v>5.6988174953696014E-3</v>
      </c>
      <c r="H1157" s="14">
        <v>5.6377970416878753E-3</v>
      </c>
    </row>
    <row r="1158" spans="2:8" x14ac:dyDescent="0.25">
      <c r="B1158" s="29">
        <v>1150</v>
      </c>
      <c r="C1158" s="30">
        <v>0.83575581395348841</v>
      </c>
      <c r="D1158" s="28">
        <v>36909</v>
      </c>
      <c r="E1158" s="14">
        <v>8.3764006764339705E-3</v>
      </c>
      <c r="F1158" s="14">
        <v>1.0784441831090064E-2</v>
      </c>
      <c r="G1158" s="14">
        <v>5.7027595788965435E-3</v>
      </c>
      <c r="H1158" s="14">
        <v>5.6639720184811461E-3</v>
      </c>
    </row>
    <row r="1159" spans="2:8" x14ac:dyDescent="0.25">
      <c r="B1159" s="29">
        <v>1151</v>
      </c>
      <c r="C1159" s="30">
        <v>0.83648255813953487</v>
      </c>
      <c r="D1159" s="28">
        <v>36910</v>
      </c>
      <c r="E1159" s="14">
        <v>8.3848164673174796E-3</v>
      </c>
      <c r="F1159" s="14">
        <v>1.0786087655810128E-2</v>
      </c>
      <c r="G1159" s="14">
        <v>5.7611402870973993E-3</v>
      </c>
      <c r="H1159" s="14">
        <v>5.7102474066738742E-3</v>
      </c>
    </row>
    <row r="1160" spans="2:8" x14ac:dyDescent="0.25">
      <c r="B1160" s="29">
        <v>1152</v>
      </c>
      <c r="C1160" s="30">
        <v>0.83720930232558144</v>
      </c>
      <c r="D1160" s="28">
        <v>36913</v>
      </c>
      <c r="E1160" s="14">
        <v>8.3960606884261324E-3</v>
      </c>
      <c r="F1160" s="14">
        <v>1.0817367021839441E-2</v>
      </c>
      <c r="G1160" s="14">
        <v>5.8243306812197915E-3</v>
      </c>
      <c r="H1160" s="14">
        <v>5.7123072094785073E-3</v>
      </c>
    </row>
    <row r="1161" spans="2:8" x14ac:dyDescent="0.25">
      <c r="B1161" s="29">
        <v>1153</v>
      </c>
      <c r="C1161" s="30">
        <v>0.8379360465116279</v>
      </c>
      <c r="D1161" s="28">
        <v>36914</v>
      </c>
      <c r="E1161" s="14">
        <v>8.4302767633723796E-3</v>
      </c>
      <c r="F1161" s="14">
        <v>1.0824898082563372E-2</v>
      </c>
      <c r="G1161" s="14">
        <v>5.831470502478453E-3</v>
      </c>
      <c r="H1161" s="14">
        <v>5.7347834301701541E-3</v>
      </c>
    </row>
    <row r="1162" spans="2:8" x14ac:dyDescent="0.25">
      <c r="B1162" s="29">
        <v>1154</v>
      </c>
      <c r="C1162" s="30">
        <v>0.83866279069767447</v>
      </c>
      <c r="D1162" s="28">
        <v>36915</v>
      </c>
      <c r="E1162" s="14">
        <v>8.4419309892631578E-3</v>
      </c>
      <c r="F1162" s="14">
        <v>1.0892091185117359E-2</v>
      </c>
      <c r="G1162" s="14">
        <v>5.8981701294011923E-3</v>
      </c>
      <c r="H1162" s="14">
        <v>5.7395532577984689E-3</v>
      </c>
    </row>
    <row r="1163" spans="2:8" x14ac:dyDescent="0.25">
      <c r="B1163" s="29">
        <v>1155</v>
      </c>
      <c r="C1163" s="30">
        <v>0.83938953488372092</v>
      </c>
      <c r="D1163" s="28">
        <v>36916</v>
      </c>
      <c r="E1163" s="14">
        <v>8.4439083232812351E-3</v>
      </c>
      <c r="F1163" s="14">
        <v>1.089887147060109E-2</v>
      </c>
      <c r="G1163" s="14">
        <v>5.9008280194157159E-3</v>
      </c>
      <c r="H1163" s="14">
        <v>5.7506323982080779E-3</v>
      </c>
    </row>
    <row r="1164" spans="2:8" x14ac:dyDescent="0.25">
      <c r="B1164" s="29">
        <v>1156</v>
      </c>
      <c r="C1164" s="30">
        <v>0.84011627906976749</v>
      </c>
      <c r="D1164" s="28">
        <v>36917</v>
      </c>
      <c r="E1164" s="14">
        <v>8.468234113472306E-3</v>
      </c>
      <c r="F1164" s="14">
        <v>1.0910544195031013E-2</v>
      </c>
      <c r="G1164" s="14">
        <v>5.9018182457435397E-3</v>
      </c>
      <c r="H1164" s="14">
        <v>5.7520277242667731E-3</v>
      </c>
    </row>
    <row r="1165" spans="2:8" x14ac:dyDescent="0.25">
      <c r="B1165" s="29">
        <v>1157</v>
      </c>
      <c r="C1165" s="30">
        <v>0.84084302325581395</v>
      </c>
      <c r="D1165" s="28">
        <v>36920</v>
      </c>
      <c r="E1165" s="14">
        <v>8.4799118561367237E-3</v>
      </c>
      <c r="F1165" s="14">
        <v>1.0960570328073738E-2</v>
      </c>
      <c r="G1165" s="14">
        <v>5.9150136578971502E-3</v>
      </c>
      <c r="H1165" s="14">
        <v>5.7544179526254798E-3</v>
      </c>
    </row>
    <row r="1166" spans="2:8" x14ac:dyDescent="0.25">
      <c r="B1166" s="29">
        <v>1158</v>
      </c>
      <c r="C1166" s="30">
        <v>0.84156976744186052</v>
      </c>
      <c r="D1166" s="28">
        <v>36921</v>
      </c>
      <c r="E1166" s="14">
        <v>8.502672993151883E-3</v>
      </c>
      <c r="F1166" s="14">
        <v>1.0985510225053785E-2</v>
      </c>
      <c r="G1166" s="14">
        <v>5.9516974131494926E-3</v>
      </c>
      <c r="H1166" s="14">
        <v>5.755947833237852E-3</v>
      </c>
    </row>
    <row r="1167" spans="2:8" x14ac:dyDescent="0.25">
      <c r="B1167" s="29">
        <v>1159</v>
      </c>
      <c r="C1167" s="30">
        <v>0.84229651162790697</v>
      </c>
      <c r="D1167" s="28">
        <v>36922</v>
      </c>
      <c r="E1167" s="14">
        <v>8.5382162706719722E-3</v>
      </c>
      <c r="F1167" s="14">
        <v>1.101727965440702E-2</v>
      </c>
      <c r="G1167" s="14">
        <v>5.9665871121719061E-3</v>
      </c>
      <c r="H1167" s="14">
        <v>5.7642984325074753E-3</v>
      </c>
    </row>
    <row r="1168" spans="2:8" x14ac:dyDescent="0.25">
      <c r="B1168" s="29">
        <v>1160</v>
      </c>
      <c r="C1168" s="30">
        <v>0.84302325581395354</v>
      </c>
      <c r="D1168" s="28">
        <v>36923</v>
      </c>
      <c r="E1168" s="14">
        <v>8.583690987124637E-3</v>
      </c>
      <c r="F1168" s="14">
        <v>1.1081178974057027E-2</v>
      </c>
      <c r="G1168" s="14">
        <v>5.9697998361232241E-3</v>
      </c>
      <c r="H1168" s="14">
        <v>5.776829183418597E-3</v>
      </c>
    </row>
    <row r="1169" spans="2:8" x14ac:dyDescent="0.25">
      <c r="B1169" s="29">
        <v>1161</v>
      </c>
      <c r="C1169" s="30">
        <v>0.84375</v>
      </c>
      <c r="D1169" s="28">
        <v>36924</v>
      </c>
      <c r="E1169" s="14">
        <v>8.6294416243655192E-3</v>
      </c>
      <c r="F1169" s="14">
        <v>1.1085438008360704E-2</v>
      </c>
      <c r="G1169" s="14">
        <v>5.9729604123737179E-3</v>
      </c>
      <c r="H1169" s="14">
        <v>5.7821198862054064E-3</v>
      </c>
    </row>
    <row r="1170" spans="2:8" x14ac:dyDescent="0.25">
      <c r="B1170" s="29">
        <v>1162</v>
      </c>
      <c r="C1170" s="30">
        <v>0.84447674418604646</v>
      </c>
      <c r="D1170" s="28">
        <v>36927</v>
      </c>
      <c r="E1170" s="14">
        <v>8.7182378476728939E-3</v>
      </c>
      <c r="F1170" s="14">
        <v>1.1096208673218699E-2</v>
      </c>
      <c r="G1170" s="14">
        <v>6.0050568900125167E-3</v>
      </c>
      <c r="H1170" s="14">
        <v>5.792063639985745E-3</v>
      </c>
    </row>
    <row r="1171" spans="2:8" x14ac:dyDescent="0.25">
      <c r="B1171" s="29">
        <v>1163</v>
      </c>
      <c r="C1171" s="30">
        <v>0.84520348837209303</v>
      </c>
      <c r="D1171" s="28">
        <v>36928</v>
      </c>
      <c r="E1171" s="14">
        <v>8.7540122556168942E-3</v>
      </c>
      <c r="F1171" s="14">
        <v>1.1175454637813553E-2</v>
      </c>
      <c r="G1171" s="14">
        <v>6.0167130919221989E-3</v>
      </c>
      <c r="H1171" s="14">
        <v>5.8754772118077897E-3</v>
      </c>
    </row>
    <row r="1172" spans="2:8" x14ac:dyDescent="0.25">
      <c r="B1172" s="29">
        <v>1164</v>
      </c>
      <c r="C1172" s="30">
        <v>0.84593023255813948</v>
      </c>
      <c r="D1172" s="28">
        <v>36929</v>
      </c>
      <c r="E1172" s="14">
        <v>8.7627007472619312E-3</v>
      </c>
      <c r="F1172" s="14">
        <v>1.118893571555768E-2</v>
      </c>
      <c r="G1172" s="14">
        <v>6.0199909132214735E-3</v>
      </c>
      <c r="H1172" s="14">
        <v>5.9167855553705195E-3</v>
      </c>
    </row>
    <row r="1173" spans="2:8" x14ac:dyDescent="0.25">
      <c r="B1173" s="29">
        <v>1165</v>
      </c>
      <c r="C1173" s="30">
        <v>0.84665697674418605</v>
      </c>
      <c r="D1173" s="28">
        <v>36930</v>
      </c>
      <c r="E1173" s="14">
        <v>8.7686436808556145E-3</v>
      </c>
      <c r="F1173" s="14">
        <v>1.1189965798802604E-2</v>
      </c>
      <c r="G1173" s="14">
        <v>6.0346913319515583E-3</v>
      </c>
      <c r="H1173" s="14">
        <v>5.9183002817683851E-3</v>
      </c>
    </row>
    <row r="1174" spans="2:8" x14ac:dyDescent="0.25">
      <c r="B1174" s="29">
        <v>1166</v>
      </c>
      <c r="C1174" s="30">
        <v>0.84738372093023251</v>
      </c>
      <c r="D1174" s="28">
        <v>36931</v>
      </c>
      <c r="E1174" s="14">
        <v>8.8105681587109519E-3</v>
      </c>
      <c r="F1174" s="14">
        <v>1.1203543573513386E-2</v>
      </c>
      <c r="G1174" s="14">
        <v>6.047811947281545E-3</v>
      </c>
      <c r="H1174" s="14">
        <v>5.9294445134137064E-3</v>
      </c>
    </row>
    <row r="1175" spans="2:8" x14ac:dyDescent="0.25">
      <c r="B1175" s="29">
        <v>1167</v>
      </c>
      <c r="C1175" s="30">
        <v>0.84811046511627908</v>
      </c>
      <c r="D1175" s="28">
        <v>36934</v>
      </c>
      <c r="E1175" s="14">
        <v>8.8266784735151482E-3</v>
      </c>
      <c r="F1175" s="14">
        <v>1.1248154876802641E-2</v>
      </c>
      <c r="G1175" s="14">
        <v>6.0875287923660704E-3</v>
      </c>
      <c r="H1175" s="14">
        <v>5.9407933016977221E-3</v>
      </c>
    </row>
    <row r="1176" spans="2:8" x14ac:dyDescent="0.25">
      <c r="B1176" s="29">
        <v>1168</v>
      </c>
      <c r="C1176" s="30">
        <v>0.84883720930232553</v>
      </c>
      <c r="D1176" s="28">
        <v>36935</v>
      </c>
      <c r="E1176" s="14">
        <v>8.9153046062406816E-3</v>
      </c>
      <c r="F1176" s="14">
        <v>1.127346562527265E-2</v>
      </c>
      <c r="G1176" s="14">
        <v>6.1088920295444549E-3</v>
      </c>
      <c r="H1176" s="14">
        <v>5.9686792756585838E-3</v>
      </c>
    </row>
    <row r="1177" spans="2:8" x14ac:dyDescent="0.25">
      <c r="B1177" s="29">
        <v>1169</v>
      </c>
      <c r="C1177" s="30">
        <v>0.8495639534883721</v>
      </c>
      <c r="D1177" s="28">
        <v>36936</v>
      </c>
      <c r="E1177" s="14">
        <v>8.9365456778855989E-3</v>
      </c>
      <c r="F1177" s="14">
        <v>1.1277333902337094E-2</v>
      </c>
      <c r="G1177" s="14">
        <v>6.1291580765587828E-3</v>
      </c>
      <c r="H1177" s="14">
        <v>5.9730560320203629E-3</v>
      </c>
    </row>
    <row r="1178" spans="2:8" x14ac:dyDescent="0.25">
      <c r="B1178" s="29">
        <v>1170</v>
      </c>
      <c r="C1178" s="30">
        <v>0.85029069767441856</v>
      </c>
      <c r="D1178" s="28">
        <v>36937</v>
      </c>
      <c r="E1178" s="14">
        <v>8.9680589680589673E-3</v>
      </c>
      <c r="F1178" s="14">
        <v>1.1282384215190122E-2</v>
      </c>
      <c r="G1178" s="14">
        <v>6.1501227063134323E-3</v>
      </c>
      <c r="H1178" s="14">
        <v>5.9968048893318301E-3</v>
      </c>
    </row>
    <row r="1179" spans="2:8" x14ac:dyDescent="0.25">
      <c r="B1179" s="29">
        <v>1171</v>
      </c>
      <c r="C1179" s="30">
        <v>0.85101744186046513</v>
      </c>
      <c r="D1179" s="28">
        <v>36938</v>
      </c>
      <c r="E1179" s="14">
        <v>9.0172976923030834E-3</v>
      </c>
      <c r="F1179" s="14">
        <v>1.1305849239575227E-2</v>
      </c>
      <c r="G1179" s="14">
        <v>6.1586606308254854E-3</v>
      </c>
      <c r="H1179" s="14">
        <v>6.0065659634900518E-3</v>
      </c>
    </row>
    <row r="1180" spans="2:8" x14ac:dyDescent="0.25">
      <c r="B1180" s="29">
        <v>1172</v>
      </c>
      <c r="C1180" s="30">
        <v>0.85174418604651159</v>
      </c>
      <c r="D1180" s="28">
        <v>36941</v>
      </c>
      <c r="E1180" s="14">
        <v>9.0257879991550993E-3</v>
      </c>
      <c r="F1180" s="14">
        <v>1.1338655559412159E-2</v>
      </c>
      <c r="G1180" s="14">
        <v>6.2156382317348768E-3</v>
      </c>
      <c r="H1180" s="14">
        <v>6.0386664707904551E-3</v>
      </c>
    </row>
    <row r="1181" spans="2:8" x14ac:dyDescent="0.25">
      <c r="B1181" s="29">
        <v>1173</v>
      </c>
      <c r="C1181" s="30">
        <v>0.85247093023255816</v>
      </c>
      <c r="D1181" s="28">
        <v>36942</v>
      </c>
      <c r="E1181" s="14">
        <v>9.028960817717202E-3</v>
      </c>
      <c r="F1181" s="14">
        <v>1.1346466345468542E-2</v>
      </c>
      <c r="G1181" s="14">
        <v>6.2171480246422384E-3</v>
      </c>
      <c r="H1181" s="14">
        <v>6.0560290380118342E-3</v>
      </c>
    </row>
    <row r="1182" spans="2:8" x14ac:dyDescent="0.25">
      <c r="B1182" s="29">
        <v>1174</v>
      </c>
      <c r="C1182" s="30">
        <v>0.85319767441860461</v>
      </c>
      <c r="D1182" s="28">
        <v>36943</v>
      </c>
      <c r="E1182" s="14">
        <v>9.1807278669000514E-3</v>
      </c>
      <c r="F1182" s="14">
        <v>1.1364193796294719E-2</v>
      </c>
      <c r="G1182" s="14">
        <v>6.2221795630752474E-3</v>
      </c>
      <c r="H1182" s="14">
        <v>6.0586098439332266E-3</v>
      </c>
    </row>
    <row r="1183" spans="2:8" x14ac:dyDescent="0.25">
      <c r="B1183" s="29">
        <v>1175</v>
      </c>
      <c r="C1183" s="30">
        <v>0.85392441860465118</v>
      </c>
      <c r="D1183" s="28">
        <v>36944</v>
      </c>
      <c r="E1183" s="14">
        <v>9.246746764593361E-3</v>
      </c>
      <c r="F1183" s="14">
        <v>1.1422815787510254E-2</v>
      </c>
      <c r="G1183" s="14">
        <v>6.2350386906420141E-3</v>
      </c>
      <c r="H1183" s="14">
        <v>6.1313377896866864E-3</v>
      </c>
    </row>
    <row r="1184" spans="2:8" x14ac:dyDescent="0.25">
      <c r="B1184" s="29">
        <v>1176</v>
      </c>
      <c r="C1184" s="30">
        <v>0.85465116279069764</v>
      </c>
      <c r="D1184" s="28">
        <v>36945</v>
      </c>
      <c r="E1184" s="14">
        <v>9.2576815830582859E-3</v>
      </c>
      <c r="F1184" s="14">
        <v>1.1457474188387495E-2</v>
      </c>
      <c r="G1184" s="14">
        <v>6.2466894133639261E-3</v>
      </c>
      <c r="H1184" s="14">
        <v>6.1460324511346982E-3</v>
      </c>
    </row>
    <row r="1185" spans="2:8" x14ac:dyDescent="0.25">
      <c r="B1185" s="29">
        <v>1177</v>
      </c>
      <c r="C1185" s="30">
        <v>0.85537790697674421</v>
      </c>
      <c r="D1185" s="28">
        <v>36948</v>
      </c>
      <c r="E1185" s="14">
        <v>9.2723558070091361E-3</v>
      </c>
      <c r="F1185" s="14">
        <v>1.1493993993993978E-2</v>
      </c>
      <c r="G1185" s="14">
        <v>6.2681107256161717E-3</v>
      </c>
      <c r="H1185" s="14">
        <v>6.1498133062419134E-3</v>
      </c>
    </row>
    <row r="1186" spans="2:8" x14ac:dyDescent="0.25">
      <c r="B1186" s="29">
        <v>1178</v>
      </c>
      <c r="C1186" s="30">
        <v>0.85610465116279066</v>
      </c>
      <c r="D1186" s="28">
        <v>36949</v>
      </c>
      <c r="E1186" s="14">
        <v>9.2770873446526014E-3</v>
      </c>
      <c r="F1186" s="14">
        <v>1.1545272289006148E-2</v>
      </c>
      <c r="G1186" s="14">
        <v>6.2797869358004466E-3</v>
      </c>
      <c r="H1186" s="14">
        <v>6.2179607445614687E-3</v>
      </c>
    </row>
    <row r="1187" spans="2:8" x14ac:dyDescent="0.25">
      <c r="B1187" s="29">
        <v>1179</v>
      </c>
      <c r="C1187" s="30">
        <v>0.85683139534883723</v>
      </c>
      <c r="D1187" s="28">
        <v>36950</v>
      </c>
      <c r="E1187" s="14">
        <v>9.3167861306151512E-3</v>
      </c>
      <c r="F1187" s="14">
        <v>1.1673203307186686E-2</v>
      </c>
      <c r="G1187" s="14">
        <v>6.3192350257537111E-3</v>
      </c>
      <c r="H1187" s="14">
        <v>6.219238239778436E-3</v>
      </c>
    </row>
    <row r="1188" spans="2:8" x14ac:dyDescent="0.25">
      <c r="B1188" s="29">
        <v>1180</v>
      </c>
      <c r="C1188" s="30">
        <v>0.85755813953488369</v>
      </c>
      <c r="D1188" s="28">
        <v>36951</v>
      </c>
      <c r="E1188" s="14">
        <v>9.3227904292696451E-3</v>
      </c>
      <c r="F1188" s="14">
        <v>1.1698496370549538E-2</v>
      </c>
      <c r="G1188" s="14">
        <v>6.3213985823280527E-3</v>
      </c>
      <c r="H1188" s="14">
        <v>6.2397930572778209E-3</v>
      </c>
    </row>
    <row r="1189" spans="2:8" x14ac:dyDescent="0.25">
      <c r="B1189" s="29">
        <v>1181</v>
      </c>
      <c r="C1189" s="30">
        <v>0.85828488372093026</v>
      </c>
      <c r="D1189" s="28">
        <v>36952</v>
      </c>
      <c r="E1189" s="14">
        <v>9.351716302139268E-3</v>
      </c>
      <c r="F1189" s="14">
        <v>1.170593563934097E-2</v>
      </c>
      <c r="G1189" s="14">
        <v>6.3315019264393868E-3</v>
      </c>
      <c r="H1189" s="14">
        <v>6.2465039482923809E-3</v>
      </c>
    </row>
    <row r="1190" spans="2:8" x14ac:dyDescent="0.25">
      <c r="B1190" s="29">
        <v>1182</v>
      </c>
      <c r="C1190" s="30">
        <v>0.85901162790697672</v>
      </c>
      <c r="D1190" s="28">
        <v>36955</v>
      </c>
      <c r="E1190" s="14">
        <v>9.3812905921226708E-3</v>
      </c>
      <c r="F1190" s="14">
        <v>1.1731879587081995E-2</v>
      </c>
      <c r="G1190" s="14">
        <v>6.3389679715302183E-3</v>
      </c>
      <c r="H1190" s="14">
        <v>6.3223699387015232E-3</v>
      </c>
    </row>
    <row r="1191" spans="2:8" x14ac:dyDescent="0.25">
      <c r="B1191" s="29">
        <v>1183</v>
      </c>
      <c r="C1191" s="30">
        <v>0.85973837209302328</v>
      </c>
      <c r="D1191" s="28">
        <v>36956</v>
      </c>
      <c r="E1191" s="14">
        <v>9.4829493574537516E-3</v>
      </c>
      <c r="F1191" s="14">
        <v>1.1768774973376805E-2</v>
      </c>
      <c r="G1191" s="14">
        <v>6.3820422535210142E-3</v>
      </c>
      <c r="H1191" s="14">
        <v>6.3278463536792012E-3</v>
      </c>
    </row>
    <row r="1192" spans="2:8" x14ac:dyDescent="0.25">
      <c r="B1192" s="29">
        <v>1184</v>
      </c>
      <c r="C1192" s="30">
        <v>0.86046511627906974</v>
      </c>
      <c r="D1192" s="28">
        <v>36957</v>
      </c>
      <c r="E1192" s="14">
        <v>9.5073995939203293E-3</v>
      </c>
      <c r="F1192" s="14">
        <v>1.1810675968033868E-2</v>
      </c>
      <c r="G1192" s="14">
        <v>6.4275249302898629E-3</v>
      </c>
      <c r="H1192" s="14">
        <v>6.32888785187975E-3</v>
      </c>
    </row>
    <row r="1193" spans="2:8" x14ac:dyDescent="0.25">
      <c r="B1193" s="29">
        <v>1185</v>
      </c>
      <c r="C1193" s="30">
        <v>0.86119186046511631</v>
      </c>
      <c r="D1193" s="28">
        <v>36958</v>
      </c>
      <c r="E1193" s="14">
        <v>9.5220117871599452E-3</v>
      </c>
      <c r="F1193" s="14">
        <v>1.1828513182516653E-2</v>
      </c>
      <c r="G1193" s="14">
        <v>6.4301393836916354E-3</v>
      </c>
      <c r="H1193" s="14">
        <v>6.3497616386688494E-3</v>
      </c>
    </row>
    <row r="1194" spans="2:8" x14ac:dyDescent="0.25">
      <c r="B1194" s="29">
        <v>1186</v>
      </c>
      <c r="C1194" s="30">
        <v>0.86191860465116277</v>
      </c>
      <c r="D1194" s="28">
        <v>36959</v>
      </c>
      <c r="E1194" s="14">
        <v>9.6003049350759095E-3</v>
      </c>
      <c r="F1194" s="14">
        <v>1.1870628412805617E-2</v>
      </c>
      <c r="G1194" s="14">
        <v>6.4412457362412745E-3</v>
      </c>
      <c r="H1194" s="14">
        <v>6.3748683769000447E-3</v>
      </c>
    </row>
    <row r="1195" spans="2:8" x14ac:dyDescent="0.25">
      <c r="B1195" s="29">
        <v>1187</v>
      </c>
      <c r="C1195" s="30">
        <v>0.86264534883720934</v>
      </c>
      <c r="D1195" s="28">
        <v>36962</v>
      </c>
      <c r="E1195" s="14">
        <v>9.6212751479407554E-3</v>
      </c>
      <c r="F1195" s="14">
        <v>1.1960803580201684E-2</v>
      </c>
      <c r="G1195" s="14">
        <v>6.4509191500201624E-3</v>
      </c>
      <c r="H1195" s="14">
        <v>6.4825756318054317E-3</v>
      </c>
    </row>
    <row r="1196" spans="2:8" x14ac:dyDescent="0.25">
      <c r="B1196" s="29">
        <v>1188</v>
      </c>
      <c r="C1196" s="30">
        <v>0.86337209302325579</v>
      </c>
      <c r="D1196" s="28">
        <v>36963</v>
      </c>
      <c r="E1196" s="14">
        <v>9.6675307548510503E-3</v>
      </c>
      <c r="F1196" s="14">
        <v>1.1974072349014264E-2</v>
      </c>
      <c r="G1196" s="14">
        <v>6.4565357750776542E-3</v>
      </c>
      <c r="H1196" s="14">
        <v>6.4894360733536612E-3</v>
      </c>
    </row>
    <row r="1197" spans="2:8" x14ac:dyDescent="0.25">
      <c r="B1197" s="29">
        <v>1189</v>
      </c>
      <c r="C1197" s="30">
        <v>0.86409883720930236</v>
      </c>
      <c r="D1197" s="28">
        <v>36964</v>
      </c>
      <c r="E1197" s="14">
        <v>9.6689526712387952E-3</v>
      </c>
      <c r="F1197" s="14">
        <v>1.2061782990450576E-2</v>
      </c>
      <c r="G1197" s="14">
        <v>6.4949020058224782E-3</v>
      </c>
      <c r="H1197" s="14">
        <v>6.4951594509799152E-3</v>
      </c>
    </row>
    <row r="1198" spans="2:8" x14ac:dyDescent="0.25">
      <c r="B1198" s="29">
        <v>1190</v>
      </c>
      <c r="C1198" s="30">
        <v>0.86482558139534882</v>
      </c>
      <c r="D1198" s="28">
        <v>36965</v>
      </c>
      <c r="E1198" s="14">
        <v>9.7155760463665253E-3</v>
      </c>
      <c r="F1198" s="14">
        <v>1.2106055240793223E-2</v>
      </c>
      <c r="G1198" s="14">
        <v>6.5037540050689735E-3</v>
      </c>
      <c r="H1198" s="14">
        <v>6.4966497163477799E-3</v>
      </c>
    </row>
    <row r="1199" spans="2:8" x14ac:dyDescent="0.25">
      <c r="B1199" s="29">
        <v>1191</v>
      </c>
      <c r="C1199" s="30">
        <v>0.86555232558139539</v>
      </c>
      <c r="D1199" s="28">
        <v>36966</v>
      </c>
      <c r="E1199" s="14">
        <v>9.7188995215313767E-3</v>
      </c>
      <c r="F1199" s="14">
        <v>1.2127181833587519E-2</v>
      </c>
      <c r="G1199" s="14">
        <v>6.5228787741327121E-3</v>
      </c>
      <c r="H1199" s="14">
        <v>6.534611407750069E-3</v>
      </c>
    </row>
    <row r="1200" spans="2:8" x14ac:dyDescent="0.25">
      <c r="B1200" s="29">
        <v>1192</v>
      </c>
      <c r="C1200" s="30">
        <v>0.86627906976744184</v>
      </c>
      <c r="D1200" s="28">
        <v>36969</v>
      </c>
      <c r="E1200" s="14">
        <v>9.7925575282222788E-3</v>
      </c>
      <c r="F1200" s="14">
        <v>1.2169663117472584E-2</v>
      </c>
      <c r="G1200" s="14">
        <v>6.5419532783679291E-3</v>
      </c>
      <c r="H1200" s="14">
        <v>6.5455478852957773E-3</v>
      </c>
    </row>
    <row r="1201" spans="2:8" x14ac:dyDescent="0.25">
      <c r="B1201" s="29">
        <v>1193</v>
      </c>
      <c r="C1201" s="30">
        <v>0.86700581395348841</v>
      </c>
      <c r="D1201" s="28">
        <v>36970</v>
      </c>
      <c r="E1201" s="14">
        <v>9.7993956689608197E-3</v>
      </c>
      <c r="F1201" s="14">
        <v>1.2194843801081046E-2</v>
      </c>
      <c r="G1201" s="14">
        <v>6.5684676211561488E-3</v>
      </c>
      <c r="H1201" s="14">
        <v>6.5714103664531462E-3</v>
      </c>
    </row>
    <row r="1202" spans="2:8" x14ac:dyDescent="0.25">
      <c r="B1202" s="29">
        <v>1194</v>
      </c>
      <c r="C1202" s="30">
        <v>0.86773255813953487</v>
      </c>
      <c r="D1202" s="28">
        <v>36971</v>
      </c>
      <c r="E1202" s="14">
        <v>9.7999431887350053E-3</v>
      </c>
      <c r="F1202" s="14">
        <v>1.227321237993606E-2</v>
      </c>
      <c r="G1202" s="14">
        <v>6.5842650153500326E-3</v>
      </c>
      <c r="H1202" s="14">
        <v>6.5887151860279051E-3</v>
      </c>
    </row>
    <row r="1203" spans="2:8" x14ac:dyDescent="0.25">
      <c r="B1203" s="29">
        <v>1195</v>
      </c>
      <c r="C1203" s="30">
        <v>0.86845930232558144</v>
      </c>
      <c r="D1203" s="28">
        <v>36972</v>
      </c>
      <c r="E1203" s="14">
        <v>9.8004045167703335E-3</v>
      </c>
      <c r="F1203" s="14">
        <v>1.2310568656107357E-2</v>
      </c>
      <c r="G1203" s="14">
        <v>6.6137128632755005E-3</v>
      </c>
      <c r="H1203" s="14">
        <v>6.6160170195301632E-3</v>
      </c>
    </row>
    <row r="1204" spans="2:8" x14ac:dyDescent="0.25">
      <c r="B1204" s="29">
        <v>1196</v>
      </c>
      <c r="C1204" s="30">
        <v>0.8691860465116279</v>
      </c>
      <c r="D1204" s="28">
        <v>36973</v>
      </c>
      <c r="E1204" s="14">
        <v>9.8199672667758087E-3</v>
      </c>
      <c r="F1204" s="14">
        <v>1.2314630127482351E-2</v>
      </c>
      <c r="G1204" s="14">
        <v>6.6217472118959009E-3</v>
      </c>
      <c r="H1204" s="14">
        <v>6.6725893926686385E-3</v>
      </c>
    </row>
    <row r="1205" spans="2:8" x14ac:dyDescent="0.25">
      <c r="B1205" s="29">
        <v>1197</v>
      </c>
      <c r="C1205" s="30">
        <v>0.86991279069767447</v>
      </c>
      <c r="D1205" s="28">
        <v>36976</v>
      </c>
      <c r="E1205" s="14">
        <v>9.8247194086529266E-3</v>
      </c>
      <c r="F1205" s="14">
        <v>1.2323084431429931E-2</v>
      </c>
      <c r="G1205" s="14">
        <v>6.6384658967897359E-3</v>
      </c>
      <c r="H1205" s="14">
        <v>6.7037592859005906E-3</v>
      </c>
    </row>
    <row r="1206" spans="2:8" x14ac:dyDescent="0.25">
      <c r="B1206" s="29">
        <v>1198</v>
      </c>
      <c r="C1206" s="30">
        <v>0.87063953488372092</v>
      </c>
      <c r="D1206" s="28">
        <v>36977</v>
      </c>
      <c r="E1206" s="14">
        <v>9.8260066127242585E-3</v>
      </c>
      <c r="F1206" s="14">
        <v>1.2404256018584414E-2</v>
      </c>
      <c r="G1206" s="14">
        <v>6.6388991864267943E-3</v>
      </c>
      <c r="H1206" s="14">
        <v>6.7102274297360601E-3</v>
      </c>
    </row>
    <row r="1207" spans="2:8" x14ac:dyDescent="0.25">
      <c r="B1207" s="29">
        <v>1199</v>
      </c>
      <c r="C1207" s="30">
        <v>0.87136627906976749</v>
      </c>
      <c r="D1207" s="28">
        <v>36978</v>
      </c>
      <c r="E1207" s="14">
        <v>9.8347390370669974E-3</v>
      </c>
      <c r="F1207" s="14">
        <v>1.241794133816243E-2</v>
      </c>
      <c r="G1207" s="14">
        <v>6.6659668276294326E-3</v>
      </c>
      <c r="H1207" s="14">
        <v>6.7385694481571614E-3</v>
      </c>
    </row>
    <row r="1208" spans="2:8" x14ac:dyDescent="0.25">
      <c r="B1208" s="29">
        <v>1200</v>
      </c>
      <c r="C1208" s="30">
        <v>0.87209302325581395</v>
      </c>
      <c r="D1208" s="28">
        <v>36979</v>
      </c>
      <c r="E1208" s="14">
        <v>9.8851262914774196E-3</v>
      </c>
      <c r="F1208" s="14">
        <v>1.2466015167967193E-2</v>
      </c>
      <c r="G1208" s="14">
        <v>6.727032405666078E-3</v>
      </c>
      <c r="H1208" s="14">
        <v>6.7530726439130719E-3</v>
      </c>
    </row>
    <row r="1209" spans="2:8" x14ac:dyDescent="0.25">
      <c r="B1209" s="29">
        <v>1201</v>
      </c>
      <c r="C1209" s="30">
        <v>0.87281976744186052</v>
      </c>
      <c r="D1209" s="28">
        <v>36980</v>
      </c>
      <c r="E1209" s="14">
        <v>9.8923868725351305E-3</v>
      </c>
      <c r="F1209" s="14">
        <v>1.2493084627643425E-2</v>
      </c>
      <c r="G1209" s="14">
        <v>6.7545382053568748E-3</v>
      </c>
      <c r="H1209" s="14">
        <v>6.7907614685019718E-3</v>
      </c>
    </row>
    <row r="1210" spans="2:8" x14ac:dyDescent="0.25">
      <c r="B1210" s="29">
        <v>1202</v>
      </c>
      <c r="C1210" s="30">
        <v>0.87354651162790697</v>
      </c>
      <c r="D1210" s="28">
        <v>36983</v>
      </c>
      <c r="E1210" s="14">
        <v>9.8948047237112924E-3</v>
      </c>
      <c r="F1210" s="14">
        <v>1.2529230058604623E-2</v>
      </c>
      <c r="G1210" s="14">
        <v>6.7678077942587844E-3</v>
      </c>
      <c r="H1210" s="14">
        <v>6.8000473131736077E-3</v>
      </c>
    </row>
    <row r="1211" spans="2:8" x14ac:dyDescent="0.25">
      <c r="B1211" s="29">
        <v>1203</v>
      </c>
      <c r="C1211" s="30">
        <v>0.87427325581395354</v>
      </c>
      <c r="D1211" s="28">
        <v>36984</v>
      </c>
      <c r="E1211" s="14">
        <v>9.8951496070056599E-3</v>
      </c>
      <c r="F1211" s="14">
        <v>1.2550881953866888E-2</v>
      </c>
      <c r="G1211" s="14">
        <v>6.7796610169492677E-3</v>
      </c>
      <c r="H1211" s="14">
        <v>6.8017143570587198E-3</v>
      </c>
    </row>
    <row r="1212" spans="2:8" x14ac:dyDescent="0.25">
      <c r="B1212" s="29">
        <v>1204</v>
      </c>
      <c r="C1212" s="30">
        <v>0.875</v>
      </c>
      <c r="D1212" s="28">
        <v>36985</v>
      </c>
      <c r="E1212" s="14">
        <v>9.9708885763971633E-3</v>
      </c>
      <c r="F1212" s="14">
        <v>1.2612989184387802E-2</v>
      </c>
      <c r="G1212" s="14">
        <v>6.8478718921196613E-3</v>
      </c>
      <c r="H1212" s="14">
        <v>6.8280165150553795E-3</v>
      </c>
    </row>
    <row r="1213" spans="2:8" x14ac:dyDescent="0.25">
      <c r="B1213" s="29">
        <v>1205</v>
      </c>
      <c r="C1213" s="30">
        <v>0.87572674418604646</v>
      </c>
      <c r="D1213" s="28">
        <v>36986</v>
      </c>
      <c r="E1213" s="14">
        <v>1.0046769443963433E-2</v>
      </c>
      <c r="F1213" s="14">
        <v>1.275282002050937E-2</v>
      </c>
      <c r="G1213" s="14">
        <v>6.8542395628625741E-3</v>
      </c>
      <c r="H1213" s="14">
        <v>6.8294731298353967E-3</v>
      </c>
    </row>
    <row r="1214" spans="2:8" x14ac:dyDescent="0.25">
      <c r="B1214" s="29">
        <v>1206</v>
      </c>
      <c r="C1214" s="30">
        <v>0.87645348837209303</v>
      </c>
      <c r="D1214" s="28">
        <v>36987</v>
      </c>
      <c r="E1214" s="14">
        <v>1.0047408158885496E-2</v>
      </c>
      <c r="F1214" s="14">
        <v>1.2848128147563864E-2</v>
      </c>
      <c r="G1214" s="14">
        <v>6.8808643730451369E-3</v>
      </c>
      <c r="H1214" s="14">
        <v>6.8486740453997724E-3</v>
      </c>
    </row>
    <row r="1215" spans="2:8" x14ac:dyDescent="0.25">
      <c r="B1215" s="29">
        <v>1207</v>
      </c>
      <c r="C1215" s="30">
        <v>0.87718023255813948</v>
      </c>
      <c r="D1215" s="28">
        <v>36990</v>
      </c>
      <c r="E1215" s="14">
        <v>1.0063876067872179E-2</v>
      </c>
      <c r="F1215" s="14">
        <v>1.2879741350074081E-2</v>
      </c>
      <c r="G1215" s="14">
        <v>6.8818101246026497E-3</v>
      </c>
      <c r="H1215" s="14">
        <v>6.8587778482510856E-3</v>
      </c>
    </row>
    <row r="1216" spans="2:8" x14ac:dyDescent="0.25">
      <c r="B1216" s="29">
        <v>1208</v>
      </c>
      <c r="C1216" s="30">
        <v>0.87790697674418605</v>
      </c>
      <c r="D1216" s="28">
        <v>36991</v>
      </c>
      <c r="E1216" s="14">
        <v>1.0206162277152764E-2</v>
      </c>
      <c r="F1216" s="14">
        <v>1.2943201910847746E-2</v>
      </c>
      <c r="G1216" s="14">
        <v>6.9074518527190154E-3</v>
      </c>
      <c r="H1216" s="14">
        <v>6.8638588585590915E-3</v>
      </c>
    </row>
    <row r="1217" spans="2:8" x14ac:dyDescent="0.25">
      <c r="B1217" s="29">
        <v>1209</v>
      </c>
      <c r="C1217" s="30">
        <v>0.87863372093023251</v>
      </c>
      <c r="D1217" s="28">
        <v>36992</v>
      </c>
      <c r="E1217" s="14">
        <v>1.0304384802515942E-2</v>
      </c>
      <c r="F1217" s="14">
        <v>1.2966108280325628E-2</v>
      </c>
      <c r="G1217" s="14">
        <v>6.9150122685703863E-3</v>
      </c>
      <c r="H1217" s="14">
        <v>6.8665807093285739E-3</v>
      </c>
    </row>
    <row r="1218" spans="2:8" x14ac:dyDescent="0.25">
      <c r="B1218" s="29">
        <v>1210</v>
      </c>
      <c r="C1218" s="30">
        <v>0.87936046511627908</v>
      </c>
      <c r="D1218" s="28">
        <v>36993</v>
      </c>
      <c r="E1218" s="14">
        <v>1.030933419761193E-2</v>
      </c>
      <c r="F1218" s="14">
        <v>1.2982431383616655E-2</v>
      </c>
      <c r="G1218" s="14">
        <v>6.988934187536211E-3</v>
      </c>
      <c r="H1218" s="14">
        <v>6.8769070751116164E-3</v>
      </c>
    </row>
    <row r="1219" spans="2:8" x14ac:dyDescent="0.25">
      <c r="B1219" s="29">
        <v>1211</v>
      </c>
      <c r="C1219" s="30">
        <v>0.88008720930232553</v>
      </c>
      <c r="D1219" s="28">
        <v>36994</v>
      </c>
      <c r="E1219" s="14">
        <v>1.037431924522525E-2</v>
      </c>
      <c r="F1219" s="14">
        <v>1.2990190275508962E-2</v>
      </c>
      <c r="G1219" s="14">
        <v>6.9967707212057473E-3</v>
      </c>
      <c r="H1219" s="14">
        <v>6.8971876703933796E-3</v>
      </c>
    </row>
    <row r="1220" spans="2:8" x14ac:dyDescent="0.25">
      <c r="B1220" s="29">
        <v>1212</v>
      </c>
      <c r="C1220" s="30">
        <v>0.8808139534883721</v>
      </c>
      <c r="D1220" s="28">
        <v>36997</v>
      </c>
      <c r="E1220" s="14">
        <v>1.0433912139529378E-2</v>
      </c>
      <c r="F1220" s="14">
        <v>1.3031498994712898E-2</v>
      </c>
      <c r="G1220" s="14">
        <v>7.0041881095257441E-3</v>
      </c>
      <c r="H1220" s="14">
        <v>6.9183619700572416E-3</v>
      </c>
    </row>
    <row r="1221" spans="2:8" x14ac:dyDescent="0.25">
      <c r="B1221" s="29">
        <v>1213</v>
      </c>
      <c r="C1221" s="30">
        <v>0.88154069767441856</v>
      </c>
      <c r="D1221" s="28">
        <v>36998</v>
      </c>
      <c r="E1221" s="14">
        <v>1.0442098937009314E-2</v>
      </c>
      <c r="F1221" s="14">
        <v>1.3129754460055709E-2</v>
      </c>
      <c r="G1221" s="14">
        <v>7.0046582632328214E-3</v>
      </c>
      <c r="H1221" s="14">
        <v>6.9253173321367273E-3</v>
      </c>
    </row>
    <row r="1222" spans="2:8" x14ac:dyDescent="0.25">
      <c r="B1222" s="29">
        <v>1214</v>
      </c>
      <c r="C1222" s="30">
        <v>0.88226744186046513</v>
      </c>
      <c r="D1222" s="28">
        <v>36999</v>
      </c>
      <c r="E1222" s="14">
        <v>1.0444244234182554E-2</v>
      </c>
      <c r="F1222" s="14">
        <v>1.3317122130739545E-2</v>
      </c>
      <c r="G1222" s="14">
        <v>7.0609501214482506E-3</v>
      </c>
      <c r="H1222" s="14">
        <v>6.9658218561880593E-3</v>
      </c>
    </row>
    <row r="1223" spans="2:8" x14ac:dyDescent="0.25">
      <c r="B1223" s="29">
        <v>1215</v>
      </c>
      <c r="C1223" s="30">
        <v>0.88299418604651159</v>
      </c>
      <c r="D1223" s="28">
        <v>37000</v>
      </c>
      <c r="E1223" s="14">
        <v>1.0475440202695419E-2</v>
      </c>
      <c r="F1223" s="14">
        <v>1.3398195456027828E-2</v>
      </c>
      <c r="G1223" s="14">
        <v>7.0847843525478904E-3</v>
      </c>
      <c r="H1223" s="14">
        <v>6.9676746156722936E-3</v>
      </c>
    </row>
    <row r="1224" spans="2:8" x14ac:dyDescent="0.25">
      <c r="B1224" s="29">
        <v>1216</v>
      </c>
      <c r="C1224" s="30">
        <v>0.88372093023255816</v>
      </c>
      <c r="D1224" s="28">
        <v>37001</v>
      </c>
      <c r="E1224" s="14">
        <v>1.0521356783919522E-2</v>
      </c>
      <c r="F1224" s="14">
        <v>1.3414008067473393E-2</v>
      </c>
      <c r="G1224" s="14">
        <v>7.1078071535948251E-3</v>
      </c>
      <c r="H1224" s="14">
        <v>7.0061963679290302E-3</v>
      </c>
    </row>
    <row r="1225" spans="2:8" x14ac:dyDescent="0.25">
      <c r="B1225" s="29">
        <v>1217</v>
      </c>
      <c r="C1225" s="30">
        <v>0.88444767441860461</v>
      </c>
      <c r="D1225" s="28">
        <v>37004</v>
      </c>
      <c r="E1225" s="14">
        <v>1.0533356177996556E-2</v>
      </c>
      <c r="F1225" s="14">
        <v>1.3531222381373276E-2</v>
      </c>
      <c r="G1225" s="14">
        <v>7.1318324551601364E-3</v>
      </c>
      <c r="H1225" s="14">
        <v>7.1420150327174085E-3</v>
      </c>
    </row>
    <row r="1226" spans="2:8" x14ac:dyDescent="0.25">
      <c r="B1226" s="29">
        <v>1218</v>
      </c>
      <c r="C1226" s="30">
        <v>0.88517441860465118</v>
      </c>
      <c r="D1226" s="28">
        <v>37005</v>
      </c>
      <c r="E1226" s="14">
        <v>1.0551807645736044E-2</v>
      </c>
      <c r="F1226" s="14">
        <v>1.3569685430019351E-2</v>
      </c>
      <c r="G1226" s="14">
        <v>7.1788975844022662E-3</v>
      </c>
      <c r="H1226" s="14">
        <v>7.1955597544329127E-3</v>
      </c>
    </row>
    <row r="1227" spans="2:8" x14ac:dyDescent="0.25">
      <c r="B1227" s="29">
        <v>1219</v>
      </c>
      <c r="C1227" s="30">
        <v>0.88590116279069764</v>
      </c>
      <c r="D1227" s="28">
        <v>37006</v>
      </c>
      <c r="E1227" s="14">
        <v>1.0580314203270103E-2</v>
      </c>
      <c r="F1227" s="14">
        <v>1.3581955866786233E-2</v>
      </c>
      <c r="G1227" s="14">
        <v>7.1976401179942862E-3</v>
      </c>
      <c r="H1227" s="14">
        <v>7.1957049134781844E-3</v>
      </c>
    </row>
    <row r="1228" spans="2:8" x14ac:dyDescent="0.25">
      <c r="B1228" s="29">
        <v>1220</v>
      </c>
      <c r="C1228" s="30">
        <v>0.88662790697674421</v>
      </c>
      <c r="D1228" s="28">
        <v>37007</v>
      </c>
      <c r="E1228" s="14">
        <v>1.0612860506180155E-2</v>
      </c>
      <c r="F1228" s="14">
        <v>1.358987082419616E-2</v>
      </c>
      <c r="G1228" s="14">
        <v>7.2190668294493943E-3</v>
      </c>
      <c r="H1228" s="14">
        <v>7.2034521426330052E-3</v>
      </c>
    </row>
    <row r="1229" spans="2:8" x14ac:dyDescent="0.25">
      <c r="B1229" s="29">
        <v>1221</v>
      </c>
      <c r="C1229" s="30">
        <v>0.88735465116279066</v>
      </c>
      <c r="D1229" s="28">
        <v>37008</v>
      </c>
      <c r="E1229" s="14">
        <v>1.0650135113654313E-2</v>
      </c>
      <c r="F1229" s="14">
        <v>1.360601201445566E-2</v>
      </c>
      <c r="G1229" s="14">
        <v>7.303807705642873E-3</v>
      </c>
      <c r="H1229" s="14">
        <v>7.2051140981886251E-3</v>
      </c>
    </row>
    <row r="1230" spans="2:8" x14ac:dyDescent="0.25">
      <c r="B1230" s="29">
        <v>1222</v>
      </c>
      <c r="C1230" s="30">
        <v>0.88808139534883723</v>
      </c>
      <c r="D1230" s="28">
        <v>37011</v>
      </c>
      <c r="E1230" s="14">
        <v>1.0653478507340219E-2</v>
      </c>
      <c r="F1230" s="14">
        <v>1.3627090983272305E-2</v>
      </c>
      <c r="G1230" s="14">
        <v>7.3234877012011701E-3</v>
      </c>
      <c r="H1230" s="14">
        <v>7.2365415210253756E-3</v>
      </c>
    </row>
    <row r="1231" spans="2:8" x14ac:dyDescent="0.25">
      <c r="B1231" s="29">
        <v>1223</v>
      </c>
      <c r="C1231" s="30">
        <v>0.88880813953488369</v>
      </c>
      <c r="D1231" s="28">
        <v>37012</v>
      </c>
      <c r="E1231" s="14">
        <v>1.0672970300608542E-2</v>
      </c>
      <c r="F1231" s="14">
        <v>1.3721747309596743E-2</v>
      </c>
      <c r="G1231" s="14">
        <v>7.3334595003786696E-3</v>
      </c>
      <c r="H1231" s="14">
        <v>7.2488091664168145E-3</v>
      </c>
    </row>
    <row r="1232" spans="2:8" x14ac:dyDescent="0.25">
      <c r="B1232" s="29">
        <v>1224</v>
      </c>
      <c r="C1232" s="30">
        <v>0.88953488372093026</v>
      </c>
      <c r="D1232" s="28">
        <v>37013</v>
      </c>
      <c r="E1232" s="14">
        <v>1.068158697863697E-2</v>
      </c>
      <c r="F1232" s="14">
        <v>1.3737155219037289E-2</v>
      </c>
      <c r="G1232" s="14">
        <v>7.356418475119364E-3</v>
      </c>
      <c r="H1232" s="14">
        <v>7.284410597522095E-3</v>
      </c>
    </row>
    <row r="1233" spans="2:8" x14ac:dyDescent="0.25">
      <c r="B1233" s="29">
        <v>1225</v>
      </c>
      <c r="C1233" s="30">
        <v>0.89026162790697672</v>
      </c>
      <c r="D1233" s="28">
        <v>37014</v>
      </c>
      <c r="E1233" s="14">
        <v>1.0703363914372988E-2</v>
      </c>
      <c r="F1233" s="14">
        <v>1.3745594701930264E-2</v>
      </c>
      <c r="G1233" s="14">
        <v>7.3664825046038107E-3</v>
      </c>
      <c r="H1233" s="14">
        <v>7.2964206726585214E-3</v>
      </c>
    </row>
    <row r="1234" spans="2:8" x14ac:dyDescent="0.25">
      <c r="B1234" s="29">
        <v>1226</v>
      </c>
      <c r="C1234" s="30">
        <v>0.89098837209302328</v>
      </c>
      <c r="D1234" s="28">
        <v>37015</v>
      </c>
      <c r="E1234" s="14">
        <v>1.0779029887310054E-2</v>
      </c>
      <c r="F1234" s="14">
        <v>1.3800935605661868E-2</v>
      </c>
      <c r="G1234" s="14">
        <v>7.3927251299084062E-3</v>
      </c>
      <c r="H1234" s="14">
        <v>7.3002311328849608E-3</v>
      </c>
    </row>
    <row r="1235" spans="2:8" x14ac:dyDescent="0.25">
      <c r="B1235" s="29">
        <v>1227</v>
      </c>
      <c r="C1235" s="30">
        <v>0.89171511627906974</v>
      </c>
      <c r="D1235" s="28">
        <v>37018</v>
      </c>
      <c r="E1235" s="14">
        <v>1.0801837224553745E-2</v>
      </c>
      <c r="F1235" s="14">
        <v>1.3837645063316861E-2</v>
      </c>
      <c r="G1235" s="14">
        <v>7.4659132316061694E-3</v>
      </c>
      <c r="H1235" s="14">
        <v>7.3099342165522828E-3</v>
      </c>
    </row>
    <row r="1236" spans="2:8" x14ac:dyDescent="0.25">
      <c r="B1236" s="29">
        <v>1228</v>
      </c>
      <c r="C1236" s="30">
        <v>0.89244186046511631</v>
      </c>
      <c r="D1236" s="28">
        <v>37019</v>
      </c>
      <c r="E1236" s="14">
        <v>1.0843885442338941E-2</v>
      </c>
      <c r="F1236" s="14">
        <v>1.3949181870617E-2</v>
      </c>
      <c r="G1236" s="14">
        <v>7.4794700483431509E-3</v>
      </c>
      <c r="H1236" s="14">
        <v>7.3169501154142225E-3</v>
      </c>
    </row>
    <row r="1237" spans="2:8" x14ac:dyDescent="0.25">
      <c r="B1237" s="29">
        <v>1229</v>
      </c>
      <c r="C1237" s="30">
        <v>0.89316860465116277</v>
      </c>
      <c r="D1237" s="28">
        <v>37020</v>
      </c>
      <c r="E1237" s="14">
        <v>1.0869466382576576E-2</v>
      </c>
      <c r="F1237" s="14">
        <v>1.3957898729376028E-2</v>
      </c>
      <c r="G1237" s="14">
        <v>7.5163219399791981E-3</v>
      </c>
      <c r="H1237" s="14">
        <v>7.3236286253291379E-3</v>
      </c>
    </row>
    <row r="1238" spans="2:8" x14ac:dyDescent="0.25">
      <c r="B1238" s="29">
        <v>1230</v>
      </c>
      <c r="C1238" s="30">
        <v>0.89389534883720934</v>
      </c>
      <c r="D1238" s="28">
        <v>37021</v>
      </c>
      <c r="E1238" s="14">
        <v>1.0941453625338049E-2</v>
      </c>
      <c r="F1238" s="14">
        <v>1.3990911122699901E-2</v>
      </c>
      <c r="G1238" s="14">
        <v>7.6146157332324105E-3</v>
      </c>
      <c r="H1238" s="14">
        <v>7.3892797480775933E-3</v>
      </c>
    </row>
    <row r="1239" spans="2:8" x14ac:dyDescent="0.25">
      <c r="B1239" s="29">
        <v>1231</v>
      </c>
      <c r="C1239" s="30">
        <v>0.89462209302325579</v>
      </c>
      <c r="D1239" s="28">
        <v>37022</v>
      </c>
      <c r="E1239" s="14">
        <v>1.0983293521581894E-2</v>
      </c>
      <c r="F1239" s="14">
        <v>1.4054113009403402E-2</v>
      </c>
      <c r="G1239" s="14">
        <v>7.6168224299064669E-3</v>
      </c>
      <c r="H1239" s="14">
        <v>7.4620197600458573E-3</v>
      </c>
    </row>
    <row r="1240" spans="2:8" x14ac:dyDescent="0.25">
      <c r="B1240" s="29">
        <v>1232</v>
      </c>
      <c r="C1240" s="30">
        <v>0.89534883720930236</v>
      </c>
      <c r="D1240" s="28">
        <v>37025</v>
      </c>
      <c r="E1240" s="14">
        <v>1.0985178605143364E-2</v>
      </c>
      <c r="F1240" s="14">
        <v>1.425658103986982E-2</v>
      </c>
      <c r="G1240" s="14">
        <v>7.646656014608455E-3</v>
      </c>
      <c r="H1240" s="14">
        <v>7.4714006325893763E-3</v>
      </c>
    </row>
    <row r="1241" spans="2:8" x14ac:dyDescent="0.25">
      <c r="B1241" s="29">
        <v>1233</v>
      </c>
      <c r="C1241" s="30">
        <v>0.89607558139534882</v>
      </c>
      <c r="D1241" s="28">
        <v>37026</v>
      </c>
      <c r="E1241" s="14">
        <v>1.1044060191094829E-2</v>
      </c>
      <c r="F1241" s="14">
        <v>1.4258376381314664E-2</v>
      </c>
      <c r="G1241" s="14">
        <v>7.6534517771713606E-3</v>
      </c>
      <c r="H1241" s="14">
        <v>7.4728824634809682E-3</v>
      </c>
    </row>
    <row r="1242" spans="2:8" x14ac:dyDescent="0.25">
      <c r="B1242" s="29">
        <v>1234</v>
      </c>
      <c r="C1242" s="30">
        <v>0.89680232558139539</v>
      </c>
      <c r="D1242" s="28">
        <v>37027</v>
      </c>
      <c r="E1242" s="14">
        <v>1.1142308785897059E-2</v>
      </c>
      <c r="F1242" s="14">
        <v>1.4311994113318516E-2</v>
      </c>
      <c r="G1242" s="14">
        <v>7.7192598270010571E-3</v>
      </c>
      <c r="H1242" s="14">
        <v>7.4952127438041149E-3</v>
      </c>
    </row>
    <row r="1243" spans="2:8" x14ac:dyDescent="0.25">
      <c r="B1243" s="29">
        <v>1235</v>
      </c>
      <c r="C1243" s="30">
        <v>0.89752906976744184</v>
      </c>
      <c r="D1243" s="28">
        <v>37028</v>
      </c>
      <c r="E1243" s="14">
        <v>1.1144704255250604E-2</v>
      </c>
      <c r="F1243" s="14">
        <v>1.4405891945011406E-2</v>
      </c>
      <c r="G1243" s="14">
        <v>7.7305356156818217E-3</v>
      </c>
      <c r="H1243" s="14">
        <v>7.5268163647312925E-3</v>
      </c>
    </row>
    <row r="1244" spans="2:8" x14ac:dyDescent="0.25">
      <c r="B1244" s="29">
        <v>1236</v>
      </c>
      <c r="C1244" s="30">
        <v>0.89825581395348841</v>
      </c>
      <c r="D1244" s="28">
        <v>37029</v>
      </c>
      <c r="E1244" s="14">
        <v>1.1361737677527017E-2</v>
      </c>
      <c r="F1244" s="14">
        <v>1.4431893482917513E-2</v>
      </c>
      <c r="G1244" s="14">
        <v>7.7330747321744386E-3</v>
      </c>
      <c r="H1244" s="14">
        <v>7.5366251058004881E-3</v>
      </c>
    </row>
    <row r="1245" spans="2:8" x14ac:dyDescent="0.25">
      <c r="B1245" s="29">
        <v>1237</v>
      </c>
      <c r="C1245" s="30">
        <v>0.89898255813953487</v>
      </c>
      <c r="D1245" s="28">
        <v>37032</v>
      </c>
      <c r="E1245" s="14">
        <v>1.137343544833791E-2</v>
      </c>
      <c r="F1245" s="14">
        <v>1.444040429928406E-2</v>
      </c>
      <c r="G1245" s="14">
        <v>7.7336348241332509E-3</v>
      </c>
      <c r="H1245" s="14">
        <v>7.5418263256164632E-3</v>
      </c>
    </row>
    <row r="1246" spans="2:8" x14ac:dyDescent="0.25">
      <c r="B1246" s="29">
        <v>1238</v>
      </c>
      <c r="C1246" s="30">
        <v>0.89970930232558144</v>
      </c>
      <c r="D1246" s="28">
        <v>37033</v>
      </c>
      <c r="E1246" s="14">
        <v>1.1442240327233177E-2</v>
      </c>
      <c r="F1246" s="14">
        <v>1.4518118176212402E-2</v>
      </c>
      <c r="G1246" s="14">
        <v>7.7367917564421518E-3</v>
      </c>
      <c r="H1246" s="14">
        <v>7.5535850548829504E-3</v>
      </c>
    </row>
    <row r="1247" spans="2:8" x14ac:dyDescent="0.25">
      <c r="B1247" s="29">
        <v>1239</v>
      </c>
      <c r="C1247" s="30">
        <v>0.9004360465116279</v>
      </c>
      <c r="D1247" s="28">
        <v>37034</v>
      </c>
      <c r="E1247" s="14">
        <v>1.1517899516279906E-2</v>
      </c>
      <c r="F1247" s="14">
        <v>1.4567324255905678E-2</v>
      </c>
      <c r="G1247" s="14">
        <v>7.7596006523996675E-3</v>
      </c>
      <c r="H1247" s="14">
        <v>7.5553765732576219E-3</v>
      </c>
    </row>
    <row r="1248" spans="2:8" x14ac:dyDescent="0.25">
      <c r="B1248" s="29">
        <v>1240</v>
      </c>
      <c r="C1248" s="30">
        <v>0.90116279069767447</v>
      </c>
      <c r="D1248" s="28">
        <v>37035</v>
      </c>
      <c r="E1248" s="14">
        <v>1.1572823602742366E-2</v>
      </c>
      <c r="F1248" s="14">
        <v>1.4589856682715618E-2</v>
      </c>
      <c r="G1248" s="14">
        <v>7.7837472995663237E-3</v>
      </c>
      <c r="H1248" s="14">
        <v>7.5863931971298822E-3</v>
      </c>
    </row>
    <row r="1249" spans="2:8" x14ac:dyDescent="0.25">
      <c r="B1249" s="29">
        <v>1241</v>
      </c>
      <c r="C1249" s="30">
        <v>0.90188953488372092</v>
      </c>
      <c r="D1249" s="28">
        <v>37036</v>
      </c>
      <c r="E1249" s="14">
        <v>1.1636916447294476E-2</v>
      </c>
      <c r="F1249" s="14">
        <v>1.463298512896638E-2</v>
      </c>
      <c r="G1249" s="14">
        <v>7.840807840807873E-3</v>
      </c>
      <c r="H1249" s="14">
        <v>7.6357811821907706E-3</v>
      </c>
    </row>
    <row r="1250" spans="2:8" x14ac:dyDescent="0.25">
      <c r="B1250" s="29">
        <v>1242</v>
      </c>
      <c r="C1250" s="30">
        <v>0.90261627906976749</v>
      </c>
      <c r="D1250" s="28">
        <v>37039</v>
      </c>
      <c r="E1250" s="14">
        <v>1.1647349420482733E-2</v>
      </c>
      <c r="F1250" s="14">
        <v>1.4667522499760999E-2</v>
      </c>
      <c r="G1250" s="14">
        <v>7.8774903634521998E-3</v>
      </c>
      <c r="H1250" s="14">
        <v>7.6567673010376602E-3</v>
      </c>
    </row>
    <row r="1251" spans="2:8" x14ac:dyDescent="0.25">
      <c r="B1251" s="29">
        <v>1243</v>
      </c>
      <c r="C1251" s="30">
        <v>0.90334302325581395</v>
      </c>
      <c r="D1251" s="28">
        <v>37040</v>
      </c>
      <c r="E1251" s="14">
        <v>1.1774563925188053E-2</v>
      </c>
      <c r="F1251" s="14">
        <v>1.4678302428990708E-2</v>
      </c>
      <c r="G1251" s="14">
        <v>7.8812097109093315E-3</v>
      </c>
      <c r="H1251" s="14">
        <v>7.6998752877547091E-3</v>
      </c>
    </row>
    <row r="1252" spans="2:8" x14ac:dyDescent="0.25">
      <c r="B1252" s="29">
        <v>1244</v>
      </c>
      <c r="C1252" s="30">
        <v>0.90406976744186052</v>
      </c>
      <c r="D1252" s="28">
        <v>37041</v>
      </c>
      <c r="E1252" s="14">
        <v>1.1862613437512826E-2</v>
      </c>
      <c r="F1252" s="14">
        <v>1.4729342663427625E-2</v>
      </c>
      <c r="G1252" s="14">
        <v>7.8874061656664107E-3</v>
      </c>
      <c r="H1252" s="14">
        <v>7.7002589847966268E-3</v>
      </c>
    </row>
    <row r="1253" spans="2:8" x14ac:dyDescent="0.25">
      <c r="B1253" s="29">
        <v>1245</v>
      </c>
      <c r="C1253" s="30">
        <v>0.90479651162790697</v>
      </c>
      <c r="D1253" s="28">
        <v>37042</v>
      </c>
      <c r="E1253" s="14">
        <v>1.1898805259229928E-2</v>
      </c>
      <c r="F1253" s="14">
        <v>1.477686794939026E-2</v>
      </c>
      <c r="G1253" s="14">
        <v>7.9178886587525366E-3</v>
      </c>
      <c r="H1253" s="14">
        <v>7.7538773250160906E-3</v>
      </c>
    </row>
    <row r="1254" spans="2:8" x14ac:dyDescent="0.25">
      <c r="B1254" s="29">
        <v>1246</v>
      </c>
      <c r="C1254" s="30">
        <v>0.90552325581395354</v>
      </c>
      <c r="D1254" s="28">
        <v>37043</v>
      </c>
      <c r="E1254" s="14">
        <v>1.1965424829200044E-2</v>
      </c>
      <c r="F1254" s="14">
        <v>1.4816600729870899E-2</v>
      </c>
      <c r="G1254" s="14">
        <v>7.9649685893923294E-3</v>
      </c>
      <c r="H1254" s="14">
        <v>7.8084580788052357E-3</v>
      </c>
    </row>
    <row r="1255" spans="2:8" x14ac:dyDescent="0.25">
      <c r="B1255" s="29">
        <v>1247</v>
      </c>
      <c r="C1255" s="30">
        <v>0.90625</v>
      </c>
      <c r="D1255" s="28">
        <v>37046</v>
      </c>
      <c r="E1255" s="14">
        <v>1.2106980627297093E-2</v>
      </c>
      <c r="F1255" s="14">
        <v>1.4854373652733344E-2</v>
      </c>
      <c r="G1255" s="14">
        <v>8.0043492860555343E-3</v>
      </c>
      <c r="H1255" s="14">
        <v>7.8705636687218528E-3</v>
      </c>
    </row>
    <row r="1256" spans="2:8" x14ac:dyDescent="0.25">
      <c r="B1256" s="29">
        <v>1248</v>
      </c>
      <c r="C1256" s="30">
        <v>0.90697674418604646</v>
      </c>
      <c r="D1256" s="28">
        <v>37047</v>
      </c>
      <c r="E1256" s="14">
        <v>1.2115423925079138E-2</v>
      </c>
      <c r="F1256" s="14">
        <v>1.4948899171200569E-2</v>
      </c>
      <c r="G1256" s="14">
        <v>8.0381209087410088E-3</v>
      </c>
      <c r="H1256" s="14">
        <v>7.9088961307474115E-3</v>
      </c>
    </row>
    <row r="1257" spans="2:8" x14ac:dyDescent="0.25">
      <c r="B1257" s="29">
        <v>1249</v>
      </c>
      <c r="C1257" s="30">
        <v>0.90770348837209303</v>
      </c>
      <c r="D1257" s="28">
        <v>37048</v>
      </c>
      <c r="E1257" s="14">
        <v>1.2166893042297344E-2</v>
      </c>
      <c r="F1257" s="14">
        <v>1.4952307295694744E-2</v>
      </c>
      <c r="G1257" s="14">
        <v>8.047026595137341E-3</v>
      </c>
      <c r="H1257" s="14">
        <v>7.9322011100660048E-3</v>
      </c>
    </row>
    <row r="1258" spans="2:8" x14ac:dyDescent="0.25">
      <c r="B1258" s="29">
        <v>1250</v>
      </c>
      <c r="C1258" s="30">
        <v>0.90843023255813948</v>
      </c>
      <c r="D1258" s="28">
        <v>37049</v>
      </c>
      <c r="E1258" s="14">
        <v>1.2181069958847823E-2</v>
      </c>
      <c r="F1258" s="14">
        <v>1.5009882383436368E-2</v>
      </c>
      <c r="G1258" s="14">
        <v>8.0528921240978768E-3</v>
      </c>
      <c r="H1258" s="14">
        <v>7.9357211233250791E-3</v>
      </c>
    </row>
    <row r="1259" spans="2:8" x14ac:dyDescent="0.25">
      <c r="B1259" s="29">
        <v>1251</v>
      </c>
      <c r="C1259" s="30">
        <v>0.90915697674418605</v>
      </c>
      <c r="D1259" s="28">
        <v>37050</v>
      </c>
      <c r="E1259" s="14">
        <v>1.2186299275251056E-2</v>
      </c>
      <c r="F1259" s="14">
        <v>1.5097457467983633E-2</v>
      </c>
      <c r="G1259" s="14">
        <v>8.0688209756307749E-3</v>
      </c>
      <c r="H1259" s="14">
        <v>7.9368305265867349E-3</v>
      </c>
    </row>
    <row r="1260" spans="2:8" x14ac:dyDescent="0.25">
      <c r="B1260" s="29">
        <v>1252</v>
      </c>
      <c r="C1260" s="30">
        <v>0.90988372093023251</v>
      </c>
      <c r="D1260" s="28">
        <v>37053</v>
      </c>
      <c r="E1260" s="14">
        <v>1.2327282855803423E-2</v>
      </c>
      <c r="F1260" s="14">
        <v>1.5104340889792178E-2</v>
      </c>
      <c r="G1260" s="14">
        <v>8.100337937348101E-3</v>
      </c>
      <c r="H1260" s="14">
        <v>7.9666067405867579E-3</v>
      </c>
    </row>
    <row r="1261" spans="2:8" x14ac:dyDescent="0.25">
      <c r="B1261" s="29">
        <v>1253</v>
      </c>
      <c r="C1261" s="30">
        <v>0.91061046511627908</v>
      </c>
      <c r="D1261" s="28">
        <v>37054</v>
      </c>
      <c r="E1261" s="14">
        <v>1.2654339947171245E-2</v>
      </c>
      <c r="F1261" s="14">
        <v>1.5106796116504784E-2</v>
      </c>
      <c r="G1261" s="14">
        <v>8.1341788329405418E-3</v>
      </c>
      <c r="H1261" s="14">
        <v>8.0418872554749669E-3</v>
      </c>
    </row>
    <row r="1262" spans="2:8" x14ac:dyDescent="0.25">
      <c r="B1262" s="29">
        <v>1254</v>
      </c>
      <c r="C1262" s="30">
        <v>0.91133720930232553</v>
      </c>
      <c r="D1262" s="28">
        <v>37055</v>
      </c>
      <c r="E1262" s="14">
        <v>1.2738644922552833E-2</v>
      </c>
      <c r="F1262" s="14">
        <v>1.5219685607954059E-2</v>
      </c>
      <c r="G1262" s="14">
        <v>8.1515499425945936E-3</v>
      </c>
      <c r="H1262" s="14">
        <v>8.0685953251300457E-3</v>
      </c>
    </row>
    <row r="1263" spans="2:8" x14ac:dyDescent="0.25">
      <c r="B1263" s="29">
        <v>1255</v>
      </c>
      <c r="C1263" s="30">
        <v>0.9120639534883721</v>
      </c>
      <c r="D1263" s="28">
        <v>37056</v>
      </c>
      <c r="E1263" s="14">
        <v>1.2750943941238324E-2</v>
      </c>
      <c r="F1263" s="14">
        <v>1.5234122741083489E-2</v>
      </c>
      <c r="G1263" s="14">
        <v>8.1632653061225469E-3</v>
      </c>
      <c r="H1263" s="14">
        <v>8.0828178369066091E-3</v>
      </c>
    </row>
    <row r="1264" spans="2:8" x14ac:dyDescent="0.25">
      <c r="B1264" s="29">
        <v>1256</v>
      </c>
      <c r="C1264" s="30">
        <v>0.91279069767441856</v>
      </c>
      <c r="D1264" s="28">
        <v>37057</v>
      </c>
      <c r="E1264" s="14">
        <v>1.2782073536373728E-2</v>
      </c>
      <c r="F1264" s="14">
        <v>1.5260834643398891E-2</v>
      </c>
      <c r="G1264" s="14">
        <v>8.205113430083566E-3</v>
      </c>
      <c r="H1264" s="14">
        <v>8.0908076277535837E-3</v>
      </c>
    </row>
    <row r="1265" spans="2:8" x14ac:dyDescent="0.25">
      <c r="B1265" s="29">
        <v>1257</v>
      </c>
      <c r="C1265" s="30">
        <v>0.91351744186046513</v>
      </c>
      <c r="D1265" s="28">
        <v>37060</v>
      </c>
      <c r="E1265" s="14">
        <v>1.2919463087248229E-2</v>
      </c>
      <c r="F1265" s="14">
        <v>1.526325198891576E-2</v>
      </c>
      <c r="G1265" s="14">
        <v>8.2439188768270721E-3</v>
      </c>
      <c r="H1265" s="14">
        <v>8.1446243883029016E-3</v>
      </c>
    </row>
    <row r="1266" spans="2:8" x14ac:dyDescent="0.25">
      <c r="B1266" s="29">
        <v>1258</v>
      </c>
      <c r="C1266" s="30">
        <v>0.91424418604651159</v>
      </c>
      <c r="D1266" s="28">
        <v>37061</v>
      </c>
      <c r="E1266" s="14">
        <v>1.2925450266176419E-2</v>
      </c>
      <c r="F1266" s="14">
        <v>1.5297703946080432E-2</v>
      </c>
      <c r="G1266" s="14">
        <v>8.2520211876218053E-3</v>
      </c>
      <c r="H1266" s="14">
        <v>8.1799785144251562E-3</v>
      </c>
    </row>
    <row r="1267" spans="2:8" x14ac:dyDescent="0.25">
      <c r="B1267" s="29">
        <v>1259</v>
      </c>
      <c r="C1267" s="30">
        <v>0.91497093023255816</v>
      </c>
      <c r="D1267" s="28">
        <v>37062</v>
      </c>
      <c r="E1267" s="14">
        <v>1.2982082136862694E-2</v>
      </c>
      <c r="F1267" s="14">
        <v>1.5427221633949717E-2</v>
      </c>
      <c r="G1267" s="14">
        <v>8.3109033385275755E-3</v>
      </c>
      <c r="H1267" s="14">
        <v>8.1869155781749258E-3</v>
      </c>
    </row>
    <row r="1268" spans="2:8" x14ac:dyDescent="0.25">
      <c r="B1268" s="29">
        <v>1260</v>
      </c>
      <c r="C1268" s="30">
        <v>0.91569767441860461</v>
      </c>
      <c r="D1268" s="28">
        <v>37063</v>
      </c>
      <c r="E1268" s="14">
        <v>1.3211129092493445E-2</v>
      </c>
      <c r="F1268" s="14">
        <v>1.5465173765605966E-2</v>
      </c>
      <c r="G1268" s="14">
        <v>8.3434727023150579E-3</v>
      </c>
      <c r="H1268" s="14">
        <v>8.2146718475965223E-3</v>
      </c>
    </row>
    <row r="1269" spans="2:8" x14ac:dyDescent="0.25">
      <c r="B1269" s="29">
        <v>1261</v>
      </c>
      <c r="C1269" s="30">
        <v>0.91642441860465118</v>
      </c>
      <c r="D1269" s="28">
        <v>37064</v>
      </c>
      <c r="E1269" s="14">
        <v>1.3266239707227845E-2</v>
      </c>
      <c r="F1269" s="14">
        <v>1.552575864502459E-2</v>
      </c>
      <c r="G1269" s="14">
        <v>8.3492099069821801E-3</v>
      </c>
      <c r="H1269" s="14">
        <v>8.2200329289744637E-3</v>
      </c>
    </row>
    <row r="1270" spans="2:8" x14ac:dyDescent="0.25">
      <c r="B1270" s="29">
        <v>1262</v>
      </c>
      <c r="C1270" s="30">
        <v>0.91715116279069764</v>
      </c>
      <c r="D1270" s="28">
        <v>37067</v>
      </c>
      <c r="E1270" s="14">
        <v>1.3348447966065935E-2</v>
      </c>
      <c r="F1270" s="14">
        <v>1.5616285554935772E-2</v>
      </c>
      <c r="G1270" s="14">
        <v>8.3825952127145609E-3</v>
      </c>
      <c r="H1270" s="14">
        <v>8.3174429504221607E-3</v>
      </c>
    </row>
    <row r="1271" spans="2:8" x14ac:dyDescent="0.25">
      <c r="B1271" s="29">
        <v>1263</v>
      </c>
      <c r="C1271" s="30">
        <v>0.91787790697674421</v>
      </c>
      <c r="D1271" s="28">
        <v>37068</v>
      </c>
      <c r="E1271" s="14">
        <v>1.3440916407115644E-2</v>
      </c>
      <c r="F1271" s="14">
        <v>1.563998794113064E-2</v>
      </c>
      <c r="G1271" s="14">
        <v>8.4103358601228528E-3</v>
      </c>
      <c r="H1271" s="14">
        <v>8.3325572937226425E-3</v>
      </c>
    </row>
    <row r="1272" spans="2:8" x14ac:dyDescent="0.25">
      <c r="B1272" s="29">
        <v>1264</v>
      </c>
      <c r="C1272" s="30">
        <v>0.91860465116279066</v>
      </c>
      <c r="D1272" s="28">
        <v>37069</v>
      </c>
      <c r="E1272" s="14">
        <v>1.3506178581057737E-2</v>
      </c>
      <c r="F1272" s="14">
        <v>1.573125161863187E-2</v>
      </c>
      <c r="G1272" s="14">
        <v>8.4302912212919079E-3</v>
      </c>
      <c r="H1272" s="14">
        <v>8.3760268667693039E-3</v>
      </c>
    </row>
    <row r="1273" spans="2:8" x14ac:dyDescent="0.25">
      <c r="B1273" s="29">
        <v>1265</v>
      </c>
      <c r="C1273" s="30">
        <v>0.91933139534883723</v>
      </c>
      <c r="D1273" s="28">
        <v>37070</v>
      </c>
      <c r="E1273" s="14">
        <v>1.3548276453438479E-2</v>
      </c>
      <c r="F1273" s="14">
        <v>1.5765945912318502E-2</v>
      </c>
      <c r="G1273" s="14">
        <v>8.5194908118282342E-3</v>
      </c>
      <c r="H1273" s="14">
        <v>8.3897267617763401E-3</v>
      </c>
    </row>
    <row r="1274" spans="2:8" x14ac:dyDescent="0.25">
      <c r="B1274" s="29">
        <v>1266</v>
      </c>
      <c r="C1274" s="30">
        <v>0.92005813953488369</v>
      </c>
      <c r="D1274" s="28">
        <v>37071</v>
      </c>
      <c r="E1274" s="14">
        <v>1.3557745314222602E-2</v>
      </c>
      <c r="F1274" s="14">
        <v>1.5851759576455793E-2</v>
      </c>
      <c r="G1274" s="14">
        <v>8.6233289111135036E-3</v>
      </c>
      <c r="H1274" s="14">
        <v>8.4040433594630773E-3</v>
      </c>
    </row>
    <row r="1275" spans="2:8" x14ac:dyDescent="0.25">
      <c r="B1275" s="29">
        <v>1267</v>
      </c>
      <c r="C1275" s="30">
        <v>0.92078488372093026</v>
      </c>
      <c r="D1275" s="28">
        <v>37074</v>
      </c>
      <c r="E1275" s="14">
        <v>1.3590921936046607E-2</v>
      </c>
      <c r="F1275" s="14">
        <v>1.5940866660603348E-2</v>
      </c>
      <c r="G1275" s="14">
        <v>8.6523191501013397E-3</v>
      </c>
      <c r="H1275" s="14">
        <v>8.4867587912059502E-3</v>
      </c>
    </row>
    <row r="1276" spans="2:8" x14ac:dyDescent="0.25">
      <c r="B1276" s="29">
        <v>1268</v>
      </c>
      <c r="C1276" s="30">
        <v>0.92151162790697672</v>
      </c>
      <c r="D1276" s="28">
        <v>37075</v>
      </c>
      <c r="E1276" s="14">
        <v>1.3596491228070162E-2</v>
      </c>
      <c r="F1276" s="14">
        <v>1.5943374876112859E-2</v>
      </c>
      <c r="G1276" s="14">
        <v>8.6556667568298273E-3</v>
      </c>
      <c r="H1276" s="14">
        <v>8.5627335130863194E-3</v>
      </c>
    </row>
    <row r="1277" spans="2:8" x14ac:dyDescent="0.25">
      <c r="B1277" s="29">
        <v>1269</v>
      </c>
      <c r="C1277" s="30">
        <v>0.92223837209302328</v>
      </c>
      <c r="D1277" s="28">
        <v>37076</v>
      </c>
      <c r="E1277" s="14">
        <v>1.3672251396614987E-2</v>
      </c>
      <c r="F1277" s="14">
        <v>1.5996412019733786E-2</v>
      </c>
      <c r="G1277" s="14">
        <v>8.690254500310246E-3</v>
      </c>
      <c r="H1277" s="14">
        <v>8.6172073663823411E-3</v>
      </c>
    </row>
    <row r="1278" spans="2:8" x14ac:dyDescent="0.25">
      <c r="B1278" s="29">
        <v>1270</v>
      </c>
      <c r="C1278" s="30">
        <v>0.92296511627906974</v>
      </c>
      <c r="D1278" s="28">
        <v>37077</v>
      </c>
      <c r="E1278" s="14">
        <v>1.3703259591350658E-2</v>
      </c>
      <c r="F1278" s="14">
        <v>1.599775251086677E-2</v>
      </c>
      <c r="G1278" s="14">
        <v>8.7156555709742012E-3</v>
      </c>
      <c r="H1278" s="14">
        <v>8.6226664258531194E-3</v>
      </c>
    </row>
    <row r="1279" spans="2:8" x14ac:dyDescent="0.25">
      <c r="B1279" s="29">
        <v>1271</v>
      </c>
      <c r="C1279" s="30">
        <v>0.92369186046511631</v>
      </c>
      <c r="D1279" s="28">
        <v>37078</v>
      </c>
      <c r="E1279" s="14">
        <v>1.3711325006845243E-2</v>
      </c>
      <c r="F1279" s="14">
        <v>1.6079887338368959E-2</v>
      </c>
      <c r="G1279" s="14">
        <v>8.772959378299916E-3</v>
      </c>
      <c r="H1279" s="14">
        <v>8.6236272151523075E-3</v>
      </c>
    </row>
    <row r="1280" spans="2:8" x14ac:dyDescent="0.25">
      <c r="B1280" s="29">
        <v>1272</v>
      </c>
      <c r="C1280" s="30">
        <v>0.92441860465116277</v>
      </c>
      <c r="D1280" s="28">
        <v>37081</v>
      </c>
      <c r="E1280" s="14">
        <v>1.393584401289405E-2</v>
      </c>
      <c r="F1280" s="14">
        <v>1.6153750890120389E-2</v>
      </c>
      <c r="G1280" s="14">
        <v>8.9459919074807992E-3</v>
      </c>
      <c r="H1280" s="14">
        <v>8.7331322341588375E-3</v>
      </c>
    </row>
    <row r="1281" spans="2:8" x14ac:dyDescent="0.25">
      <c r="B1281" s="29">
        <v>1273</v>
      </c>
      <c r="C1281" s="30">
        <v>0.92514534883720934</v>
      </c>
      <c r="D1281" s="28">
        <v>37082</v>
      </c>
      <c r="E1281" s="14">
        <v>1.3969677715963025E-2</v>
      </c>
      <c r="F1281" s="14">
        <v>1.6176511299565322E-2</v>
      </c>
      <c r="G1281" s="14">
        <v>8.9930054402131976E-3</v>
      </c>
      <c r="H1281" s="14">
        <v>8.7449133474423405E-3</v>
      </c>
    </row>
    <row r="1282" spans="2:8" x14ac:dyDescent="0.25">
      <c r="B1282" s="29">
        <v>1274</v>
      </c>
      <c r="C1282" s="30">
        <v>0.92587209302325579</v>
      </c>
      <c r="D1282" s="28">
        <v>37083</v>
      </c>
      <c r="E1282" s="14">
        <v>1.4034630341741128E-2</v>
      </c>
      <c r="F1282" s="14">
        <v>1.6237897648686106E-2</v>
      </c>
      <c r="G1282" s="14">
        <v>9.0141642047771864E-3</v>
      </c>
      <c r="H1282" s="14">
        <v>8.813983295606476E-3</v>
      </c>
    </row>
    <row r="1283" spans="2:8" x14ac:dyDescent="0.25">
      <c r="B1283" s="29">
        <v>1275</v>
      </c>
      <c r="C1283" s="30">
        <v>0.92659883720930236</v>
      </c>
      <c r="D1283" s="28">
        <v>37084</v>
      </c>
      <c r="E1283" s="14">
        <v>1.4061300529873311E-2</v>
      </c>
      <c r="F1283" s="14">
        <v>1.643366214174935E-2</v>
      </c>
      <c r="G1283" s="14">
        <v>9.0638577928359165E-3</v>
      </c>
      <c r="H1283" s="14">
        <v>8.8631516711330949E-3</v>
      </c>
    </row>
    <row r="1284" spans="2:8" x14ac:dyDescent="0.25">
      <c r="B1284" s="29">
        <v>1276</v>
      </c>
      <c r="C1284" s="30">
        <v>0.92732558139534882</v>
      </c>
      <c r="D1284" s="28">
        <v>37085</v>
      </c>
      <c r="E1284" s="14">
        <v>1.4099122790081076E-2</v>
      </c>
      <c r="F1284" s="14">
        <v>1.6496615533071246E-2</v>
      </c>
      <c r="G1284" s="14">
        <v>9.0744396651689652E-3</v>
      </c>
      <c r="H1284" s="14">
        <v>9.0267070046110131E-3</v>
      </c>
    </row>
    <row r="1285" spans="2:8" x14ac:dyDescent="0.25">
      <c r="B1285" s="29">
        <v>1277</v>
      </c>
      <c r="C1285" s="30">
        <v>0.92805232558139539</v>
      </c>
      <c r="D1285" s="28">
        <v>37088</v>
      </c>
      <c r="E1285" s="14">
        <v>1.4103545697749409E-2</v>
      </c>
      <c r="F1285" s="14">
        <v>1.666463819946995E-2</v>
      </c>
      <c r="G1285" s="14">
        <v>9.1100845997482693E-3</v>
      </c>
      <c r="H1285" s="14">
        <v>9.1672464480170301E-3</v>
      </c>
    </row>
    <row r="1286" spans="2:8" x14ac:dyDescent="0.25">
      <c r="B1286" s="29">
        <v>1278</v>
      </c>
      <c r="C1286" s="30">
        <v>0.92877906976744184</v>
      </c>
      <c r="D1286" s="28">
        <v>37089</v>
      </c>
      <c r="E1286" s="14">
        <v>1.4152571625819954E-2</v>
      </c>
      <c r="F1286" s="14">
        <v>1.6692207348117272E-2</v>
      </c>
      <c r="G1286" s="14">
        <v>9.1362996711550348E-3</v>
      </c>
      <c r="H1286" s="14">
        <v>9.1841074640446781E-3</v>
      </c>
    </row>
    <row r="1287" spans="2:8" x14ac:dyDescent="0.25">
      <c r="B1287" s="29">
        <v>1279</v>
      </c>
      <c r="C1287" s="30">
        <v>0.92950581395348841</v>
      </c>
      <c r="D1287" s="28">
        <v>37090</v>
      </c>
      <c r="E1287" s="14">
        <v>1.4218009478673244E-2</v>
      </c>
      <c r="F1287" s="14">
        <v>1.6869122411496296E-2</v>
      </c>
      <c r="G1287" s="14">
        <v>9.1675207835097972E-3</v>
      </c>
      <c r="H1287" s="14">
        <v>9.2220894374864578E-3</v>
      </c>
    </row>
    <row r="1288" spans="2:8" x14ac:dyDescent="0.25">
      <c r="B1288" s="29">
        <v>1280</v>
      </c>
      <c r="C1288" s="30">
        <v>0.93023255813953487</v>
      </c>
      <c r="D1288" s="28">
        <v>37091</v>
      </c>
      <c r="E1288" s="14">
        <v>1.4236932426135773E-2</v>
      </c>
      <c r="F1288" s="14">
        <v>1.6986147597851664E-2</v>
      </c>
      <c r="G1288" s="14">
        <v>9.1723202170963525E-3</v>
      </c>
      <c r="H1288" s="14">
        <v>9.237702414886818E-3</v>
      </c>
    </row>
    <row r="1289" spans="2:8" x14ac:dyDescent="0.25">
      <c r="B1289" s="29">
        <v>1281</v>
      </c>
      <c r="C1289" s="30">
        <v>0.93095930232558144</v>
      </c>
      <c r="D1289" s="28">
        <v>37092</v>
      </c>
      <c r="E1289" s="14">
        <v>1.4258060487480018E-2</v>
      </c>
      <c r="F1289" s="14">
        <v>1.6989491961799885E-2</v>
      </c>
      <c r="G1289" s="14">
        <v>9.1792366740031106E-3</v>
      </c>
      <c r="H1289" s="14">
        <v>9.24537125263627E-3</v>
      </c>
    </row>
    <row r="1290" spans="2:8" x14ac:dyDescent="0.25">
      <c r="B1290" s="29">
        <v>1282</v>
      </c>
      <c r="C1290" s="30">
        <v>0.9316860465116279</v>
      </c>
      <c r="D1290" s="28">
        <v>37095</v>
      </c>
      <c r="E1290" s="14">
        <v>1.4359009579487214E-2</v>
      </c>
      <c r="F1290" s="14">
        <v>1.7217396241412608E-2</v>
      </c>
      <c r="G1290" s="14">
        <v>9.1967465844453589E-3</v>
      </c>
      <c r="H1290" s="14">
        <v>9.2489069878144651E-3</v>
      </c>
    </row>
    <row r="1291" spans="2:8" x14ac:dyDescent="0.25">
      <c r="B1291" s="29">
        <v>1283</v>
      </c>
      <c r="C1291" s="30">
        <v>0.93241279069767447</v>
      </c>
      <c r="D1291" s="28">
        <v>37096</v>
      </c>
      <c r="E1291" s="14">
        <v>1.4410574272138765E-2</v>
      </c>
      <c r="F1291" s="14">
        <v>1.7286556086456573E-2</v>
      </c>
      <c r="G1291" s="14">
        <v>9.2665646275813529E-3</v>
      </c>
      <c r="H1291" s="14">
        <v>9.3710596733614267E-3</v>
      </c>
    </row>
    <row r="1292" spans="2:8" x14ac:dyDescent="0.25">
      <c r="B1292" s="29">
        <v>1284</v>
      </c>
      <c r="C1292" s="30">
        <v>0.93313953488372092</v>
      </c>
      <c r="D1292" s="28">
        <v>37097</v>
      </c>
      <c r="E1292" s="14">
        <v>1.4483545128706421E-2</v>
      </c>
      <c r="F1292" s="14">
        <v>1.7381693961619593E-2</v>
      </c>
      <c r="G1292" s="14">
        <v>9.4172979022626446E-3</v>
      </c>
      <c r="H1292" s="14">
        <v>9.3852322573904981E-3</v>
      </c>
    </row>
    <row r="1293" spans="2:8" x14ac:dyDescent="0.25">
      <c r="B1293" s="29">
        <v>1285</v>
      </c>
      <c r="C1293" s="30">
        <v>0.93386627906976749</v>
      </c>
      <c r="D1293" s="28">
        <v>37098</v>
      </c>
      <c r="E1293" s="14">
        <v>1.4539200156960863E-2</v>
      </c>
      <c r="F1293" s="14">
        <v>1.7444354914661897E-2</v>
      </c>
      <c r="G1293" s="14">
        <v>9.4479234366102727E-3</v>
      </c>
      <c r="H1293" s="14">
        <v>9.4018193707909436E-3</v>
      </c>
    </row>
    <row r="1294" spans="2:8" x14ac:dyDescent="0.25">
      <c r="B1294" s="29">
        <v>1286</v>
      </c>
      <c r="C1294" s="30">
        <v>0.93459302325581395</v>
      </c>
      <c r="D1294" s="28">
        <v>37099</v>
      </c>
      <c r="E1294" s="14">
        <v>1.4594783070715822E-2</v>
      </c>
      <c r="F1294" s="14">
        <v>1.7483864752913858E-2</v>
      </c>
      <c r="G1294" s="14">
        <v>9.4640317756093939E-3</v>
      </c>
      <c r="H1294" s="14">
        <v>9.4421950585778201E-3</v>
      </c>
    </row>
    <row r="1295" spans="2:8" x14ac:dyDescent="0.25">
      <c r="B1295" s="29">
        <v>1287</v>
      </c>
      <c r="C1295" s="30">
        <v>0.93531976744186052</v>
      </c>
      <c r="D1295" s="28">
        <v>37102</v>
      </c>
      <c r="E1295" s="14">
        <v>1.4750187207216658E-2</v>
      </c>
      <c r="F1295" s="14">
        <v>1.7664090497602203E-2</v>
      </c>
      <c r="G1295" s="14">
        <v>9.5283468318247966E-3</v>
      </c>
      <c r="H1295" s="14">
        <v>9.4661931526169654E-3</v>
      </c>
    </row>
    <row r="1296" spans="2:8" x14ac:dyDescent="0.25">
      <c r="B1296" s="29">
        <v>1288</v>
      </c>
      <c r="C1296" s="30">
        <v>0.93604651162790697</v>
      </c>
      <c r="D1296" s="28">
        <v>37103</v>
      </c>
      <c r="E1296" s="14">
        <v>1.4893148022246505E-2</v>
      </c>
      <c r="F1296" s="14">
        <v>1.7741655076495055E-2</v>
      </c>
      <c r="G1296" s="14">
        <v>9.5524876264694303E-3</v>
      </c>
      <c r="H1296" s="14">
        <v>9.4911647070747857E-3</v>
      </c>
    </row>
    <row r="1297" spans="2:8" x14ac:dyDescent="0.25">
      <c r="B1297" s="29">
        <v>1289</v>
      </c>
      <c r="C1297" s="30">
        <v>0.93677325581395354</v>
      </c>
      <c r="D1297" s="28">
        <v>37104</v>
      </c>
      <c r="E1297" s="14">
        <v>1.494347364028048E-2</v>
      </c>
      <c r="F1297" s="14">
        <v>1.7774126114133093E-2</v>
      </c>
      <c r="G1297" s="14">
        <v>9.5582106140592593E-3</v>
      </c>
      <c r="H1297" s="14">
        <v>9.5078928127794622E-3</v>
      </c>
    </row>
    <row r="1298" spans="2:8" x14ac:dyDescent="0.25">
      <c r="B1298" s="29">
        <v>1290</v>
      </c>
      <c r="C1298" s="30">
        <v>0.9375</v>
      </c>
      <c r="D1298" s="28">
        <v>37105</v>
      </c>
      <c r="E1298" s="14">
        <v>1.4988078209617894E-2</v>
      </c>
      <c r="F1298" s="14">
        <v>1.7799072395777715E-2</v>
      </c>
      <c r="G1298" s="14">
        <v>9.587757060911084E-3</v>
      </c>
      <c r="H1298" s="14">
        <v>9.5870979716187622E-3</v>
      </c>
    </row>
    <row r="1299" spans="2:8" x14ac:dyDescent="0.25">
      <c r="B1299" s="29">
        <v>1291</v>
      </c>
      <c r="C1299" s="30">
        <v>0.93822674418604646</v>
      </c>
      <c r="D1299" s="28">
        <v>37106</v>
      </c>
      <c r="E1299" s="14">
        <v>1.5023161368106885E-2</v>
      </c>
      <c r="F1299" s="14">
        <v>1.7857573783151004E-2</v>
      </c>
      <c r="G1299" s="14">
        <v>9.6764958488406716E-3</v>
      </c>
      <c r="H1299" s="14">
        <v>9.5945698530902849E-3</v>
      </c>
    </row>
    <row r="1300" spans="2:8" x14ac:dyDescent="0.25">
      <c r="B1300" s="29">
        <v>1292</v>
      </c>
      <c r="C1300" s="30">
        <v>0.93895348837209303</v>
      </c>
      <c r="D1300" s="28">
        <v>37109</v>
      </c>
      <c r="E1300" s="14">
        <v>1.5220582554276607E-2</v>
      </c>
      <c r="F1300" s="14">
        <v>1.7902461950037862E-2</v>
      </c>
      <c r="G1300" s="14">
        <v>9.7389599344659405E-3</v>
      </c>
      <c r="H1300" s="14">
        <v>9.6388817953443357E-3</v>
      </c>
    </row>
    <row r="1301" spans="2:8" x14ac:dyDescent="0.25">
      <c r="B1301" s="29">
        <v>1293</v>
      </c>
      <c r="C1301" s="30">
        <v>0.93968023255813948</v>
      </c>
      <c r="D1301" s="28">
        <v>37110</v>
      </c>
      <c r="E1301" s="14">
        <v>1.5386982612709987E-2</v>
      </c>
      <c r="F1301" s="14">
        <v>1.794793994060262E-2</v>
      </c>
      <c r="G1301" s="14">
        <v>9.7764625059451049E-3</v>
      </c>
      <c r="H1301" s="14">
        <v>9.6591472610618734E-3</v>
      </c>
    </row>
    <row r="1302" spans="2:8" x14ac:dyDescent="0.25">
      <c r="B1302" s="29">
        <v>1294</v>
      </c>
      <c r="C1302" s="30">
        <v>0.94040697674418605</v>
      </c>
      <c r="D1302" s="28">
        <v>37111</v>
      </c>
      <c r="E1302" s="14">
        <v>1.5402451142762619E-2</v>
      </c>
      <c r="F1302" s="14">
        <v>1.8036007944813415E-2</v>
      </c>
      <c r="G1302" s="14">
        <v>9.7915726390960245E-3</v>
      </c>
      <c r="H1302" s="14">
        <v>9.6911570654497417E-3</v>
      </c>
    </row>
    <row r="1303" spans="2:8" x14ac:dyDescent="0.25">
      <c r="B1303" s="29">
        <v>1295</v>
      </c>
      <c r="C1303" s="30">
        <v>0.94113372093023251</v>
      </c>
      <c r="D1303" s="28">
        <v>37112</v>
      </c>
      <c r="E1303" s="14">
        <v>1.5643598027546224E-2</v>
      </c>
      <c r="F1303" s="14">
        <v>1.8083227931323886E-2</v>
      </c>
      <c r="G1303" s="14">
        <v>9.8341484159047976E-3</v>
      </c>
      <c r="H1303" s="14">
        <v>9.7101559438545169E-3</v>
      </c>
    </row>
    <row r="1304" spans="2:8" x14ac:dyDescent="0.25">
      <c r="B1304" s="29">
        <v>1296</v>
      </c>
      <c r="C1304" s="30">
        <v>0.94186046511627908</v>
      </c>
      <c r="D1304" s="28">
        <v>37113</v>
      </c>
      <c r="E1304" s="14">
        <v>1.56832784025982E-2</v>
      </c>
      <c r="F1304" s="14">
        <v>1.8244537037700903E-2</v>
      </c>
      <c r="G1304" s="14">
        <v>9.8379939047212872E-3</v>
      </c>
      <c r="H1304" s="14">
        <v>9.782146295831318E-3</v>
      </c>
    </row>
    <row r="1305" spans="2:8" x14ac:dyDescent="0.25">
      <c r="B1305" s="29">
        <v>1297</v>
      </c>
      <c r="C1305" s="30">
        <v>0.94258720930232553</v>
      </c>
      <c r="D1305" s="28">
        <v>37116</v>
      </c>
      <c r="E1305" s="14">
        <v>1.6020750686603469E-2</v>
      </c>
      <c r="F1305" s="14">
        <v>1.8335201548920654E-2</v>
      </c>
      <c r="G1305" s="14">
        <v>9.9150780788312964E-3</v>
      </c>
      <c r="H1305" s="14">
        <v>9.7862661016723251E-3</v>
      </c>
    </row>
    <row r="1306" spans="2:8" x14ac:dyDescent="0.25">
      <c r="B1306" s="29">
        <v>1298</v>
      </c>
      <c r="C1306" s="30">
        <v>0.9433139534883721</v>
      </c>
      <c r="D1306" s="28">
        <v>37117</v>
      </c>
      <c r="E1306" s="14">
        <v>1.6106465904926814E-2</v>
      </c>
      <c r="F1306" s="14">
        <v>1.8345833114805643E-2</v>
      </c>
      <c r="G1306" s="14">
        <v>9.9249855741487814E-3</v>
      </c>
      <c r="H1306" s="14">
        <v>9.7904114297114649E-3</v>
      </c>
    </row>
    <row r="1307" spans="2:8" x14ac:dyDescent="0.25">
      <c r="B1307" s="29">
        <v>1299</v>
      </c>
      <c r="C1307" s="30">
        <v>0.94404069767441856</v>
      </c>
      <c r="D1307" s="28">
        <v>37118</v>
      </c>
      <c r="E1307" s="14">
        <v>1.6170055823849783E-2</v>
      </c>
      <c r="F1307" s="14">
        <v>1.8480808391286185E-2</v>
      </c>
      <c r="G1307" s="14">
        <v>9.9270759821217247E-3</v>
      </c>
      <c r="H1307" s="14">
        <v>9.8341867755212583E-3</v>
      </c>
    </row>
    <row r="1308" spans="2:8" x14ac:dyDescent="0.25">
      <c r="B1308" s="29">
        <v>1300</v>
      </c>
      <c r="C1308" s="30">
        <v>0.94476744186046513</v>
      </c>
      <c r="D1308" s="28">
        <v>37119</v>
      </c>
      <c r="E1308" s="14">
        <v>1.6185207010903646E-2</v>
      </c>
      <c r="F1308" s="14">
        <v>1.8563393631575664E-2</v>
      </c>
      <c r="G1308" s="14">
        <v>1.0034562010358794E-2</v>
      </c>
      <c r="H1308" s="14">
        <v>9.8451119070439141E-3</v>
      </c>
    </row>
    <row r="1309" spans="2:8" x14ac:dyDescent="0.25">
      <c r="B1309" s="29">
        <v>1301</v>
      </c>
      <c r="C1309" s="30">
        <v>0.94549418604651159</v>
      </c>
      <c r="D1309" s="28">
        <v>37120</v>
      </c>
      <c r="E1309" s="14">
        <v>1.6308919280974443E-2</v>
      </c>
      <c r="F1309" s="14">
        <v>1.8727724660362766E-2</v>
      </c>
      <c r="G1309" s="14">
        <v>1.0044327077242343E-2</v>
      </c>
      <c r="H1309" s="14">
        <v>9.9000519520668923E-3</v>
      </c>
    </row>
    <row r="1310" spans="2:8" x14ac:dyDescent="0.25">
      <c r="B1310" s="29">
        <v>1302</v>
      </c>
      <c r="C1310" s="30">
        <v>0.94622093023255816</v>
      </c>
      <c r="D1310" s="28">
        <v>37123</v>
      </c>
      <c r="E1310" s="14">
        <v>1.6342053766689402E-2</v>
      </c>
      <c r="F1310" s="14">
        <v>1.8953732912723398E-2</v>
      </c>
      <c r="G1310" s="14">
        <v>1.0052400812747164E-2</v>
      </c>
      <c r="H1310" s="14">
        <v>9.9227679363342886E-3</v>
      </c>
    </row>
    <row r="1311" spans="2:8" x14ac:dyDescent="0.25">
      <c r="B1311" s="29">
        <v>1303</v>
      </c>
      <c r="C1311" s="30">
        <v>0.94694767441860461</v>
      </c>
      <c r="D1311" s="28">
        <v>37124</v>
      </c>
      <c r="E1311" s="14">
        <v>1.6379457430472755E-2</v>
      </c>
      <c r="F1311" s="14">
        <v>1.9009482412135181E-2</v>
      </c>
      <c r="G1311" s="14">
        <v>1.0065227170490409E-2</v>
      </c>
      <c r="H1311" s="14">
        <v>9.9375913812817639E-3</v>
      </c>
    </row>
    <row r="1312" spans="2:8" x14ac:dyDescent="0.25">
      <c r="B1312" s="29">
        <v>1304</v>
      </c>
      <c r="C1312" s="30">
        <v>0.94767441860465118</v>
      </c>
      <c r="D1312" s="28">
        <v>37125</v>
      </c>
      <c r="E1312" s="14">
        <v>1.642222192691678E-2</v>
      </c>
      <c r="F1312" s="14">
        <v>1.9227661980933952E-2</v>
      </c>
      <c r="G1312" s="14">
        <v>1.0124063670411854E-2</v>
      </c>
      <c r="H1312" s="14">
        <v>1.005028359768634E-2</v>
      </c>
    </row>
    <row r="1313" spans="2:8" x14ac:dyDescent="0.25">
      <c r="B1313" s="29">
        <v>1305</v>
      </c>
      <c r="C1313" s="30">
        <v>0.94840116279069764</v>
      </c>
      <c r="D1313" s="28">
        <v>37126</v>
      </c>
      <c r="E1313" s="14">
        <v>1.6447826288683798E-2</v>
      </c>
      <c r="F1313" s="14">
        <v>1.9438444924406051E-2</v>
      </c>
      <c r="G1313" s="14">
        <v>1.0134117570739454E-2</v>
      </c>
      <c r="H1313" s="14">
        <v>1.0221806929896849E-2</v>
      </c>
    </row>
    <row r="1314" spans="2:8" x14ac:dyDescent="0.25">
      <c r="B1314" s="29">
        <v>1306</v>
      </c>
      <c r="C1314" s="30">
        <v>0.94912790697674421</v>
      </c>
      <c r="D1314" s="28">
        <v>37127</v>
      </c>
      <c r="E1314" s="14">
        <v>1.6475893166840061E-2</v>
      </c>
      <c r="F1314" s="14">
        <v>1.9636805378207001E-2</v>
      </c>
      <c r="G1314" s="14">
        <v>1.0140405616224646E-2</v>
      </c>
      <c r="H1314" s="14">
        <v>1.0344481588195275E-2</v>
      </c>
    </row>
    <row r="1315" spans="2:8" x14ac:dyDescent="0.25">
      <c r="B1315" s="29">
        <v>1307</v>
      </c>
      <c r="C1315" s="30">
        <v>0.94985465116279066</v>
      </c>
      <c r="D1315" s="28">
        <v>37130</v>
      </c>
      <c r="E1315" s="14">
        <v>1.6533901078844115E-2</v>
      </c>
      <c r="F1315" s="14">
        <v>1.9654243647222014E-2</v>
      </c>
      <c r="G1315" s="14">
        <v>1.0182991710368627E-2</v>
      </c>
      <c r="H1315" s="14">
        <v>1.0351071717645511E-2</v>
      </c>
    </row>
    <row r="1316" spans="2:8" x14ac:dyDescent="0.25">
      <c r="B1316" s="29">
        <v>1308</v>
      </c>
      <c r="C1316" s="30">
        <v>0.95058139534883723</v>
      </c>
      <c r="D1316" s="28">
        <v>37131</v>
      </c>
      <c r="E1316" s="14">
        <v>1.6686808098538064E-2</v>
      </c>
      <c r="F1316" s="14">
        <v>1.968478005175256E-2</v>
      </c>
      <c r="G1316" s="14">
        <v>1.0247654037482734E-2</v>
      </c>
      <c r="H1316" s="14">
        <v>1.0448477530540012E-2</v>
      </c>
    </row>
    <row r="1317" spans="2:8" x14ac:dyDescent="0.25">
      <c r="B1317" s="29">
        <v>1309</v>
      </c>
      <c r="C1317" s="30">
        <v>0.95130813953488369</v>
      </c>
      <c r="D1317" s="28">
        <v>37132</v>
      </c>
      <c r="E1317" s="14">
        <v>1.6691003275517868E-2</v>
      </c>
      <c r="F1317" s="14">
        <v>1.9829091113864106E-2</v>
      </c>
      <c r="G1317" s="14">
        <v>1.0257647981656737E-2</v>
      </c>
      <c r="H1317" s="14">
        <v>1.0569981515237848E-2</v>
      </c>
    </row>
    <row r="1318" spans="2:8" x14ac:dyDescent="0.25">
      <c r="B1318" s="29">
        <v>1310</v>
      </c>
      <c r="C1318" s="30">
        <v>0.95203488372093026</v>
      </c>
      <c r="D1318" s="28">
        <v>37133</v>
      </c>
      <c r="E1318" s="14">
        <v>1.6943266880839136E-2</v>
      </c>
      <c r="F1318" s="14">
        <v>1.9837019453450733E-2</v>
      </c>
      <c r="G1318" s="14">
        <v>1.0281333209893218E-2</v>
      </c>
      <c r="H1318" s="14">
        <v>1.0604798594014309E-2</v>
      </c>
    </row>
    <row r="1319" spans="2:8" x14ac:dyDescent="0.25">
      <c r="B1319" s="29">
        <v>1311</v>
      </c>
      <c r="C1319" s="30">
        <v>0.95276162790697672</v>
      </c>
      <c r="D1319" s="28">
        <v>37134</v>
      </c>
      <c r="E1319" s="14">
        <v>1.7023105379814218E-2</v>
      </c>
      <c r="F1319" s="14">
        <v>1.9909089282199144E-2</v>
      </c>
      <c r="G1319" s="14">
        <v>1.0347167250932765E-2</v>
      </c>
      <c r="H1319" s="14">
        <v>1.0626212592663588E-2</v>
      </c>
    </row>
    <row r="1320" spans="2:8" x14ac:dyDescent="0.25">
      <c r="B1320" s="29">
        <v>1312</v>
      </c>
      <c r="C1320" s="30">
        <v>0.95348837209302328</v>
      </c>
      <c r="D1320" s="28">
        <v>37137</v>
      </c>
      <c r="E1320" s="14">
        <v>1.7059553349875856E-2</v>
      </c>
      <c r="F1320" s="14">
        <v>1.9932036894257488E-2</v>
      </c>
      <c r="G1320" s="14">
        <v>1.0363565066382918E-2</v>
      </c>
      <c r="H1320" s="14">
        <v>1.0644221008068033E-2</v>
      </c>
    </row>
    <row r="1321" spans="2:8" x14ac:dyDescent="0.25">
      <c r="B1321" s="29">
        <v>1313</v>
      </c>
      <c r="C1321" s="30">
        <v>0.95421511627906974</v>
      </c>
      <c r="D1321" s="28">
        <v>37138</v>
      </c>
      <c r="E1321" s="14">
        <v>1.7085592245769554E-2</v>
      </c>
      <c r="F1321" s="14">
        <v>1.9941065649002665E-2</v>
      </c>
      <c r="G1321" s="14">
        <v>1.0381840577159851E-2</v>
      </c>
      <c r="H1321" s="14">
        <v>1.0755321513565131E-2</v>
      </c>
    </row>
    <row r="1322" spans="2:8" x14ac:dyDescent="0.25">
      <c r="B1322" s="29">
        <v>1314</v>
      </c>
      <c r="C1322" s="30">
        <v>0.95494186046511631</v>
      </c>
      <c r="D1322" s="28">
        <v>37139</v>
      </c>
      <c r="E1322" s="14">
        <v>1.7093174559362989E-2</v>
      </c>
      <c r="F1322" s="14">
        <v>2.0167990712708583E-2</v>
      </c>
      <c r="G1322" s="14">
        <v>1.0426338405579383E-2</v>
      </c>
      <c r="H1322" s="14">
        <v>1.0856477689888245E-2</v>
      </c>
    </row>
    <row r="1323" spans="2:8" x14ac:dyDescent="0.25">
      <c r="B1323" s="29">
        <v>1315</v>
      </c>
      <c r="C1323" s="30">
        <v>0.95566860465116277</v>
      </c>
      <c r="D1323" s="28">
        <v>37140</v>
      </c>
      <c r="E1323" s="14">
        <v>1.7151540841487734E-2</v>
      </c>
      <c r="F1323" s="14">
        <v>2.0274230688716699E-2</v>
      </c>
      <c r="G1323" s="14">
        <v>1.0477880031045439E-2</v>
      </c>
      <c r="H1323" s="14">
        <v>1.1115595438720517E-2</v>
      </c>
    </row>
    <row r="1324" spans="2:8" x14ac:dyDescent="0.25">
      <c r="B1324" s="29">
        <v>1316</v>
      </c>
      <c r="C1324" s="30">
        <v>0.95639534883720934</v>
      </c>
      <c r="D1324" s="28">
        <v>37141</v>
      </c>
      <c r="E1324" s="14">
        <v>1.7172076097667244E-2</v>
      </c>
      <c r="F1324" s="14">
        <v>2.0474501020752101E-2</v>
      </c>
      <c r="G1324" s="14">
        <v>1.0504782440426741E-2</v>
      </c>
      <c r="H1324" s="14">
        <v>1.1129442448334271E-2</v>
      </c>
    </row>
    <row r="1325" spans="2:8" x14ac:dyDescent="0.25">
      <c r="B1325" s="29">
        <v>1317</v>
      </c>
      <c r="C1325" s="30">
        <v>0.95712209302325579</v>
      </c>
      <c r="D1325" s="28">
        <v>37144</v>
      </c>
      <c r="E1325" s="14">
        <v>1.7776866283600867E-2</v>
      </c>
      <c r="F1325" s="14">
        <v>2.0746612162150901E-2</v>
      </c>
      <c r="G1325" s="14">
        <v>1.0507940037586039E-2</v>
      </c>
      <c r="H1325" s="14">
        <v>1.1323466077440215E-2</v>
      </c>
    </row>
    <row r="1326" spans="2:8" x14ac:dyDescent="0.25">
      <c r="B1326" s="29">
        <v>1318</v>
      </c>
      <c r="C1326" s="30">
        <v>0.95784883720930236</v>
      </c>
      <c r="D1326" s="28">
        <v>37145</v>
      </c>
      <c r="E1326" s="14">
        <v>1.7779762655117937E-2</v>
      </c>
      <c r="F1326" s="14">
        <v>2.117923507404984E-2</v>
      </c>
      <c r="G1326" s="14">
        <v>1.0516430495022711E-2</v>
      </c>
      <c r="H1326" s="14">
        <v>1.133194132865103E-2</v>
      </c>
    </row>
    <row r="1327" spans="2:8" x14ac:dyDescent="0.25">
      <c r="B1327" s="29">
        <v>1319</v>
      </c>
      <c r="C1327" s="30">
        <v>0.95857558139534882</v>
      </c>
      <c r="D1327" s="28">
        <v>37146</v>
      </c>
      <c r="E1327" s="14">
        <v>1.7872196931377538E-2</v>
      </c>
      <c r="F1327" s="14">
        <v>2.119376047441035E-2</v>
      </c>
      <c r="G1327" s="14">
        <v>1.0574740112319292E-2</v>
      </c>
      <c r="H1327" s="14">
        <v>1.1348118958540133E-2</v>
      </c>
    </row>
    <row r="1328" spans="2:8" x14ac:dyDescent="0.25">
      <c r="B1328" s="29">
        <v>1320</v>
      </c>
      <c r="C1328" s="30">
        <v>0.95930232558139539</v>
      </c>
      <c r="D1328" s="28">
        <v>37147</v>
      </c>
      <c r="E1328" s="14">
        <v>1.8084373161018963E-2</v>
      </c>
      <c r="F1328" s="14">
        <v>2.1243096301216458E-2</v>
      </c>
      <c r="G1328" s="14">
        <v>1.0651147468980104E-2</v>
      </c>
      <c r="H1328" s="14">
        <v>1.1459873948631571E-2</v>
      </c>
    </row>
    <row r="1329" spans="2:8" x14ac:dyDescent="0.25">
      <c r="B1329" s="29">
        <v>1321</v>
      </c>
      <c r="C1329" s="30">
        <v>0.96002906976744184</v>
      </c>
      <c r="D1329" s="28">
        <v>37148</v>
      </c>
      <c r="E1329" s="14">
        <v>1.8215597960362206E-2</v>
      </c>
      <c r="F1329" s="14">
        <v>2.1336139694418499E-2</v>
      </c>
      <c r="G1329" s="14">
        <v>1.0713262675451141E-2</v>
      </c>
      <c r="H1329" s="14">
        <v>1.1582842945822014E-2</v>
      </c>
    </row>
    <row r="1330" spans="2:8" x14ac:dyDescent="0.25">
      <c r="B1330" s="29">
        <v>1322</v>
      </c>
      <c r="C1330" s="30">
        <v>0.96075581395348841</v>
      </c>
      <c r="D1330" s="28">
        <v>37151</v>
      </c>
      <c r="E1330" s="14">
        <v>1.8227814046237301E-2</v>
      </c>
      <c r="F1330" s="14">
        <v>2.1412249561349794E-2</v>
      </c>
      <c r="G1330" s="14">
        <v>1.0833856416222032E-2</v>
      </c>
      <c r="H1330" s="14">
        <v>1.1688988701934643E-2</v>
      </c>
    </row>
    <row r="1331" spans="2:8" x14ac:dyDescent="0.25">
      <c r="B1331" s="29">
        <v>1323</v>
      </c>
      <c r="C1331" s="30">
        <v>0.96148255813953487</v>
      </c>
      <c r="D1331" s="28">
        <v>37152</v>
      </c>
      <c r="E1331" s="14">
        <v>1.8346741093416385E-2</v>
      </c>
      <c r="F1331" s="14">
        <v>2.1707681179494287E-2</v>
      </c>
      <c r="G1331" s="14">
        <v>1.0859145694768868E-2</v>
      </c>
      <c r="H1331" s="14">
        <v>1.1696112961923744E-2</v>
      </c>
    </row>
    <row r="1332" spans="2:8" x14ac:dyDescent="0.25">
      <c r="B1332" s="29">
        <v>1324</v>
      </c>
      <c r="C1332" s="30">
        <v>0.96220930232558144</v>
      </c>
      <c r="D1332" s="28">
        <v>37153</v>
      </c>
      <c r="E1332" s="14">
        <v>1.8446569701799698E-2</v>
      </c>
      <c r="F1332" s="14">
        <v>2.191853496551599E-2</v>
      </c>
      <c r="G1332" s="14">
        <v>1.0942760942761032E-2</v>
      </c>
      <c r="H1332" s="14">
        <v>1.174868172029029E-2</v>
      </c>
    </row>
    <row r="1333" spans="2:8" x14ac:dyDescent="0.25">
      <c r="B1333" s="29">
        <v>1325</v>
      </c>
      <c r="C1333" s="30">
        <v>0.9629360465116279</v>
      </c>
      <c r="D1333" s="28">
        <v>37154</v>
      </c>
      <c r="E1333" s="14">
        <v>1.85115313270654E-2</v>
      </c>
      <c r="F1333" s="14">
        <v>2.1971029413867527E-2</v>
      </c>
      <c r="G1333" s="14">
        <v>1.0947653491482523E-2</v>
      </c>
      <c r="H1333" s="14">
        <v>1.186147683833454E-2</v>
      </c>
    </row>
    <row r="1334" spans="2:8" x14ac:dyDescent="0.25">
      <c r="B1334" s="29">
        <v>1326</v>
      </c>
      <c r="C1334" s="30">
        <v>0.96366279069767447</v>
      </c>
      <c r="D1334" s="28">
        <v>37155</v>
      </c>
      <c r="E1334" s="14">
        <v>1.8614231495432509E-2</v>
      </c>
      <c r="F1334" s="14">
        <v>2.2097736741357954E-2</v>
      </c>
      <c r="G1334" s="14">
        <v>1.1041097418167611E-2</v>
      </c>
      <c r="H1334" s="14">
        <v>1.1970873761574463E-2</v>
      </c>
    </row>
    <row r="1335" spans="2:8" x14ac:dyDescent="0.25">
      <c r="B1335" s="29">
        <v>1327</v>
      </c>
      <c r="C1335" s="30">
        <v>0.96438953488372092</v>
      </c>
      <c r="D1335" s="28">
        <v>37158</v>
      </c>
      <c r="E1335" s="14">
        <v>1.8682399213372669E-2</v>
      </c>
      <c r="F1335" s="14">
        <v>2.2140458554925413E-2</v>
      </c>
      <c r="G1335" s="14">
        <v>1.1109259806104888E-2</v>
      </c>
      <c r="H1335" s="14">
        <v>1.2003809412825816E-2</v>
      </c>
    </row>
    <row r="1336" spans="2:8" x14ac:dyDescent="0.25">
      <c r="B1336" s="29">
        <v>1328</v>
      </c>
      <c r="C1336" s="30">
        <v>0.96511627906976749</v>
      </c>
      <c r="D1336" s="28">
        <v>37159</v>
      </c>
      <c r="E1336" s="14">
        <v>1.8707844967537968E-2</v>
      </c>
      <c r="F1336" s="14">
        <v>2.223515144717747E-2</v>
      </c>
      <c r="G1336" s="14">
        <v>1.1249759939176096E-2</v>
      </c>
      <c r="H1336" s="14">
        <v>1.2079167924438484E-2</v>
      </c>
    </row>
    <row r="1337" spans="2:8" x14ac:dyDescent="0.25">
      <c r="B1337" s="29">
        <v>1329</v>
      </c>
      <c r="C1337" s="30">
        <v>0.96584302325581395</v>
      </c>
      <c r="D1337" s="28">
        <v>37160</v>
      </c>
      <c r="E1337" s="14">
        <v>1.8969074125700924E-2</v>
      </c>
      <c r="F1337" s="14">
        <v>2.2286176386642653E-2</v>
      </c>
      <c r="G1337" s="14">
        <v>1.1285468615648941E-2</v>
      </c>
      <c r="H1337" s="14">
        <v>1.215318729617876E-2</v>
      </c>
    </row>
    <row r="1338" spans="2:8" x14ac:dyDescent="0.25">
      <c r="B1338" s="29">
        <v>1330</v>
      </c>
      <c r="C1338" s="30">
        <v>0.96656976744186052</v>
      </c>
      <c r="D1338" s="28">
        <v>37161</v>
      </c>
      <c r="E1338" s="14">
        <v>1.9006119043204039E-2</v>
      </c>
      <c r="F1338" s="14">
        <v>2.2479940975744794E-2</v>
      </c>
      <c r="G1338" s="14">
        <v>1.1306944832507604E-2</v>
      </c>
      <c r="H1338" s="14">
        <v>1.2340737052647155E-2</v>
      </c>
    </row>
    <row r="1339" spans="2:8" x14ac:dyDescent="0.25">
      <c r="B1339" s="29">
        <v>1331</v>
      </c>
      <c r="C1339" s="30">
        <v>0.96729651162790697</v>
      </c>
      <c r="D1339" s="28">
        <v>37162</v>
      </c>
      <c r="E1339" s="14">
        <v>1.9076240830329327E-2</v>
      </c>
      <c r="F1339" s="14">
        <v>2.273987798114252E-2</v>
      </c>
      <c r="G1339" s="14">
        <v>1.1307750191118071E-2</v>
      </c>
      <c r="H1339" s="14">
        <v>1.2378670912490185E-2</v>
      </c>
    </row>
    <row r="1340" spans="2:8" x14ac:dyDescent="0.25">
      <c r="B1340" s="29">
        <v>1332</v>
      </c>
      <c r="C1340" s="30">
        <v>0.96802325581395354</v>
      </c>
      <c r="D1340" s="28">
        <v>37165</v>
      </c>
      <c r="E1340" s="14">
        <v>1.9095164945631238E-2</v>
      </c>
      <c r="F1340" s="14">
        <v>2.2929633968013174E-2</v>
      </c>
      <c r="G1340" s="14">
        <v>1.1374299793647014E-2</v>
      </c>
      <c r="H1340" s="14">
        <v>1.2438801892128737E-2</v>
      </c>
    </row>
    <row r="1341" spans="2:8" x14ac:dyDescent="0.25">
      <c r="B1341" s="29">
        <v>1333</v>
      </c>
      <c r="C1341" s="30">
        <v>0.96875</v>
      </c>
      <c r="D1341" s="28">
        <v>37166</v>
      </c>
      <c r="E1341" s="14">
        <v>1.9228519053005266E-2</v>
      </c>
      <c r="F1341" s="14">
        <v>2.2936474866472212E-2</v>
      </c>
      <c r="G1341" s="14">
        <v>1.1444077394997532E-2</v>
      </c>
      <c r="H1341" s="14">
        <v>1.2573135044747776E-2</v>
      </c>
    </row>
    <row r="1342" spans="2:8" x14ac:dyDescent="0.25">
      <c r="B1342" s="29">
        <v>1334</v>
      </c>
      <c r="C1342" s="30">
        <v>0.96947674418604646</v>
      </c>
      <c r="D1342" s="28">
        <v>37167</v>
      </c>
      <c r="E1342" s="14">
        <v>1.9388615289054778E-2</v>
      </c>
      <c r="F1342" s="14">
        <v>2.3046421451573984E-2</v>
      </c>
      <c r="G1342" s="14">
        <v>1.156168128488444E-2</v>
      </c>
      <c r="H1342" s="14">
        <v>1.2618813325451761E-2</v>
      </c>
    </row>
    <row r="1343" spans="2:8" x14ac:dyDescent="0.25">
      <c r="B1343" s="29">
        <v>1335</v>
      </c>
      <c r="C1343" s="30">
        <v>0.97020348837209303</v>
      </c>
      <c r="D1343" s="28">
        <v>37168</v>
      </c>
      <c r="E1343" s="14">
        <v>1.9825894784407438E-2</v>
      </c>
      <c r="F1343" s="14">
        <v>2.3126163126483856E-2</v>
      </c>
      <c r="G1343" s="14">
        <v>1.1804365753955492E-2</v>
      </c>
      <c r="H1343" s="14">
        <v>1.2644842744247065E-2</v>
      </c>
    </row>
    <row r="1344" spans="2:8" x14ac:dyDescent="0.25">
      <c r="B1344" s="29">
        <v>1336</v>
      </c>
      <c r="C1344" s="30">
        <v>0.97093023255813948</v>
      </c>
      <c r="D1344" s="28">
        <v>37169</v>
      </c>
      <c r="E1344" s="14">
        <v>2.0075876998227438E-2</v>
      </c>
      <c r="F1344" s="14">
        <v>2.3127619246352538E-2</v>
      </c>
      <c r="G1344" s="14">
        <v>1.1814222279081132E-2</v>
      </c>
      <c r="H1344" s="14">
        <v>1.2805865941471596E-2</v>
      </c>
    </row>
    <row r="1345" spans="2:8" x14ac:dyDescent="0.25">
      <c r="B1345" s="29">
        <v>1337</v>
      </c>
      <c r="C1345" s="30">
        <v>0.97165697674418605</v>
      </c>
      <c r="D1345" s="28">
        <v>37172</v>
      </c>
      <c r="E1345" s="14">
        <v>2.0322674817999875E-2</v>
      </c>
      <c r="F1345" s="14">
        <v>2.3444784867457047E-2</v>
      </c>
      <c r="G1345" s="14">
        <v>1.2009491510422965E-2</v>
      </c>
      <c r="H1345" s="14">
        <v>1.3031861238860732E-2</v>
      </c>
    </row>
    <row r="1346" spans="2:8" x14ac:dyDescent="0.25">
      <c r="B1346" s="29">
        <v>1338</v>
      </c>
      <c r="C1346" s="30">
        <v>0.97238372093023251</v>
      </c>
      <c r="D1346" s="28">
        <v>37173</v>
      </c>
      <c r="E1346" s="14">
        <v>2.0876283501130688E-2</v>
      </c>
      <c r="F1346" s="14">
        <v>2.3691301326916214E-2</v>
      </c>
      <c r="G1346" s="14">
        <v>1.203671808173068E-2</v>
      </c>
      <c r="H1346" s="14">
        <v>1.3054082049671355E-2</v>
      </c>
    </row>
    <row r="1347" spans="2:8" x14ac:dyDescent="0.25">
      <c r="B1347" s="29">
        <v>1339</v>
      </c>
      <c r="C1347" s="30">
        <v>0.97311046511627908</v>
      </c>
      <c r="D1347" s="28">
        <v>37174</v>
      </c>
      <c r="E1347" s="14">
        <v>2.1054864787145577E-2</v>
      </c>
      <c r="F1347" s="14">
        <v>2.3691938697462556E-2</v>
      </c>
      <c r="G1347" s="14">
        <v>1.207821911958229E-2</v>
      </c>
      <c r="H1347" s="14">
        <v>1.3076801037007216E-2</v>
      </c>
    </row>
    <row r="1348" spans="2:8" x14ac:dyDescent="0.25">
      <c r="B1348" s="29">
        <v>1340</v>
      </c>
      <c r="C1348" s="30">
        <v>0.97383720930232553</v>
      </c>
      <c r="D1348" s="28">
        <v>37175</v>
      </c>
      <c r="E1348" s="14">
        <v>2.1491490935764412E-2</v>
      </c>
      <c r="F1348" s="14">
        <v>2.4279880807857923E-2</v>
      </c>
      <c r="G1348" s="14">
        <v>1.2173153556416683E-2</v>
      </c>
      <c r="H1348" s="14">
        <v>1.3400280265551779E-2</v>
      </c>
    </row>
    <row r="1349" spans="2:8" x14ac:dyDescent="0.25">
      <c r="B1349" s="29">
        <v>1341</v>
      </c>
      <c r="C1349" s="30">
        <v>0.9745639534883721</v>
      </c>
      <c r="D1349" s="28">
        <v>37176</v>
      </c>
      <c r="E1349" s="14">
        <v>2.1632774226462148E-2</v>
      </c>
      <c r="F1349" s="14">
        <v>2.4402679509907044E-2</v>
      </c>
      <c r="G1349" s="14">
        <v>1.2251613362824099E-2</v>
      </c>
      <c r="H1349" s="14">
        <v>1.3474431186928704E-2</v>
      </c>
    </row>
    <row r="1350" spans="2:8" x14ac:dyDescent="0.25">
      <c r="B1350" s="29">
        <v>1342</v>
      </c>
      <c r="C1350" s="30">
        <v>0.97529069767441856</v>
      </c>
      <c r="D1350" s="28">
        <v>37179</v>
      </c>
      <c r="E1350" s="14">
        <v>2.2133275638251959E-2</v>
      </c>
      <c r="F1350" s="14">
        <v>2.4919292223448242E-2</v>
      </c>
      <c r="G1350" s="14">
        <v>1.225566242631082E-2</v>
      </c>
      <c r="H1350" s="14">
        <v>1.3575753054278562E-2</v>
      </c>
    </row>
    <row r="1351" spans="2:8" x14ac:dyDescent="0.25">
      <c r="B1351" s="29">
        <v>1343</v>
      </c>
      <c r="C1351" s="30">
        <v>0.97601744186046513</v>
      </c>
      <c r="D1351" s="28">
        <v>37180</v>
      </c>
      <c r="E1351" s="14">
        <v>2.2207503048614408E-2</v>
      </c>
      <c r="F1351" s="14">
        <v>2.5217621456299133E-2</v>
      </c>
      <c r="G1351" s="14">
        <v>1.2429565793834918E-2</v>
      </c>
      <c r="H1351" s="14">
        <v>1.3599753406747217E-2</v>
      </c>
    </row>
    <row r="1352" spans="2:8" x14ac:dyDescent="0.25">
      <c r="B1352" s="29">
        <v>1344</v>
      </c>
      <c r="C1352" s="30">
        <v>0.97674418604651159</v>
      </c>
      <c r="D1352" s="28">
        <v>37181</v>
      </c>
      <c r="E1352" s="14">
        <v>2.246197382384163E-2</v>
      </c>
      <c r="F1352" s="14">
        <v>2.5565860925560902E-2</v>
      </c>
      <c r="G1352" s="14">
        <v>1.2550081977037442E-2</v>
      </c>
      <c r="H1352" s="14">
        <v>1.3627043145519657E-2</v>
      </c>
    </row>
    <row r="1353" spans="2:8" x14ac:dyDescent="0.25">
      <c r="B1353" s="29">
        <v>1345</v>
      </c>
      <c r="C1353" s="30">
        <v>0.97747093023255816</v>
      </c>
      <c r="D1353" s="28">
        <v>37182</v>
      </c>
      <c r="E1353" s="14">
        <v>2.2498833141607832E-2</v>
      </c>
      <c r="F1353" s="14">
        <v>2.5583634802071709E-2</v>
      </c>
      <c r="G1353" s="14">
        <v>1.2785764789064347E-2</v>
      </c>
      <c r="H1353" s="14">
        <v>1.3653808778186075E-2</v>
      </c>
    </row>
    <row r="1354" spans="2:8" x14ac:dyDescent="0.25">
      <c r="B1354" s="29">
        <v>1346</v>
      </c>
      <c r="C1354" s="30">
        <v>0.97819767441860461</v>
      </c>
      <c r="D1354" s="28">
        <v>37183</v>
      </c>
      <c r="E1354" s="14">
        <v>2.2561433016285548E-2</v>
      </c>
      <c r="F1354" s="14">
        <v>2.5601814589887972E-2</v>
      </c>
      <c r="G1354" s="14">
        <v>1.2802976418449408E-2</v>
      </c>
      <c r="H1354" s="14">
        <v>1.3701958439796292E-2</v>
      </c>
    </row>
    <row r="1355" spans="2:8" x14ac:dyDescent="0.25">
      <c r="B1355" s="29">
        <v>1347</v>
      </c>
      <c r="C1355" s="30">
        <v>0.97892441860465118</v>
      </c>
      <c r="D1355" s="28">
        <v>37186</v>
      </c>
      <c r="E1355" s="14">
        <v>2.317507118469031E-2</v>
      </c>
      <c r="F1355" s="14">
        <v>2.5631295423984568E-2</v>
      </c>
      <c r="G1355" s="14">
        <v>1.2862099916725933E-2</v>
      </c>
      <c r="H1355" s="14">
        <v>1.3720620284956065E-2</v>
      </c>
    </row>
    <row r="1356" spans="2:8" x14ac:dyDescent="0.25">
      <c r="B1356" s="29">
        <v>1348</v>
      </c>
      <c r="C1356" s="30">
        <v>0.97965116279069764</v>
      </c>
      <c r="D1356" s="28">
        <v>37187</v>
      </c>
      <c r="E1356" s="14">
        <v>2.3811826605025344E-2</v>
      </c>
      <c r="F1356" s="14">
        <v>2.6004752772450512E-2</v>
      </c>
      <c r="G1356" s="14">
        <v>1.2983440611761932E-2</v>
      </c>
      <c r="H1356" s="14">
        <v>1.3797302386087163E-2</v>
      </c>
    </row>
    <row r="1357" spans="2:8" x14ac:dyDescent="0.25">
      <c r="B1357" s="29">
        <v>1349</v>
      </c>
      <c r="C1357" s="30">
        <v>0.98037790697674421</v>
      </c>
      <c r="D1357" s="28">
        <v>37188</v>
      </c>
      <c r="E1357" s="14">
        <v>2.4282234474453102E-2</v>
      </c>
      <c r="F1357" s="14">
        <v>2.6565097399977367E-2</v>
      </c>
      <c r="G1357" s="14">
        <v>1.3001467091617425E-2</v>
      </c>
      <c r="H1357" s="14">
        <v>1.4319172545839276E-2</v>
      </c>
    </row>
    <row r="1358" spans="2:8" x14ac:dyDescent="0.25">
      <c r="B1358" s="29">
        <v>1350</v>
      </c>
      <c r="C1358" s="30">
        <v>0.98110465116279066</v>
      </c>
      <c r="D1358" s="28">
        <v>37189</v>
      </c>
      <c r="E1358" s="14">
        <v>2.4359504132231535E-2</v>
      </c>
      <c r="F1358" s="14">
        <v>2.6644945441822943E-2</v>
      </c>
      <c r="G1358" s="14">
        <v>1.3028073044426325E-2</v>
      </c>
      <c r="H1358" s="14">
        <v>1.4634740632679444E-2</v>
      </c>
    </row>
    <row r="1359" spans="2:8" x14ac:dyDescent="0.25">
      <c r="B1359" s="29">
        <v>1351</v>
      </c>
      <c r="C1359" s="30">
        <v>0.98183139534883723</v>
      </c>
      <c r="D1359" s="28">
        <v>37190</v>
      </c>
      <c r="E1359" s="14">
        <v>2.4537697301034278E-2</v>
      </c>
      <c r="F1359" s="14">
        <v>2.7065990383178695E-2</v>
      </c>
      <c r="G1359" s="14">
        <v>1.305145076043579E-2</v>
      </c>
      <c r="H1359" s="14">
        <v>1.4845951509836964E-2</v>
      </c>
    </row>
    <row r="1360" spans="2:8" x14ac:dyDescent="0.25">
      <c r="B1360" s="29">
        <v>1352</v>
      </c>
      <c r="C1360" s="30">
        <v>0.98255813953488369</v>
      </c>
      <c r="D1360" s="28">
        <v>37193</v>
      </c>
      <c r="E1360" s="14">
        <v>2.4708624708624782E-2</v>
      </c>
      <c r="F1360" s="14">
        <v>2.7090384409847124E-2</v>
      </c>
      <c r="G1360" s="14">
        <v>1.3108819657744686E-2</v>
      </c>
      <c r="H1360" s="14">
        <v>1.4884519770290039E-2</v>
      </c>
    </row>
    <row r="1361" spans="2:8" x14ac:dyDescent="0.25">
      <c r="B1361" s="29">
        <v>1353</v>
      </c>
      <c r="C1361" s="30">
        <v>0.98328488372093026</v>
      </c>
      <c r="D1361" s="28">
        <v>37194</v>
      </c>
      <c r="E1361" s="14">
        <v>2.4721731237758338E-2</v>
      </c>
      <c r="F1361" s="14">
        <v>2.7284723659697585E-2</v>
      </c>
      <c r="G1361" s="14">
        <v>1.3208971317662188E-2</v>
      </c>
      <c r="H1361" s="14">
        <v>1.5141965874063914E-2</v>
      </c>
    </row>
    <row r="1362" spans="2:8" x14ac:dyDescent="0.25">
      <c r="B1362" s="29">
        <v>1354</v>
      </c>
      <c r="C1362" s="30">
        <v>0.98401162790697672</v>
      </c>
      <c r="D1362" s="28">
        <v>37195</v>
      </c>
      <c r="E1362" s="14">
        <v>2.4749192384146523E-2</v>
      </c>
      <c r="F1362" s="14">
        <v>2.8126596866608011E-2</v>
      </c>
      <c r="G1362" s="14">
        <v>1.3276131949678138E-2</v>
      </c>
      <c r="H1362" s="14">
        <v>1.5209126431066578E-2</v>
      </c>
    </row>
    <row r="1363" spans="2:8" x14ac:dyDescent="0.25">
      <c r="B1363" s="29">
        <v>1355</v>
      </c>
      <c r="C1363" s="30">
        <v>0.98473837209302328</v>
      </c>
      <c r="D1363" s="28">
        <v>37196</v>
      </c>
      <c r="E1363" s="14">
        <v>2.4756537755884489E-2</v>
      </c>
      <c r="F1363" s="14">
        <v>2.8452746830579967E-2</v>
      </c>
      <c r="G1363" s="14">
        <v>1.3312363084873491E-2</v>
      </c>
      <c r="H1363" s="14">
        <v>1.5763553919949456E-2</v>
      </c>
    </row>
    <row r="1364" spans="2:8" x14ac:dyDescent="0.25">
      <c r="B1364" s="29">
        <v>1356</v>
      </c>
      <c r="C1364" s="30">
        <v>0.98546511627906974</v>
      </c>
      <c r="D1364" s="28">
        <v>37197</v>
      </c>
      <c r="E1364" s="14">
        <v>2.5690150008093937E-2</v>
      </c>
      <c r="F1364" s="14">
        <v>2.866337481447645E-2</v>
      </c>
      <c r="G1364" s="14">
        <v>1.3392690581966793E-2</v>
      </c>
      <c r="H1364" s="14">
        <v>1.6595224354839445E-2</v>
      </c>
    </row>
    <row r="1365" spans="2:8" x14ac:dyDescent="0.25">
      <c r="B1365" s="29">
        <v>1357</v>
      </c>
      <c r="C1365" s="30">
        <v>0.98619186046511631</v>
      </c>
      <c r="D1365" s="28">
        <v>37200</v>
      </c>
      <c r="E1365" s="14">
        <v>2.5799515769389547E-2</v>
      </c>
      <c r="F1365" s="14">
        <v>2.8905853188892605E-2</v>
      </c>
      <c r="G1365" s="14">
        <v>1.3447292392519961E-2</v>
      </c>
      <c r="H1365" s="14">
        <v>1.6652013862270373E-2</v>
      </c>
    </row>
    <row r="1366" spans="2:8" x14ac:dyDescent="0.25">
      <c r="B1366" s="29">
        <v>1358</v>
      </c>
      <c r="C1366" s="30">
        <v>0.98691860465116277</v>
      </c>
      <c r="D1366" s="28">
        <v>37201</v>
      </c>
      <c r="E1366" s="14">
        <v>2.65725635388947E-2</v>
      </c>
      <c r="F1366" s="14">
        <v>2.9453473306195521E-2</v>
      </c>
      <c r="G1366" s="14">
        <v>1.349519712416769E-2</v>
      </c>
      <c r="H1366" s="14">
        <v>1.6839168488584643E-2</v>
      </c>
    </row>
    <row r="1367" spans="2:8" x14ac:dyDescent="0.25">
      <c r="B1367" s="29">
        <v>1359</v>
      </c>
      <c r="C1367" s="30">
        <v>0.98764534883720934</v>
      </c>
      <c r="D1367" s="28">
        <v>37202</v>
      </c>
      <c r="E1367" s="14">
        <v>2.7814724982395678E-2</v>
      </c>
      <c r="F1367" s="14">
        <v>3.125173713409013E-2</v>
      </c>
      <c r="G1367" s="14">
        <v>1.3988642348040203E-2</v>
      </c>
      <c r="H1367" s="14">
        <v>1.6850615646978942E-2</v>
      </c>
    </row>
    <row r="1368" spans="2:8" x14ac:dyDescent="0.25">
      <c r="B1368" s="29">
        <v>1360</v>
      </c>
      <c r="C1368" s="30">
        <v>0.98837209302325579</v>
      </c>
      <c r="D1368" s="28">
        <v>37203</v>
      </c>
      <c r="E1368" s="14">
        <v>2.8196746939430639E-2</v>
      </c>
      <c r="F1368" s="14">
        <v>3.2220141942787439E-2</v>
      </c>
      <c r="G1368" s="14">
        <v>1.4230638394375772E-2</v>
      </c>
      <c r="H1368" s="14">
        <v>1.7255362303307997E-2</v>
      </c>
    </row>
    <row r="1369" spans="2:8" x14ac:dyDescent="0.25">
      <c r="B1369" s="29">
        <v>1361</v>
      </c>
      <c r="C1369" s="30">
        <v>0.98909883720930236</v>
      </c>
      <c r="D1369" s="28">
        <v>37204</v>
      </c>
      <c r="E1369" s="14">
        <v>2.8397067714631241E-2</v>
      </c>
      <c r="F1369" s="14">
        <v>3.3083682255115932E-2</v>
      </c>
      <c r="G1369" s="14">
        <v>1.4528480016783751E-2</v>
      </c>
      <c r="H1369" s="14">
        <v>1.7759274632006238E-2</v>
      </c>
    </row>
    <row r="1370" spans="2:8" x14ac:dyDescent="0.25">
      <c r="B1370" s="29">
        <v>1362</v>
      </c>
      <c r="C1370" s="30">
        <v>0.98982558139534882</v>
      </c>
      <c r="D1370" s="28">
        <v>37207</v>
      </c>
      <c r="E1370" s="14">
        <v>2.8898884712551753E-2</v>
      </c>
      <c r="F1370" s="14">
        <v>3.3275985061474556E-2</v>
      </c>
      <c r="G1370" s="14">
        <v>1.4619449795031381E-2</v>
      </c>
      <c r="H1370" s="14">
        <v>1.8323807576933682E-2</v>
      </c>
    </row>
    <row r="1371" spans="2:8" x14ac:dyDescent="0.25">
      <c r="B1371" s="29">
        <v>1363</v>
      </c>
      <c r="C1371" s="30">
        <v>0.99055232558139539</v>
      </c>
      <c r="D1371" s="28">
        <v>37208</v>
      </c>
      <c r="E1371" s="14">
        <v>2.9672578444747799E-2</v>
      </c>
      <c r="F1371" s="14">
        <v>3.3373941554242226E-2</v>
      </c>
      <c r="G1371" s="14">
        <v>1.5033991953995685E-2</v>
      </c>
      <c r="H1371" s="14">
        <v>1.8438219650023794E-2</v>
      </c>
    </row>
    <row r="1372" spans="2:8" x14ac:dyDescent="0.25">
      <c r="B1372" s="29">
        <v>1364</v>
      </c>
      <c r="C1372" s="30">
        <v>0.99127906976744184</v>
      </c>
      <c r="D1372" s="28">
        <v>37209</v>
      </c>
      <c r="E1372" s="14">
        <v>3.0123468448263635E-2</v>
      </c>
      <c r="F1372" s="14">
        <v>3.474354007093261E-2</v>
      </c>
      <c r="G1372" s="14">
        <v>1.5130075106128293E-2</v>
      </c>
      <c r="H1372" s="14">
        <v>1.8705691382209011E-2</v>
      </c>
    </row>
    <row r="1373" spans="2:8" x14ac:dyDescent="0.25">
      <c r="B1373" s="29">
        <v>1365</v>
      </c>
      <c r="C1373" s="30">
        <v>0.99200581395348841</v>
      </c>
      <c r="D1373" s="28">
        <v>37210</v>
      </c>
      <c r="E1373" s="14">
        <v>3.0247069572147733E-2</v>
      </c>
      <c r="F1373" s="14">
        <v>3.5266173624017627E-2</v>
      </c>
      <c r="G1373" s="14">
        <v>1.5158636363034494E-2</v>
      </c>
      <c r="H1373" s="14">
        <v>1.9302665204485425E-2</v>
      </c>
    </row>
    <row r="1374" spans="2:8" x14ac:dyDescent="0.25">
      <c r="B1374" s="29">
        <v>1366</v>
      </c>
      <c r="C1374" s="30">
        <v>0.99273255813953487</v>
      </c>
      <c r="D1374" s="28">
        <v>37211</v>
      </c>
      <c r="E1374" s="14">
        <v>3.107402477731136E-2</v>
      </c>
      <c r="F1374" s="14">
        <v>3.5410778629216155E-2</v>
      </c>
      <c r="G1374" s="14">
        <v>1.5290864977712593E-2</v>
      </c>
      <c r="H1374" s="14">
        <v>2.1186728988790725E-2</v>
      </c>
    </row>
    <row r="1375" spans="2:8" x14ac:dyDescent="0.25">
      <c r="B1375" s="29">
        <v>1367</v>
      </c>
      <c r="C1375" s="30">
        <v>0.99345930232558144</v>
      </c>
      <c r="D1375" s="28">
        <v>37214</v>
      </c>
      <c r="E1375" s="14">
        <v>3.1288044801558446E-2</v>
      </c>
      <c r="F1375" s="14">
        <v>3.863028580979444E-2</v>
      </c>
      <c r="G1375" s="14">
        <v>1.5624307722311714E-2</v>
      </c>
      <c r="H1375" s="14">
        <v>2.1191771932108906E-2</v>
      </c>
    </row>
    <row r="1376" spans="2:8" x14ac:dyDescent="0.25">
      <c r="B1376" s="29">
        <v>1368</v>
      </c>
      <c r="C1376" s="30">
        <v>0.9941860465116279</v>
      </c>
      <c r="D1376" s="28">
        <v>37215</v>
      </c>
      <c r="E1376" s="14">
        <v>3.188345037058915E-2</v>
      </c>
      <c r="F1376" s="14">
        <v>3.8890427165404029E-2</v>
      </c>
      <c r="G1376" s="14">
        <v>1.5673626435805943E-2</v>
      </c>
      <c r="H1376" s="14">
        <v>2.2774994231814016E-2</v>
      </c>
    </row>
    <row r="1377" spans="2:8" x14ac:dyDescent="0.25">
      <c r="B1377" s="29">
        <v>1369</v>
      </c>
      <c r="C1377" s="30">
        <v>0.99491279069767447</v>
      </c>
      <c r="D1377" s="28">
        <v>37216</v>
      </c>
      <c r="E1377" s="14">
        <v>3.3458861120620798E-2</v>
      </c>
      <c r="F1377" s="14">
        <v>3.8921635961568946E-2</v>
      </c>
      <c r="G1377" s="14">
        <v>1.5881923789213603E-2</v>
      </c>
      <c r="H1377" s="14">
        <v>2.3330816168842142E-2</v>
      </c>
    </row>
    <row r="1378" spans="2:8" x14ac:dyDescent="0.25">
      <c r="B1378" s="29">
        <v>1370</v>
      </c>
      <c r="C1378" s="30">
        <v>0.99563953488372092</v>
      </c>
      <c r="D1378" s="28">
        <v>37217</v>
      </c>
      <c r="E1378" s="14">
        <v>3.3597271004604856E-2</v>
      </c>
      <c r="F1378" s="14">
        <v>3.9055780649306371E-2</v>
      </c>
      <c r="G1378" s="14">
        <v>1.6258403940667021E-2</v>
      </c>
      <c r="H1378" s="14">
        <v>2.3547865798945588E-2</v>
      </c>
    </row>
    <row r="1379" spans="2:8" x14ac:dyDescent="0.25">
      <c r="B1379" s="29">
        <v>1371</v>
      </c>
      <c r="C1379" s="30">
        <v>0.99636627906976749</v>
      </c>
      <c r="D1379" s="28">
        <v>37218</v>
      </c>
      <c r="E1379" s="14">
        <v>3.4977138662556806E-2</v>
      </c>
      <c r="F1379" s="14">
        <v>4.172923731763345E-2</v>
      </c>
      <c r="G1379" s="14">
        <v>1.6489597166888137E-2</v>
      </c>
      <c r="H1379" s="14">
        <v>2.3725385639933316E-2</v>
      </c>
    </row>
    <row r="1380" spans="2:8" x14ac:dyDescent="0.25">
      <c r="B1380" s="29">
        <v>1372</v>
      </c>
      <c r="C1380" s="30">
        <v>0.99709302325581395</v>
      </c>
      <c r="D1380" s="28">
        <v>37221</v>
      </c>
      <c r="E1380" s="14">
        <v>3.634533235056292E-2</v>
      </c>
      <c r="F1380" s="14">
        <v>4.3680036256514843E-2</v>
      </c>
      <c r="G1380" s="14">
        <v>1.7569463934886231E-2</v>
      </c>
      <c r="H1380" s="14">
        <v>2.5914418031318352E-2</v>
      </c>
    </row>
    <row r="1381" spans="2:8" x14ac:dyDescent="0.25">
      <c r="B1381" s="29">
        <v>1373</v>
      </c>
      <c r="C1381" s="30">
        <v>0.99781976744186052</v>
      </c>
      <c r="D1381" s="28">
        <v>37222</v>
      </c>
      <c r="E1381" s="14">
        <v>4.0295737772482187E-2</v>
      </c>
      <c r="F1381" s="14">
        <v>4.763854469705131E-2</v>
      </c>
      <c r="G1381" s="14">
        <v>1.7675606641123887E-2</v>
      </c>
      <c r="H1381" s="14">
        <v>2.6004086690869559E-2</v>
      </c>
    </row>
    <row r="1382" spans="2:8" x14ac:dyDescent="0.25">
      <c r="B1382" s="29">
        <v>1374</v>
      </c>
      <c r="C1382" s="30">
        <v>0.99854651162790697</v>
      </c>
      <c r="D1382" s="28">
        <v>37223</v>
      </c>
      <c r="E1382" s="14">
        <v>4.7221375596870896E-2</v>
      </c>
      <c r="F1382" s="14">
        <v>5.0098576293375441E-2</v>
      </c>
      <c r="G1382" s="14">
        <v>1.7771035379530842E-2</v>
      </c>
      <c r="H1382" s="14">
        <v>2.8379849791782166E-2</v>
      </c>
    </row>
    <row r="1383" spans="2:8" x14ac:dyDescent="0.25">
      <c r="B1383" s="29">
        <v>1375</v>
      </c>
      <c r="C1383" s="30">
        <v>0.99927325581395354</v>
      </c>
      <c r="D1383" s="28">
        <v>37224</v>
      </c>
      <c r="E1383" s="14">
        <v>5.0295215701622764E-2</v>
      </c>
      <c r="F1383" s="14">
        <v>5.0898972163180733E-2</v>
      </c>
      <c r="G1383" s="14">
        <v>1.8281740690893056E-2</v>
      </c>
      <c r="H1383" s="14">
        <v>3.3771668177762719E-2</v>
      </c>
    </row>
    <row r="1384" spans="2:8" x14ac:dyDescent="0.25">
      <c r="B1384" s="29">
        <v>1376</v>
      </c>
      <c r="C1384" s="30">
        <v>1</v>
      </c>
      <c r="D1384" s="28">
        <v>37225</v>
      </c>
      <c r="E1384" s="14">
        <v>5.6491685254300927E-2</v>
      </c>
      <c r="F1384" s="14">
        <v>5.1164222673265147E-2</v>
      </c>
      <c r="G1384" s="14">
        <v>2.1004222112712467E-2</v>
      </c>
      <c r="H1384" s="14">
        <v>3.9276891730934647E-2</v>
      </c>
    </row>
  </sheetData>
  <sheetProtection formatCells="0" selectLockedCells="1"/>
  <mergeCells count="9">
    <mergeCell ref="J13:J14"/>
    <mergeCell ref="J16:J17"/>
    <mergeCell ref="J19:J22"/>
    <mergeCell ref="B2:I3"/>
    <mergeCell ref="D6:D7"/>
    <mergeCell ref="E6:G6"/>
    <mergeCell ref="B8:C8"/>
    <mergeCell ref="E8:H8"/>
    <mergeCell ref="J10:J11"/>
  </mergeCells>
  <hyperlinks>
    <hyperlink ref="S18" r:id="rId1" xr:uid="{00000000-0004-0000-0100-000000000000}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2:V1384"/>
  <sheetViews>
    <sheetView showGridLines="0" topLeftCell="A5" zoomScale="120" zoomScaleNormal="120" workbookViewId="0">
      <selection activeCell="L19" sqref="L19"/>
    </sheetView>
  </sheetViews>
  <sheetFormatPr baseColWidth="10" defaultColWidth="11.42578125" defaultRowHeight="15" x14ac:dyDescent="0.25"/>
  <cols>
    <col min="1" max="9" width="11.42578125" style="23"/>
    <col min="10" max="10" width="11.42578125" style="23" customWidth="1"/>
    <col min="11" max="11" width="16.28515625" style="23" customWidth="1"/>
    <col min="12" max="12" width="13.28515625" style="23" bestFit="1" customWidth="1"/>
    <col min="13" max="13" width="12.7109375" style="23" bestFit="1" customWidth="1"/>
    <col min="14" max="14" width="6.85546875" style="23" customWidth="1"/>
    <col min="15" max="15" width="12.7109375" style="23" bestFit="1" customWidth="1"/>
    <col min="16" max="16" width="40.140625" style="23" customWidth="1"/>
    <col min="17" max="18" width="11.42578125" style="23"/>
    <col min="19" max="19" width="16.28515625" style="23" customWidth="1"/>
    <col min="20" max="22" width="11.42578125" style="23"/>
    <col min="23" max="23" width="6" style="23" customWidth="1"/>
    <col min="24" max="16384" width="11.42578125" style="23"/>
  </cols>
  <sheetData>
    <row r="2" spans="1:21" x14ac:dyDescent="0.25">
      <c r="B2" s="78" t="s">
        <v>28</v>
      </c>
      <c r="C2" s="79"/>
      <c r="D2" s="79"/>
      <c r="E2" s="79"/>
      <c r="F2" s="79"/>
      <c r="G2" s="79"/>
      <c r="H2" s="79"/>
      <c r="I2" s="80"/>
    </row>
    <row r="3" spans="1:21" x14ac:dyDescent="0.25">
      <c r="B3" s="81"/>
      <c r="C3" s="82"/>
      <c r="D3" s="82"/>
      <c r="E3" s="82"/>
      <c r="F3" s="82"/>
      <c r="G3" s="82"/>
      <c r="H3" s="82"/>
      <c r="I3" s="83"/>
    </row>
    <row r="5" spans="1:21" x14ac:dyDescent="0.25">
      <c r="A5" s="24"/>
      <c r="M5" s="62" t="s">
        <v>62</v>
      </c>
    </row>
    <row r="6" spans="1:21" x14ac:dyDescent="0.25">
      <c r="A6" s="24"/>
      <c r="D6" s="84" t="s">
        <v>1</v>
      </c>
      <c r="E6" s="85" t="s">
        <v>2</v>
      </c>
      <c r="F6" s="86"/>
      <c r="G6" s="87"/>
      <c r="H6" s="1"/>
      <c r="M6" s="62" t="s">
        <v>63</v>
      </c>
    </row>
    <row r="7" spans="1:21" x14ac:dyDescent="0.25">
      <c r="A7" s="24"/>
      <c r="B7" s="25" t="s">
        <v>20</v>
      </c>
      <c r="C7" s="26" t="s">
        <v>21</v>
      </c>
      <c r="D7" s="84"/>
      <c r="E7" s="7" t="s">
        <v>4</v>
      </c>
      <c r="F7" s="8" t="s">
        <v>5</v>
      </c>
      <c r="G7" s="8" t="s">
        <v>6</v>
      </c>
      <c r="H7" s="8" t="s">
        <v>7</v>
      </c>
      <c r="J7" s="5" t="s">
        <v>22</v>
      </c>
      <c r="K7" s="27">
        <v>0.01</v>
      </c>
      <c r="M7" s="62" t="s">
        <v>64</v>
      </c>
      <c r="R7" s="23" t="s">
        <v>83</v>
      </c>
      <c r="S7" s="23" t="s">
        <v>85</v>
      </c>
    </row>
    <row r="8" spans="1:21" x14ac:dyDescent="0.25">
      <c r="A8" s="24"/>
      <c r="B8" s="88"/>
      <c r="C8" s="89"/>
      <c r="D8" s="28">
        <f>Ejercicio1!L7</f>
        <v>35299</v>
      </c>
      <c r="E8" s="75"/>
      <c r="F8" s="76"/>
      <c r="G8" s="76"/>
      <c r="H8" s="77"/>
      <c r="J8" s="5" t="s">
        <v>29</v>
      </c>
      <c r="K8" s="60">
        <f>NORMSINV(K7)</f>
        <v>-2.3263478740408408</v>
      </c>
    </row>
    <row r="9" spans="1:21" x14ac:dyDescent="0.25">
      <c r="A9" s="24"/>
      <c r="B9" s="29">
        <v>1</v>
      </c>
      <c r="C9" s="30">
        <v>7.2674418604651162E-4</v>
      </c>
      <c r="D9" s="28">
        <v>35300</v>
      </c>
      <c r="E9" s="14">
        <v>-5.2429384156635561E-2</v>
      </c>
      <c r="F9" s="14">
        <v>-6.8667431290089564E-2</v>
      </c>
      <c r="G9" s="14">
        <v>-3.2664171486900373E-2</v>
      </c>
      <c r="H9" s="14">
        <v>-3.529313377487886E-2</v>
      </c>
      <c r="N9" s="31"/>
      <c r="O9" s="31"/>
      <c r="R9" s="23" t="s">
        <v>84</v>
      </c>
    </row>
    <row r="10" spans="1:21" x14ac:dyDescent="0.25">
      <c r="A10" s="24"/>
      <c r="B10" s="29">
        <v>2</v>
      </c>
      <c r="C10" s="30">
        <v>1.4534883720930232E-3</v>
      </c>
      <c r="D10" s="28">
        <v>35303</v>
      </c>
      <c r="E10" s="14">
        <v>-3.9060730945156608E-2</v>
      </c>
      <c r="F10" s="14">
        <v>-6.8014097396654871E-2</v>
      </c>
      <c r="G10" s="14">
        <v>-2.2670509125840344E-2</v>
      </c>
      <c r="H10" s="14">
        <v>-3.5031843184825266E-2</v>
      </c>
      <c r="J10" s="84" t="s">
        <v>4</v>
      </c>
      <c r="K10" s="32" t="s">
        <v>23</v>
      </c>
      <c r="L10" s="61">
        <f>ABS($K$8*Ejercicio1!I15)</f>
        <v>2.3988973627072988E-2</v>
      </c>
      <c r="O10" s="31"/>
    </row>
    <row r="11" spans="1:21" x14ac:dyDescent="0.25">
      <c r="A11" s="24"/>
      <c r="B11" s="29">
        <v>3</v>
      </c>
      <c r="C11" s="30">
        <v>2.1802325581395349E-3</v>
      </c>
      <c r="D11" s="28">
        <v>35304</v>
      </c>
      <c r="E11" s="14">
        <v>-3.7189920964081691E-2</v>
      </c>
      <c r="F11" s="14">
        <v>-5.827797099638321E-2</v>
      </c>
      <c r="G11" s="14">
        <v>-2.2668579626972662E-2</v>
      </c>
      <c r="H11" s="14">
        <v>-2.8606244196511678E-2</v>
      </c>
      <c r="J11" s="84"/>
      <c r="K11" s="32" t="s">
        <v>24</v>
      </c>
      <c r="L11" s="33">
        <f>L10*Ejercicio1!I9*Ejercicio1!I7</f>
        <v>0</v>
      </c>
      <c r="O11" s="31"/>
    </row>
    <row r="12" spans="1:21" x14ac:dyDescent="0.25">
      <c r="A12" s="24"/>
      <c r="B12" s="29">
        <v>4</v>
      </c>
      <c r="C12" s="30">
        <v>2.9069767441860465E-3</v>
      </c>
      <c r="D12" s="28">
        <v>35305</v>
      </c>
      <c r="E12" s="14">
        <v>-3.63277419786876E-2</v>
      </c>
      <c r="F12" s="14">
        <v>-4.9243048309444037E-2</v>
      </c>
      <c r="G12" s="14">
        <v>-2.0780363778603594E-2</v>
      </c>
      <c r="H12" s="14">
        <v>-2.819161760058091E-2</v>
      </c>
      <c r="O12" s="31"/>
      <c r="P12" s="23" t="s">
        <v>65</v>
      </c>
      <c r="T12" s="23" t="s">
        <v>78</v>
      </c>
      <c r="U12" s="23" t="s">
        <v>79</v>
      </c>
    </row>
    <row r="13" spans="1:21" x14ac:dyDescent="0.25">
      <c r="A13" s="24"/>
      <c r="B13" s="29">
        <v>5</v>
      </c>
      <c r="C13" s="30">
        <v>3.6337209302325581E-3</v>
      </c>
      <c r="D13" s="28">
        <v>35306</v>
      </c>
      <c r="E13" s="14">
        <v>-3.3333333333333326E-2</v>
      </c>
      <c r="F13" s="14">
        <v>-4.3185651271406278E-2</v>
      </c>
      <c r="G13" s="14">
        <v>-2.0574576088130403E-2</v>
      </c>
      <c r="H13" s="14">
        <v>-2.7904140663284817E-2</v>
      </c>
      <c r="J13" s="84" t="s">
        <v>5</v>
      </c>
      <c r="K13" s="32" t="s">
        <v>23</v>
      </c>
      <c r="L13" s="14">
        <f>-K8*Ejercicio1!I16</f>
        <v>2.8335043563730764E-2</v>
      </c>
      <c r="M13" s="23" t="s">
        <v>97</v>
      </c>
      <c r="O13" s="31"/>
      <c r="P13" s="23" t="s">
        <v>66</v>
      </c>
      <c r="Q13" s="23" t="s">
        <v>75</v>
      </c>
      <c r="T13" s="23" t="s">
        <v>76</v>
      </c>
      <c r="U13" s="63" t="s">
        <v>80</v>
      </c>
    </row>
    <row r="14" spans="1:21" x14ac:dyDescent="0.25">
      <c r="A14" s="24"/>
      <c r="B14" s="29">
        <v>6</v>
      </c>
      <c r="C14" s="30">
        <v>4.3604651162790697E-3</v>
      </c>
      <c r="D14" s="28">
        <v>35307</v>
      </c>
      <c r="E14" s="14">
        <v>-3.2537462889379198E-2</v>
      </c>
      <c r="F14" s="14">
        <v>-3.8369658454698974E-2</v>
      </c>
      <c r="G14" s="14">
        <v>-1.9943928252952769E-2</v>
      </c>
      <c r="H14" s="14">
        <v>-2.7479039140248608E-2</v>
      </c>
      <c r="J14" s="84"/>
      <c r="K14" s="32" t="s">
        <v>24</v>
      </c>
      <c r="L14" s="33">
        <f>L13*Ejercicio1!I10*Ejercicio1!I7</f>
        <v>764927.43288420478</v>
      </c>
      <c r="M14" s="23" t="s">
        <v>98</v>
      </c>
      <c r="O14" s="31"/>
      <c r="P14" s="23" t="s">
        <v>67</v>
      </c>
    </row>
    <row r="15" spans="1:21" x14ac:dyDescent="0.25">
      <c r="A15" s="24"/>
      <c r="B15" s="29">
        <v>7</v>
      </c>
      <c r="C15" s="30">
        <v>5.0872093023255818E-3</v>
      </c>
      <c r="D15" s="28">
        <v>35310</v>
      </c>
      <c r="E15" s="14">
        <v>-3.1779581603253337E-2</v>
      </c>
      <c r="F15" s="14">
        <v>-3.8344717637195713E-2</v>
      </c>
      <c r="G15" s="14">
        <v>-1.981132075471681E-2</v>
      </c>
      <c r="H15" s="14">
        <v>-2.6007242907270103E-2</v>
      </c>
      <c r="O15" s="31"/>
      <c r="P15" s="23" t="s">
        <v>68</v>
      </c>
    </row>
    <row r="16" spans="1:21" x14ac:dyDescent="0.25">
      <c r="A16" s="24"/>
      <c r="B16" s="29">
        <v>8</v>
      </c>
      <c r="C16" s="30">
        <v>5.8139534883720929E-3</v>
      </c>
      <c r="D16" s="28">
        <v>35311</v>
      </c>
      <c r="E16" s="14">
        <v>-2.871725731895225E-2</v>
      </c>
      <c r="F16" s="14">
        <v>-3.624465139692945E-2</v>
      </c>
      <c r="G16" s="14">
        <v>-1.8676273697812995E-2</v>
      </c>
      <c r="H16" s="14">
        <v>-2.556683386220664E-2</v>
      </c>
      <c r="J16" s="84" t="s">
        <v>6</v>
      </c>
      <c r="K16" s="32" t="s">
        <v>23</v>
      </c>
      <c r="L16" s="14">
        <f>-K8*Ejercicio1!I17</f>
        <v>1.4372850316869606E-2</v>
      </c>
      <c r="O16" s="31"/>
      <c r="P16" s="23" t="s">
        <v>69</v>
      </c>
    </row>
    <row r="17" spans="1:22" x14ac:dyDescent="0.25">
      <c r="A17" s="24"/>
      <c r="B17" s="29">
        <v>9</v>
      </c>
      <c r="C17" s="30">
        <v>6.540697674418605E-3</v>
      </c>
      <c r="D17" s="28">
        <v>35312</v>
      </c>
      <c r="E17" s="14">
        <v>-2.8201916179864783E-2</v>
      </c>
      <c r="F17" s="14">
        <v>-3.4393081239582068E-2</v>
      </c>
      <c r="G17" s="14">
        <v>-1.8440434024849406E-2</v>
      </c>
      <c r="H17" s="14">
        <v>-2.4003050793325695E-2</v>
      </c>
      <c r="J17" s="84"/>
      <c r="K17" s="32" t="s">
        <v>24</v>
      </c>
      <c r="L17" s="33">
        <f>L16*Ejercicio1!I11*Ejercicio1!I7</f>
        <v>1049278.3052676406</v>
      </c>
      <c r="O17" s="31"/>
      <c r="P17" s="23" t="s">
        <v>70</v>
      </c>
      <c r="T17" s="64" t="s">
        <v>82</v>
      </c>
      <c r="U17" s="64"/>
      <c r="V17" s="64"/>
    </row>
    <row r="18" spans="1:22" x14ac:dyDescent="0.25">
      <c r="A18" s="24"/>
      <c r="B18" s="29">
        <v>10</v>
      </c>
      <c r="C18" s="30">
        <v>7.2674418604651162E-3</v>
      </c>
      <c r="D18" s="28">
        <v>35313</v>
      </c>
      <c r="E18" s="14">
        <v>-2.7409618410538239E-2</v>
      </c>
      <c r="F18" s="14">
        <v>-3.1295955882352899E-2</v>
      </c>
      <c r="G18" s="14">
        <v>-1.8223747117385725E-2</v>
      </c>
      <c r="H18" s="14">
        <v>-2.375214766520466E-2</v>
      </c>
      <c r="O18" s="31"/>
      <c r="P18" s="23" t="s">
        <v>71</v>
      </c>
    </row>
    <row r="19" spans="1:22" x14ac:dyDescent="0.25">
      <c r="A19" s="24"/>
      <c r="B19" s="29">
        <v>11</v>
      </c>
      <c r="C19" s="30">
        <v>7.9941860465116282E-3</v>
      </c>
      <c r="D19" s="28">
        <v>35314</v>
      </c>
      <c r="E19" s="14">
        <v>-2.6976181340602978E-2</v>
      </c>
      <c r="F19" s="14">
        <v>-3.1082877825380439E-2</v>
      </c>
      <c r="G19" s="14">
        <v>-1.7833407177669569E-2</v>
      </c>
      <c r="H19" s="14">
        <v>-2.155526131431118E-2</v>
      </c>
      <c r="J19" s="84" t="s">
        <v>7</v>
      </c>
      <c r="K19" s="34" t="s">
        <v>23</v>
      </c>
      <c r="L19" s="14">
        <f>-K8*Ejercicio1!I18</f>
        <v>1.3852320914372166E-2</v>
      </c>
      <c r="P19" s="23" t="s">
        <v>72</v>
      </c>
    </row>
    <row r="20" spans="1:22" x14ac:dyDescent="0.25">
      <c r="A20" s="24"/>
      <c r="B20" s="29">
        <v>12</v>
      </c>
      <c r="C20" s="30">
        <v>8.7209302325581394E-3</v>
      </c>
      <c r="D20" s="28">
        <v>35317</v>
      </c>
      <c r="E20" s="14">
        <v>-2.6695889040769472E-2</v>
      </c>
      <c r="F20" s="14">
        <v>-3.0514194200301215E-2</v>
      </c>
      <c r="G20" s="14">
        <v>-1.7828657220606225E-2</v>
      </c>
      <c r="H20" s="14">
        <v>-2.1037044257724347E-2</v>
      </c>
      <c r="J20" s="84"/>
      <c r="K20" s="65" t="s">
        <v>25</v>
      </c>
      <c r="L20" s="33">
        <f>L19*Ejercicio1!$I$7</f>
        <v>1385232.0914372166</v>
      </c>
      <c r="M20" s="63" t="s">
        <v>100</v>
      </c>
      <c r="P20" s="23" t="s">
        <v>73</v>
      </c>
    </row>
    <row r="21" spans="1:22" x14ac:dyDescent="0.25">
      <c r="A21" s="24"/>
      <c r="B21" s="29">
        <v>13</v>
      </c>
      <c r="C21" s="30">
        <v>9.4476744186046506E-3</v>
      </c>
      <c r="D21" s="28">
        <v>35318</v>
      </c>
      <c r="E21" s="14">
        <v>-2.5566501630645999E-2</v>
      </c>
      <c r="F21" s="14">
        <v>-3.0376154322677373E-2</v>
      </c>
      <c r="G21" s="14">
        <v>-1.7368769298632736E-2</v>
      </c>
      <c r="H21" s="14">
        <v>-2.0105237927511198E-2</v>
      </c>
      <c r="J21" s="84"/>
      <c r="K21" s="34" t="s">
        <v>26</v>
      </c>
      <c r="L21" s="35">
        <f>L11+L14+L17</f>
        <v>1814205.7381518455</v>
      </c>
      <c r="M21" s="23" t="s">
        <v>99</v>
      </c>
      <c r="P21" s="23" t="s">
        <v>74</v>
      </c>
      <c r="Q21" s="23" t="s">
        <v>77</v>
      </c>
      <c r="T21" s="63" t="s">
        <v>81</v>
      </c>
    </row>
    <row r="22" spans="1:22" x14ac:dyDescent="0.25">
      <c r="A22" s="24"/>
      <c r="B22" s="29">
        <v>14</v>
      </c>
      <c r="C22" s="30">
        <v>1.0174418604651164E-2</v>
      </c>
      <c r="D22" s="28">
        <v>35319</v>
      </c>
      <c r="E22" s="14">
        <v>-2.5547426200817624E-2</v>
      </c>
      <c r="F22" s="14">
        <v>-3.0107865212731455E-2</v>
      </c>
      <c r="G22" s="14">
        <v>-1.7259599441531548E-2</v>
      </c>
      <c r="H22" s="14">
        <v>-1.9339279225726869E-2</v>
      </c>
      <c r="J22" s="84"/>
      <c r="K22" s="34" t="s">
        <v>27</v>
      </c>
      <c r="L22" s="35">
        <f>+L21-L20</f>
        <v>428973.64671462891</v>
      </c>
    </row>
    <row r="23" spans="1:22" x14ac:dyDescent="0.25">
      <c r="A23" s="24"/>
      <c r="B23" s="29">
        <v>15</v>
      </c>
      <c r="C23" s="30">
        <v>1.0901162790697675E-2</v>
      </c>
      <c r="D23" s="28">
        <v>35320</v>
      </c>
      <c r="E23" s="14">
        <v>-2.4709976798143796E-2</v>
      </c>
      <c r="F23" s="14">
        <v>-2.9663720516709291E-2</v>
      </c>
      <c r="G23" s="14">
        <v>-1.653737419551371E-2</v>
      </c>
      <c r="H23" s="14">
        <v>-1.9265469954598768E-2</v>
      </c>
    </row>
    <row r="24" spans="1:22" x14ac:dyDescent="0.25">
      <c r="A24" s="24"/>
      <c r="B24" s="29">
        <v>16</v>
      </c>
      <c r="C24" s="30">
        <v>1.1627906976744186E-2</v>
      </c>
      <c r="D24" s="28">
        <v>35321</v>
      </c>
      <c r="E24" s="14">
        <v>-2.4656112120425511E-2</v>
      </c>
      <c r="F24" s="14">
        <v>-2.8057845444203755E-2</v>
      </c>
      <c r="G24" s="14">
        <v>-1.6316601400261144E-2</v>
      </c>
      <c r="H24" s="14">
        <v>-1.871367779849473E-2</v>
      </c>
    </row>
    <row r="25" spans="1:22" x14ac:dyDescent="0.25">
      <c r="A25" s="24"/>
      <c r="B25" s="29">
        <v>17</v>
      </c>
      <c r="C25" s="30">
        <v>1.2354651162790697E-2</v>
      </c>
      <c r="D25" s="28">
        <v>35324</v>
      </c>
      <c r="E25" s="14">
        <v>-2.454311328730796E-2</v>
      </c>
      <c r="F25" s="14">
        <v>-2.8031932620353306E-2</v>
      </c>
      <c r="G25" s="14">
        <v>-1.552894239632252E-2</v>
      </c>
      <c r="H25" s="14">
        <v>-1.7733104250274453E-2</v>
      </c>
    </row>
    <row r="26" spans="1:22" x14ac:dyDescent="0.25">
      <c r="A26" s="24"/>
      <c r="B26" s="29">
        <v>18</v>
      </c>
      <c r="C26" s="30">
        <v>1.308139534883721E-2</v>
      </c>
      <c r="D26" s="28">
        <v>35325</v>
      </c>
      <c r="E26" s="14">
        <v>-2.3793497820659759E-2</v>
      </c>
      <c r="F26" s="14">
        <v>-2.7633623799744655E-2</v>
      </c>
      <c r="G26" s="14">
        <v>-1.5189430744336541E-2</v>
      </c>
      <c r="H26" s="14">
        <v>-1.7624067366221043E-2</v>
      </c>
    </row>
    <row r="27" spans="1:22" x14ac:dyDescent="0.25">
      <c r="A27" s="24"/>
      <c r="B27" s="29">
        <v>19</v>
      </c>
      <c r="C27" s="30">
        <v>1.3808139534883721E-2</v>
      </c>
      <c r="D27" s="28">
        <v>35326</v>
      </c>
      <c r="E27" s="14">
        <v>-2.3354592910868388E-2</v>
      </c>
      <c r="F27" s="14">
        <v>-2.7456812721656454E-2</v>
      </c>
      <c r="G27" s="14">
        <v>-1.5079946497645769E-2</v>
      </c>
      <c r="H27" s="14">
        <v>-1.7161827687755048E-2</v>
      </c>
    </row>
    <row r="28" spans="1:22" x14ac:dyDescent="0.25">
      <c r="A28" s="24"/>
      <c r="B28" s="29">
        <v>20</v>
      </c>
      <c r="C28" s="30">
        <v>1.4534883720930232E-2</v>
      </c>
      <c r="D28" s="28">
        <v>35327</v>
      </c>
      <c r="E28" s="14">
        <v>-2.3122376285326984E-2</v>
      </c>
      <c r="F28" s="14">
        <v>-2.7283276630535203E-2</v>
      </c>
      <c r="G28" s="14">
        <v>-1.505917127711609E-2</v>
      </c>
      <c r="H28" s="14">
        <v>-1.7004772852653251E-2</v>
      </c>
    </row>
    <row r="29" spans="1:22" x14ac:dyDescent="0.25">
      <c r="B29" s="29">
        <v>21</v>
      </c>
      <c r="C29" s="30">
        <v>1.5261627906976744E-2</v>
      </c>
      <c r="D29" s="28">
        <v>35328</v>
      </c>
      <c r="E29" s="14">
        <v>-2.2930775100925338E-2</v>
      </c>
      <c r="F29" s="14">
        <v>-2.6884912221185608E-2</v>
      </c>
      <c r="G29" s="14">
        <v>-1.5036768741082285E-2</v>
      </c>
      <c r="H29" s="14">
        <v>-1.6791214475007421E-2</v>
      </c>
    </row>
    <row r="30" spans="1:22" x14ac:dyDescent="0.25">
      <c r="B30" s="29">
        <v>22</v>
      </c>
      <c r="C30" s="30">
        <v>1.5988372093023256E-2</v>
      </c>
      <c r="D30" s="28">
        <v>35331</v>
      </c>
      <c r="E30" s="14">
        <v>-2.2910099719923527E-2</v>
      </c>
      <c r="F30" s="14">
        <v>-2.6242368788156112E-2</v>
      </c>
      <c r="G30" s="14">
        <v>-1.501720721660238E-2</v>
      </c>
      <c r="H30" s="14">
        <v>-1.6723955067473772E-2</v>
      </c>
    </row>
    <row r="31" spans="1:22" x14ac:dyDescent="0.25">
      <c r="B31" s="29">
        <v>23</v>
      </c>
      <c r="C31" s="30">
        <v>1.6715116279069766E-2</v>
      </c>
      <c r="D31" s="28">
        <v>35332</v>
      </c>
      <c r="E31" s="14">
        <v>-2.2862534475250218E-2</v>
      </c>
      <c r="F31" s="14">
        <v>-2.5958953292253395E-2</v>
      </c>
      <c r="G31" s="14">
        <v>-1.4928533615669481E-2</v>
      </c>
      <c r="H31" s="14">
        <v>-1.6662861114053486E-2</v>
      </c>
    </row>
    <row r="32" spans="1:22" x14ac:dyDescent="0.25">
      <c r="B32" s="29">
        <v>24</v>
      </c>
      <c r="C32" s="30">
        <v>1.7441860465116279E-2</v>
      </c>
      <c r="D32" s="28">
        <v>35333</v>
      </c>
      <c r="E32" s="14">
        <v>-2.2673829506567045E-2</v>
      </c>
      <c r="F32" s="14">
        <v>-2.5909144976588805E-2</v>
      </c>
      <c r="G32" s="14">
        <v>-1.4511745292176248E-2</v>
      </c>
      <c r="H32" s="14">
        <v>-1.6466651722866921E-2</v>
      </c>
    </row>
    <row r="33" spans="2:19" x14ac:dyDescent="0.25">
      <c r="B33" s="29">
        <v>25</v>
      </c>
      <c r="C33" s="30">
        <v>1.8168604651162792E-2</v>
      </c>
      <c r="D33" s="28">
        <v>35334</v>
      </c>
      <c r="E33" s="14">
        <v>-2.2646148964860724E-2</v>
      </c>
      <c r="F33" s="14">
        <v>-2.5849731663685094E-2</v>
      </c>
      <c r="G33" s="14">
        <v>-1.424291537743716E-2</v>
      </c>
      <c r="H33" s="14">
        <v>-1.6142681618765975E-2</v>
      </c>
    </row>
    <row r="34" spans="2:19" x14ac:dyDescent="0.25">
      <c r="B34" s="29">
        <v>26</v>
      </c>
      <c r="C34" s="30">
        <v>1.8895348837209301E-2</v>
      </c>
      <c r="D34" s="28">
        <v>35335</v>
      </c>
      <c r="E34" s="14">
        <v>-2.2248357612654868E-2</v>
      </c>
      <c r="F34" s="14">
        <v>-2.5631073543787131E-2</v>
      </c>
      <c r="G34" s="14">
        <v>-1.4006497310539379E-2</v>
      </c>
      <c r="H34" s="14">
        <v>-1.6118575952264447E-2</v>
      </c>
    </row>
    <row r="35" spans="2:19" x14ac:dyDescent="0.25">
      <c r="B35" s="29">
        <v>27</v>
      </c>
      <c r="C35" s="30">
        <v>1.9622093023255814E-2</v>
      </c>
      <c r="D35" s="28">
        <v>35338</v>
      </c>
      <c r="E35" s="14">
        <v>-2.1873043444646689E-2</v>
      </c>
      <c r="F35" s="14">
        <v>-2.5509493694076624E-2</v>
      </c>
      <c r="G35" s="14">
        <v>-1.3896703049398051E-2</v>
      </c>
      <c r="H35" s="14">
        <v>-1.6007599561470645E-2</v>
      </c>
    </row>
    <row r="36" spans="2:19" x14ac:dyDescent="0.25">
      <c r="B36" s="29">
        <v>28</v>
      </c>
      <c r="C36" s="30">
        <v>2.0348837209302327E-2</v>
      </c>
      <c r="D36" s="28">
        <v>35339</v>
      </c>
      <c r="E36" s="14">
        <v>-2.1788374414497325E-2</v>
      </c>
      <c r="F36" s="14">
        <v>-2.5452423767073462E-2</v>
      </c>
      <c r="G36" s="14">
        <v>-1.3874913943758949E-2</v>
      </c>
      <c r="H36" s="14">
        <v>-1.5963339695838675E-2</v>
      </c>
    </row>
    <row r="37" spans="2:19" x14ac:dyDescent="0.25">
      <c r="B37" s="29">
        <v>29</v>
      </c>
      <c r="C37" s="30">
        <v>2.1075581395348836E-2</v>
      </c>
      <c r="D37" s="28">
        <v>35340</v>
      </c>
      <c r="E37" s="14">
        <v>-2.1591295477728645E-2</v>
      </c>
      <c r="F37" s="14">
        <v>-2.4766724656017702E-2</v>
      </c>
      <c r="G37" s="14">
        <v>-1.367057781713521E-2</v>
      </c>
      <c r="H37" s="14">
        <v>-1.5728502973472034E-2</v>
      </c>
    </row>
    <row r="38" spans="2:19" x14ac:dyDescent="0.25">
      <c r="B38" s="29">
        <v>30</v>
      </c>
      <c r="C38" s="30">
        <v>2.1802325581395349E-2</v>
      </c>
      <c r="D38" s="28">
        <v>35341</v>
      </c>
      <c r="E38" s="14">
        <v>-2.1556491200838246E-2</v>
      </c>
      <c r="F38" s="14">
        <v>-2.4437902857432969E-2</v>
      </c>
      <c r="G38" s="14">
        <v>-1.3571099836935829E-2</v>
      </c>
      <c r="H38" s="14">
        <v>-1.5478114118759214E-2</v>
      </c>
      <c r="K38" s="23">
        <v>250</v>
      </c>
      <c r="L38" s="23" t="s">
        <v>89</v>
      </c>
      <c r="M38" s="23" t="s">
        <v>86</v>
      </c>
      <c r="O38" s="23" t="s">
        <v>91</v>
      </c>
      <c r="Q38" s="23">
        <v>250</v>
      </c>
      <c r="R38" s="23" t="s">
        <v>90</v>
      </c>
    </row>
    <row r="39" spans="2:19" x14ac:dyDescent="0.25">
      <c r="B39" s="29">
        <v>31</v>
      </c>
      <c r="C39" s="30">
        <v>2.2529069767441859E-2</v>
      </c>
      <c r="D39" s="28">
        <v>35342</v>
      </c>
      <c r="E39" s="14">
        <v>-2.1516153738043831E-2</v>
      </c>
      <c r="F39" s="14">
        <v>-2.4390592302143466E-2</v>
      </c>
      <c r="G39" s="14">
        <v>-1.3538256672030013E-2</v>
      </c>
      <c r="H39" s="14">
        <v>-1.5465725221511951E-2</v>
      </c>
      <c r="K39" s="23">
        <v>250</v>
      </c>
      <c r="L39" s="23" t="s">
        <v>89</v>
      </c>
      <c r="M39" s="23" t="s">
        <v>87</v>
      </c>
      <c r="O39" s="23" t="s">
        <v>96</v>
      </c>
      <c r="Q39" s="23">
        <v>20</v>
      </c>
      <c r="R39" s="23" t="s">
        <v>90</v>
      </c>
    </row>
    <row r="40" spans="2:19" x14ac:dyDescent="0.25">
      <c r="B40" s="29">
        <v>32</v>
      </c>
      <c r="C40" s="30">
        <v>2.3255813953488372E-2</v>
      </c>
      <c r="D40" s="28">
        <v>35345</v>
      </c>
      <c r="E40" s="14">
        <v>-2.1443945600490677E-2</v>
      </c>
      <c r="F40" s="14">
        <v>-2.4077348160675083E-2</v>
      </c>
      <c r="G40" s="14">
        <v>-1.3409896957855771E-2</v>
      </c>
      <c r="H40" s="14">
        <v>-1.5366123033740632E-2</v>
      </c>
      <c r="M40" s="23" t="s">
        <v>88</v>
      </c>
    </row>
    <row r="41" spans="2:19" x14ac:dyDescent="0.25">
      <c r="B41" s="29">
        <v>33</v>
      </c>
      <c r="C41" s="30">
        <v>2.3982558139534885E-2</v>
      </c>
      <c r="D41" s="28">
        <v>35346</v>
      </c>
      <c r="E41" s="14">
        <v>-2.1417571729615781E-2</v>
      </c>
      <c r="F41" s="14">
        <v>-2.4070517390319623E-2</v>
      </c>
      <c r="G41" s="14">
        <v>-1.3360851618509639E-2</v>
      </c>
      <c r="H41" s="14">
        <v>-1.5332759549220309E-2</v>
      </c>
    </row>
    <row r="42" spans="2:19" x14ac:dyDescent="0.25">
      <c r="B42" s="29">
        <v>34</v>
      </c>
      <c r="C42" s="30">
        <v>2.4709302325581394E-2</v>
      </c>
      <c r="D42" s="28">
        <v>35347</v>
      </c>
      <c r="E42" s="14">
        <v>-2.0997886361970752E-2</v>
      </c>
      <c r="F42" s="14">
        <v>-2.3836055771478182E-2</v>
      </c>
      <c r="G42" s="14">
        <v>-1.3353617308992538E-2</v>
      </c>
      <c r="H42" s="14">
        <v>-1.5304906036464038E-2</v>
      </c>
      <c r="O42" s="23" t="s">
        <v>92</v>
      </c>
      <c r="R42" s="23" t="s">
        <v>94</v>
      </c>
    </row>
    <row r="43" spans="2:19" x14ac:dyDescent="0.25">
      <c r="B43" s="29">
        <v>35</v>
      </c>
      <c r="C43" s="30">
        <v>2.5436046511627907E-2</v>
      </c>
      <c r="D43" s="28">
        <v>35348</v>
      </c>
      <c r="E43" s="14">
        <v>-2.0957705834610985E-2</v>
      </c>
      <c r="F43" s="14">
        <v>-2.3767630818527619E-2</v>
      </c>
      <c r="G43" s="14">
        <v>-1.3325223930111707E-2</v>
      </c>
      <c r="H43" s="14">
        <v>-1.50778588065003E-2</v>
      </c>
      <c r="O43" s="23" t="s">
        <v>93</v>
      </c>
      <c r="S43" s="23" t="s">
        <v>95</v>
      </c>
    </row>
    <row r="44" spans="2:19" x14ac:dyDescent="0.25">
      <c r="B44" s="29">
        <v>36</v>
      </c>
      <c r="C44" s="30">
        <v>2.616279069767442E-2</v>
      </c>
      <c r="D44" s="28">
        <v>35349</v>
      </c>
      <c r="E44" s="14">
        <v>-2.0306258322236981E-2</v>
      </c>
      <c r="F44" s="14">
        <v>-2.3498244808241253E-2</v>
      </c>
      <c r="G44" s="14">
        <v>-1.3290629134498078E-2</v>
      </c>
      <c r="H44" s="14">
        <v>-1.5028123481540367E-2</v>
      </c>
    </row>
    <row r="45" spans="2:19" x14ac:dyDescent="0.25">
      <c r="B45" s="29">
        <v>37</v>
      </c>
      <c r="C45" s="30">
        <v>2.6889534883720929E-2</v>
      </c>
      <c r="D45" s="28">
        <v>35352</v>
      </c>
      <c r="E45" s="14">
        <v>-2.0024099737026679E-2</v>
      </c>
      <c r="F45" s="14">
        <v>-2.2968157434891667E-2</v>
      </c>
      <c r="G45" s="14">
        <v>-1.3267813267813233E-2</v>
      </c>
      <c r="H45" s="14">
        <v>-1.4934386026672099E-2</v>
      </c>
    </row>
    <row r="46" spans="2:19" x14ac:dyDescent="0.25">
      <c r="B46" s="29">
        <v>38</v>
      </c>
      <c r="C46" s="30">
        <v>2.7616279069767442E-2</v>
      </c>
      <c r="D46" s="28">
        <v>35353</v>
      </c>
      <c r="E46" s="14">
        <v>-1.997860532942819E-2</v>
      </c>
      <c r="F46" s="14">
        <v>-2.2390301659391709E-2</v>
      </c>
      <c r="G46" s="14">
        <v>-1.3200848958400457E-2</v>
      </c>
      <c r="H46" s="14">
        <v>-1.4922793378550247E-2</v>
      </c>
    </row>
    <row r="47" spans="2:19" x14ac:dyDescent="0.25">
      <c r="B47" s="29">
        <v>39</v>
      </c>
      <c r="C47" s="30">
        <v>2.8343023255813952E-2</v>
      </c>
      <c r="D47" s="28">
        <v>35354</v>
      </c>
      <c r="E47" s="14">
        <v>-1.9923708623365899E-2</v>
      </c>
      <c r="F47" s="14">
        <v>-2.2380591357088697E-2</v>
      </c>
      <c r="G47" s="14">
        <v>-1.2706229992612617E-2</v>
      </c>
      <c r="H47" s="14">
        <v>-1.4829932675245528E-2</v>
      </c>
    </row>
    <row r="48" spans="2:19" x14ac:dyDescent="0.25">
      <c r="B48" s="29">
        <v>40</v>
      </c>
      <c r="C48" s="30">
        <v>2.9069767441860465E-2</v>
      </c>
      <c r="D48" s="28">
        <v>35355</v>
      </c>
      <c r="E48" s="14">
        <v>-1.978021978021971E-2</v>
      </c>
      <c r="F48" s="14">
        <v>-2.2343384889284557E-2</v>
      </c>
      <c r="G48" s="14">
        <v>-1.268345769870971E-2</v>
      </c>
      <c r="H48" s="14">
        <v>-1.4448254057059896E-2</v>
      </c>
    </row>
    <row r="49" spans="2:8" x14ac:dyDescent="0.25">
      <c r="B49" s="29">
        <v>41</v>
      </c>
      <c r="C49" s="30">
        <v>2.9796511627906978E-2</v>
      </c>
      <c r="D49" s="28">
        <v>35356</v>
      </c>
      <c r="E49" s="14">
        <v>-1.9315589353612106E-2</v>
      </c>
      <c r="F49" s="14">
        <v>-2.2271239978941537E-2</v>
      </c>
      <c r="G49" s="14">
        <v>-1.262403165949566E-2</v>
      </c>
      <c r="H49" s="14">
        <v>-1.4286067638099366E-2</v>
      </c>
    </row>
    <row r="50" spans="2:8" x14ac:dyDescent="0.25">
      <c r="B50" s="29">
        <v>42</v>
      </c>
      <c r="C50" s="30">
        <v>3.0523255813953487E-2</v>
      </c>
      <c r="D50" s="28">
        <v>35359</v>
      </c>
      <c r="E50" s="14">
        <v>-1.9306228469318065E-2</v>
      </c>
      <c r="F50" s="14">
        <v>-2.2214718155285862E-2</v>
      </c>
      <c r="G50" s="14">
        <v>-1.2420221353047767E-2</v>
      </c>
      <c r="H50" s="14">
        <v>-1.4207154052604466E-2</v>
      </c>
    </row>
    <row r="51" spans="2:8" x14ac:dyDescent="0.25">
      <c r="B51" s="29">
        <v>43</v>
      </c>
      <c r="C51" s="30">
        <v>3.125E-2</v>
      </c>
      <c r="D51" s="28">
        <v>35360</v>
      </c>
      <c r="E51" s="14">
        <v>-1.9175244727694496E-2</v>
      </c>
      <c r="F51" s="14">
        <v>-2.192122616289427E-2</v>
      </c>
      <c r="G51" s="14">
        <v>-1.2390065822224683E-2</v>
      </c>
      <c r="H51" s="14">
        <v>-1.4169707184837697E-2</v>
      </c>
    </row>
    <row r="52" spans="2:8" x14ac:dyDescent="0.25">
      <c r="B52" s="29">
        <v>44</v>
      </c>
      <c r="C52" s="30">
        <v>3.1976744186046513E-2</v>
      </c>
      <c r="D52" s="28">
        <v>35361</v>
      </c>
      <c r="E52" s="14">
        <v>-1.9126820934314837E-2</v>
      </c>
      <c r="F52" s="14">
        <v>-2.1761385240866904E-2</v>
      </c>
      <c r="G52" s="14">
        <v>-1.2323265665401317E-2</v>
      </c>
      <c r="H52" s="14">
        <v>-1.4127046209548612E-2</v>
      </c>
    </row>
    <row r="53" spans="2:8" x14ac:dyDescent="0.25">
      <c r="B53" s="29">
        <v>45</v>
      </c>
      <c r="C53" s="30">
        <v>3.2703488372093026E-2</v>
      </c>
      <c r="D53" s="28">
        <v>35362</v>
      </c>
      <c r="E53" s="14">
        <v>-1.8985932597915256E-2</v>
      </c>
      <c r="F53" s="14">
        <v>-2.17028380634392E-2</v>
      </c>
      <c r="G53" s="14">
        <v>-1.2229102167182759E-2</v>
      </c>
      <c r="H53" s="14">
        <v>-1.4070864102485703E-2</v>
      </c>
    </row>
    <row r="54" spans="2:8" x14ac:dyDescent="0.25">
      <c r="B54" s="29">
        <v>46</v>
      </c>
      <c r="C54" s="30">
        <v>3.3430232558139532E-2</v>
      </c>
      <c r="D54" s="28">
        <v>35363</v>
      </c>
      <c r="E54" s="14">
        <v>-1.8967966024064586E-2</v>
      </c>
      <c r="F54" s="14">
        <v>-2.1657104460639842E-2</v>
      </c>
      <c r="G54" s="14">
        <v>-1.2205370672259019E-2</v>
      </c>
      <c r="H54" s="14">
        <v>-1.4012533776008019E-2</v>
      </c>
    </row>
    <row r="55" spans="2:8" x14ac:dyDescent="0.25">
      <c r="B55" s="29">
        <v>47</v>
      </c>
      <c r="C55" s="30">
        <v>3.4156976744186045E-2</v>
      </c>
      <c r="D55" s="28">
        <v>35366</v>
      </c>
      <c r="E55" s="14">
        <v>-1.8509949097639922E-2</v>
      </c>
      <c r="F55" s="14">
        <v>-2.1655264646880279E-2</v>
      </c>
      <c r="G55" s="14">
        <v>-1.2193263222069817E-2</v>
      </c>
      <c r="H55" s="14">
        <v>-1.400847328662538E-2</v>
      </c>
    </row>
    <row r="56" spans="2:8" x14ac:dyDescent="0.25">
      <c r="B56" s="29">
        <v>48</v>
      </c>
      <c r="C56" s="30">
        <v>3.4883720930232558E-2</v>
      </c>
      <c r="D56" s="28">
        <v>35367</v>
      </c>
      <c r="E56" s="14">
        <v>-1.8409588369126428E-2</v>
      </c>
      <c r="F56" s="14">
        <v>-2.1565522820457872E-2</v>
      </c>
      <c r="G56" s="14">
        <v>-1.2111783987999392E-2</v>
      </c>
      <c r="H56" s="14">
        <v>-1.398256968091607E-2</v>
      </c>
    </row>
    <row r="57" spans="2:8" x14ac:dyDescent="0.25">
      <c r="B57" s="29">
        <v>49</v>
      </c>
      <c r="C57" s="30">
        <v>3.5610465116279071E-2</v>
      </c>
      <c r="D57" s="28">
        <v>35368</v>
      </c>
      <c r="E57" s="14">
        <v>-1.8384879725085956E-2</v>
      </c>
      <c r="F57" s="14">
        <v>-2.1462716174595275E-2</v>
      </c>
      <c r="G57" s="14">
        <v>-1.2058257827808783E-2</v>
      </c>
      <c r="H57" s="14">
        <v>-1.3921154919278478E-2</v>
      </c>
    </row>
    <row r="58" spans="2:8" x14ac:dyDescent="0.25">
      <c r="B58" s="29">
        <v>50</v>
      </c>
      <c r="C58" s="30">
        <v>3.6337209302325583E-2</v>
      </c>
      <c r="D58" s="28">
        <v>35369</v>
      </c>
      <c r="E58" s="14">
        <v>-1.8269048603352211E-2</v>
      </c>
      <c r="F58" s="14">
        <v>-2.1054682335914676E-2</v>
      </c>
      <c r="G58" s="14">
        <v>-1.2004595060310153E-2</v>
      </c>
      <c r="H58" s="14">
        <v>-1.3825691290020004E-2</v>
      </c>
    </row>
    <row r="59" spans="2:8" x14ac:dyDescent="0.25">
      <c r="B59" s="29">
        <v>51</v>
      </c>
      <c r="C59" s="30">
        <v>3.7063953488372096E-2</v>
      </c>
      <c r="D59" s="28">
        <v>35370</v>
      </c>
      <c r="E59" s="14">
        <v>-1.8087855297157729E-2</v>
      </c>
      <c r="F59" s="14">
        <v>-2.1024667931688779E-2</v>
      </c>
      <c r="G59" s="14">
        <v>-1.1960505659998288E-2</v>
      </c>
      <c r="H59" s="14">
        <v>-1.3759246620353105E-2</v>
      </c>
    </row>
    <row r="60" spans="2:8" x14ac:dyDescent="0.25">
      <c r="B60" s="29">
        <v>52</v>
      </c>
      <c r="C60" s="30">
        <v>3.7790697674418602E-2</v>
      </c>
      <c r="D60" s="28">
        <v>35373</v>
      </c>
      <c r="E60" s="14">
        <v>-1.8022687852628505E-2</v>
      </c>
      <c r="F60" s="14">
        <v>-2.0969347063515054E-2</v>
      </c>
      <c r="G60" s="14">
        <v>-1.1800745838165705E-2</v>
      </c>
      <c r="H60" s="14">
        <v>-1.3638751145628181E-2</v>
      </c>
    </row>
    <row r="61" spans="2:8" x14ac:dyDescent="0.25">
      <c r="B61" s="29">
        <v>53</v>
      </c>
      <c r="C61" s="30">
        <v>3.8517441860465115E-2</v>
      </c>
      <c r="D61" s="28">
        <v>35374</v>
      </c>
      <c r="E61" s="14">
        <v>-1.7852534778426743E-2</v>
      </c>
      <c r="F61" s="14">
        <v>-2.0936148175226932E-2</v>
      </c>
      <c r="G61" s="14">
        <v>-1.1660447761193904E-2</v>
      </c>
      <c r="H61" s="14">
        <v>-1.3267542722285719E-2</v>
      </c>
    </row>
    <row r="62" spans="2:8" x14ac:dyDescent="0.25">
      <c r="B62" s="29">
        <v>54</v>
      </c>
      <c r="C62" s="30">
        <v>3.9244186046511628E-2</v>
      </c>
      <c r="D62" s="28">
        <v>35375</v>
      </c>
      <c r="E62" s="14">
        <v>-1.7839830607713658E-2</v>
      </c>
      <c r="F62" s="14">
        <v>-2.0928021085262039E-2</v>
      </c>
      <c r="G62" s="14">
        <v>-1.1465664896959216E-2</v>
      </c>
      <c r="H62" s="14">
        <v>-1.3110593554770976E-2</v>
      </c>
    </row>
    <row r="63" spans="2:8" x14ac:dyDescent="0.25">
      <c r="B63" s="29">
        <v>55</v>
      </c>
      <c r="C63" s="30">
        <v>3.9970930232558141E-2</v>
      </c>
      <c r="D63" s="28">
        <v>35376</v>
      </c>
      <c r="E63" s="14">
        <v>-1.7821436644057775E-2</v>
      </c>
      <c r="F63" s="14">
        <v>-2.0900625386571337E-2</v>
      </c>
      <c r="G63" s="14">
        <v>-1.1391290840366608E-2</v>
      </c>
      <c r="H63" s="14">
        <v>-1.3063297045097323E-2</v>
      </c>
    </row>
    <row r="64" spans="2:8" x14ac:dyDescent="0.25">
      <c r="B64" s="29">
        <v>56</v>
      </c>
      <c r="C64" s="30">
        <v>4.0697674418604654E-2</v>
      </c>
      <c r="D64" s="28">
        <v>35377</v>
      </c>
      <c r="E64" s="14">
        <v>-1.7489674652000242E-2</v>
      </c>
      <c r="F64" s="14">
        <v>-2.0822351080653667E-2</v>
      </c>
      <c r="G64" s="14">
        <v>-1.1198395453785759E-2</v>
      </c>
      <c r="H64" s="14">
        <v>-1.2876792397340676E-2</v>
      </c>
    </row>
    <row r="65" spans="2:8" x14ac:dyDescent="0.25">
      <c r="B65" s="29">
        <v>57</v>
      </c>
      <c r="C65" s="30">
        <v>4.142441860465116E-2</v>
      </c>
      <c r="D65" s="28">
        <v>35380</v>
      </c>
      <c r="E65" s="14">
        <v>-1.7400389800879879E-2</v>
      </c>
      <c r="F65" s="14">
        <v>-2.0599940515812931E-2</v>
      </c>
      <c r="G65" s="14">
        <v>-1.1191629455144514E-2</v>
      </c>
      <c r="H65" s="14">
        <v>-1.2840248428872237E-2</v>
      </c>
    </row>
    <row r="66" spans="2:8" x14ac:dyDescent="0.25">
      <c r="B66" s="29">
        <v>58</v>
      </c>
      <c r="C66" s="30">
        <v>4.2151162790697673E-2</v>
      </c>
      <c r="D66" s="28">
        <v>35381</v>
      </c>
      <c r="E66" s="14">
        <v>-1.7280904343410453E-2</v>
      </c>
      <c r="F66" s="14">
        <v>-2.0508823001890053E-2</v>
      </c>
      <c r="G66" s="14">
        <v>-1.0954533368784936E-2</v>
      </c>
      <c r="H66" s="14">
        <v>-1.2800069373508284E-2</v>
      </c>
    </row>
    <row r="67" spans="2:8" x14ac:dyDescent="0.25">
      <c r="B67" s="29">
        <v>59</v>
      </c>
      <c r="C67" s="30">
        <v>4.2877906976744186E-2</v>
      </c>
      <c r="D67" s="28">
        <v>35382</v>
      </c>
      <c r="E67" s="14">
        <v>-1.7209484836594124E-2</v>
      </c>
      <c r="F67" s="14">
        <v>-2.0112672697736089E-2</v>
      </c>
      <c r="G67" s="14">
        <v>-1.0887573964496911E-2</v>
      </c>
      <c r="H67" s="14">
        <v>-1.2705427524377533E-2</v>
      </c>
    </row>
    <row r="68" spans="2:8" x14ac:dyDescent="0.25">
      <c r="B68" s="29">
        <v>60</v>
      </c>
      <c r="C68" s="30">
        <v>4.3604651162790699E-2</v>
      </c>
      <c r="D68" s="28">
        <v>35383</v>
      </c>
      <c r="E68" s="14">
        <v>-1.7165377449917085E-2</v>
      </c>
      <c r="F68" s="14">
        <v>-1.9983672618634096E-2</v>
      </c>
      <c r="G68" s="14">
        <v>-1.0863719479402012E-2</v>
      </c>
      <c r="H68" s="14">
        <v>-1.2589483012973624E-2</v>
      </c>
    </row>
    <row r="69" spans="2:8" x14ac:dyDescent="0.25">
      <c r="B69" s="29">
        <v>61</v>
      </c>
      <c r="C69" s="30">
        <v>4.4331395348837212E-2</v>
      </c>
      <c r="D69" s="28">
        <v>35384</v>
      </c>
      <c r="E69" s="14">
        <v>-1.7045108662567698E-2</v>
      </c>
      <c r="F69" s="14">
        <v>-1.9866404572094098E-2</v>
      </c>
      <c r="G69" s="14">
        <v>-1.0822908332590586E-2</v>
      </c>
      <c r="H69" s="14">
        <v>-1.251385439857886E-2</v>
      </c>
    </row>
    <row r="70" spans="2:8" x14ac:dyDescent="0.25">
      <c r="B70" s="29">
        <v>62</v>
      </c>
      <c r="C70" s="30">
        <v>4.5058139534883718E-2</v>
      </c>
      <c r="D70" s="28">
        <v>35387</v>
      </c>
      <c r="E70" s="14">
        <v>-1.7039622254157227E-2</v>
      </c>
      <c r="F70" s="14">
        <v>-1.9617869134666122E-2</v>
      </c>
      <c r="G70" s="14">
        <v>-1.0784817218357556E-2</v>
      </c>
      <c r="H70" s="14">
        <v>-1.2490934010259825E-2</v>
      </c>
    </row>
    <row r="71" spans="2:8" x14ac:dyDescent="0.25">
      <c r="B71" s="29">
        <v>63</v>
      </c>
      <c r="C71" s="30">
        <v>4.5784883720930231E-2</v>
      </c>
      <c r="D71" s="28">
        <v>35388</v>
      </c>
      <c r="E71" s="14">
        <v>-1.6942371932070377E-2</v>
      </c>
      <c r="F71" s="14">
        <v>-1.9493416159936938E-2</v>
      </c>
      <c r="G71" s="14">
        <v>-1.0783259660444466E-2</v>
      </c>
      <c r="H71" s="14">
        <v>-1.2489761360143636E-2</v>
      </c>
    </row>
    <row r="72" spans="2:8" x14ac:dyDescent="0.25">
      <c r="B72" s="29">
        <v>64</v>
      </c>
      <c r="C72" s="30">
        <v>4.6511627906976744E-2</v>
      </c>
      <c r="D72" s="28">
        <v>35389</v>
      </c>
      <c r="E72" s="14">
        <v>-1.6875923190546649E-2</v>
      </c>
      <c r="F72" s="14">
        <v>-1.9290307216003777E-2</v>
      </c>
      <c r="G72" s="14">
        <v>-1.0729239297477267E-2</v>
      </c>
      <c r="H72" s="14">
        <v>-1.2281978872507104E-2</v>
      </c>
    </row>
    <row r="73" spans="2:8" x14ac:dyDescent="0.25">
      <c r="B73" s="29">
        <v>65</v>
      </c>
      <c r="C73" s="30">
        <v>4.7238372093023256E-2</v>
      </c>
      <c r="D73" s="28">
        <v>35390</v>
      </c>
      <c r="E73" s="14">
        <v>-1.6758997265361453E-2</v>
      </c>
      <c r="F73" s="14">
        <v>-1.928189385068213E-2</v>
      </c>
      <c r="G73" s="14">
        <v>-1.0719754977029039E-2</v>
      </c>
      <c r="H73" s="14">
        <v>-1.2078333063137416E-2</v>
      </c>
    </row>
    <row r="74" spans="2:8" x14ac:dyDescent="0.25">
      <c r="B74" s="29">
        <v>66</v>
      </c>
      <c r="C74" s="30">
        <v>4.7965116279069769E-2</v>
      </c>
      <c r="D74" s="28">
        <v>35391</v>
      </c>
      <c r="E74" s="14">
        <v>-1.6746031746031842E-2</v>
      </c>
      <c r="F74" s="14">
        <v>-1.9279718386136069E-2</v>
      </c>
      <c r="G74" s="14">
        <v>-1.0621193466833656E-2</v>
      </c>
      <c r="H74" s="14">
        <v>-1.1923128087939008E-2</v>
      </c>
    </row>
    <row r="75" spans="2:8" x14ac:dyDescent="0.25">
      <c r="B75" s="29">
        <v>67</v>
      </c>
      <c r="C75" s="30">
        <v>4.8691860465116282E-2</v>
      </c>
      <c r="D75" s="28">
        <v>35394</v>
      </c>
      <c r="E75" s="14">
        <v>-1.6611842105263119E-2</v>
      </c>
      <c r="F75" s="14">
        <v>-1.917585241875619E-2</v>
      </c>
      <c r="G75" s="14">
        <v>-1.0587711209689044E-2</v>
      </c>
      <c r="H75" s="14">
        <v>-1.1855329968052365E-2</v>
      </c>
    </row>
    <row r="76" spans="2:8" x14ac:dyDescent="0.25">
      <c r="B76" s="29">
        <v>68</v>
      </c>
      <c r="C76" s="30">
        <v>4.9418604651162788E-2</v>
      </c>
      <c r="D76" s="28">
        <v>35395</v>
      </c>
      <c r="E76" s="14">
        <v>-1.6587699140713785E-2</v>
      </c>
      <c r="F76" s="14">
        <v>-1.9069110277599832E-2</v>
      </c>
      <c r="G76" s="14">
        <v>-1.0581121934833626E-2</v>
      </c>
      <c r="H76" s="14">
        <v>-1.175424735786579E-2</v>
      </c>
    </row>
    <row r="77" spans="2:8" x14ac:dyDescent="0.25">
      <c r="B77" s="29">
        <v>69</v>
      </c>
      <c r="C77" s="30">
        <v>5.0145348837209301E-2</v>
      </c>
      <c r="D77" s="28">
        <v>35396</v>
      </c>
      <c r="E77" s="14">
        <v>-1.6425435030086311E-2</v>
      </c>
      <c r="F77" s="14">
        <v>-1.9066377468023199E-2</v>
      </c>
      <c r="G77" s="14">
        <v>-1.0530910678234418E-2</v>
      </c>
      <c r="H77" s="14">
        <v>-1.1728421079418606E-2</v>
      </c>
    </row>
    <row r="78" spans="2:8" x14ac:dyDescent="0.25">
      <c r="B78" s="29">
        <v>70</v>
      </c>
      <c r="C78" s="30">
        <v>5.0872093023255814E-2</v>
      </c>
      <c r="D78" s="28">
        <v>35397</v>
      </c>
      <c r="E78" s="14">
        <v>-1.639556456832203E-2</v>
      </c>
      <c r="F78" s="14">
        <v>-1.9000473445289212E-2</v>
      </c>
      <c r="G78" s="14">
        <v>-1.0346379827033458E-2</v>
      </c>
      <c r="H78" s="14">
        <v>-1.1717740921394682E-2</v>
      </c>
    </row>
    <row r="79" spans="2:8" x14ac:dyDescent="0.25">
      <c r="B79" s="29">
        <v>71</v>
      </c>
      <c r="C79" s="30">
        <v>5.1598837209302327E-2</v>
      </c>
      <c r="D79" s="28">
        <v>35398</v>
      </c>
      <c r="E79" s="14">
        <v>-1.639346397569752E-2</v>
      </c>
      <c r="F79" s="14">
        <v>-1.8907325457793944E-2</v>
      </c>
      <c r="G79" s="14">
        <v>-1.0335759465880723E-2</v>
      </c>
      <c r="H79" s="14">
        <v>-1.170618589249748E-2</v>
      </c>
    </row>
    <row r="80" spans="2:8" x14ac:dyDescent="0.25">
      <c r="B80" s="29">
        <v>72</v>
      </c>
      <c r="C80" s="30">
        <v>5.232558139534884E-2</v>
      </c>
      <c r="D80" s="28">
        <v>35401</v>
      </c>
      <c r="E80" s="14">
        <v>-1.6205280650688381E-2</v>
      </c>
      <c r="F80" s="14">
        <v>-1.8655287488374639E-2</v>
      </c>
      <c r="G80" s="14">
        <v>-1.0301719479365423E-2</v>
      </c>
      <c r="H80" s="14">
        <v>-1.1647688496863396E-2</v>
      </c>
    </row>
    <row r="81" spans="2:8" x14ac:dyDescent="0.25">
      <c r="B81" s="29">
        <v>73</v>
      </c>
      <c r="C81" s="30">
        <v>5.3052325581395346E-2</v>
      </c>
      <c r="D81" s="28">
        <v>35402</v>
      </c>
      <c r="E81" s="14">
        <v>-1.6110697087009962E-2</v>
      </c>
      <c r="F81" s="14">
        <v>-1.8637020968908291E-2</v>
      </c>
      <c r="G81" s="14">
        <v>-1.0228129713424017E-2</v>
      </c>
      <c r="H81" s="14">
        <v>-1.1569870002496298E-2</v>
      </c>
    </row>
    <row r="82" spans="2:8" x14ac:dyDescent="0.25">
      <c r="B82" s="29">
        <v>74</v>
      </c>
      <c r="C82" s="30">
        <v>5.3779069767441859E-2</v>
      </c>
      <c r="D82" s="28">
        <v>35403</v>
      </c>
      <c r="E82" s="14">
        <v>-1.609616876983111E-2</v>
      </c>
      <c r="F82" s="14">
        <v>-1.8555703907736754E-2</v>
      </c>
      <c r="G82" s="14">
        <v>-1.0179219232226977E-2</v>
      </c>
      <c r="H82" s="14">
        <v>-1.1528747415931618E-2</v>
      </c>
    </row>
    <row r="83" spans="2:8" x14ac:dyDescent="0.25">
      <c r="B83" s="29">
        <v>75</v>
      </c>
      <c r="C83" s="30">
        <v>5.4505813953488372E-2</v>
      </c>
      <c r="D83" s="28">
        <v>35404</v>
      </c>
      <c r="E83" s="14">
        <v>-1.6004259413054722E-2</v>
      </c>
      <c r="F83" s="14">
        <v>-1.8554941180836448E-2</v>
      </c>
      <c r="G83" s="14">
        <v>-1.002016298281716E-2</v>
      </c>
      <c r="H83" s="14">
        <v>-1.119110424097918E-2</v>
      </c>
    </row>
    <row r="84" spans="2:8" x14ac:dyDescent="0.25">
      <c r="B84" s="29">
        <v>76</v>
      </c>
      <c r="C84" s="30">
        <v>5.5232558139534885E-2</v>
      </c>
      <c r="D84" s="28">
        <v>35405</v>
      </c>
      <c r="E84" s="14">
        <v>-1.5991069017563864E-2</v>
      </c>
      <c r="F84" s="14">
        <v>-1.8536715746774846E-2</v>
      </c>
      <c r="G84" s="14">
        <v>-1.0019710906701729E-2</v>
      </c>
      <c r="H84" s="14">
        <v>-1.1139572058455373E-2</v>
      </c>
    </row>
    <row r="85" spans="2:8" x14ac:dyDescent="0.25">
      <c r="B85" s="29">
        <v>77</v>
      </c>
      <c r="C85" s="30">
        <v>5.5959302325581398E-2</v>
      </c>
      <c r="D85" s="28">
        <v>35408</v>
      </c>
      <c r="E85" s="14">
        <v>-1.5897802528597182E-2</v>
      </c>
      <c r="F85" s="14">
        <v>-1.8509540193931695E-2</v>
      </c>
      <c r="G85" s="14">
        <v>-9.8494599585874365E-3</v>
      </c>
      <c r="H85" s="14">
        <v>-1.1061577268132084E-2</v>
      </c>
    </row>
    <row r="86" spans="2:8" x14ac:dyDescent="0.25">
      <c r="B86" s="29">
        <v>78</v>
      </c>
      <c r="C86" s="30">
        <v>5.6686046511627904E-2</v>
      </c>
      <c r="D86" s="28">
        <v>35409</v>
      </c>
      <c r="E86" s="14">
        <v>-1.5838641188959723E-2</v>
      </c>
      <c r="F86" s="14">
        <v>-1.8379126268727508E-2</v>
      </c>
      <c r="G86" s="14">
        <v>-9.8033785654942918E-3</v>
      </c>
      <c r="H86" s="14">
        <v>-1.1026043685949815E-2</v>
      </c>
    </row>
    <row r="87" spans="2:8" x14ac:dyDescent="0.25">
      <c r="B87" s="29">
        <v>79</v>
      </c>
      <c r="C87" s="30">
        <v>5.7412790697674417E-2</v>
      </c>
      <c r="D87" s="28">
        <v>35410</v>
      </c>
      <c r="E87" s="14">
        <v>-1.5771792973865661E-2</v>
      </c>
      <c r="F87" s="14">
        <v>-1.8351843592574579E-2</v>
      </c>
      <c r="G87" s="14">
        <v>-9.7969847058182458E-3</v>
      </c>
      <c r="H87" s="14">
        <v>-1.099387903317286E-2</v>
      </c>
    </row>
    <row r="88" spans="2:8" x14ac:dyDescent="0.25">
      <c r="B88" s="29">
        <v>80</v>
      </c>
      <c r="C88" s="30">
        <v>5.8139534883720929E-2</v>
      </c>
      <c r="D88" s="28">
        <v>35411</v>
      </c>
      <c r="E88" s="14">
        <v>-1.5766199239198753E-2</v>
      </c>
      <c r="F88" s="14">
        <v>-1.8277671399796191E-2</v>
      </c>
      <c r="G88" s="14">
        <v>-9.7727145808900184E-3</v>
      </c>
      <c r="H88" s="14">
        <v>-1.0988050950620566E-2</v>
      </c>
    </row>
    <row r="89" spans="2:8" x14ac:dyDescent="0.25">
      <c r="B89" s="29">
        <v>81</v>
      </c>
      <c r="C89" s="30">
        <v>5.8866279069767442E-2</v>
      </c>
      <c r="D89" s="28">
        <v>35412</v>
      </c>
      <c r="E89" s="14">
        <v>-1.5574480325881046E-2</v>
      </c>
      <c r="F89" s="14">
        <v>-1.8251413658112225E-2</v>
      </c>
      <c r="G89" s="14">
        <v>-9.7668038408778024E-3</v>
      </c>
      <c r="H89" s="14">
        <v>-1.0898328837291874E-2</v>
      </c>
    </row>
    <row r="90" spans="2:8" x14ac:dyDescent="0.25">
      <c r="B90" s="29">
        <v>82</v>
      </c>
      <c r="C90" s="30">
        <v>5.9593023255813955E-2</v>
      </c>
      <c r="D90" s="28">
        <v>35415</v>
      </c>
      <c r="E90" s="14">
        <v>-1.5559518502006209E-2</v>
      </c>
      <c r="F90" s="14">
        <v>-1.8226858645589594E-2</v>
      </c>
      <c r="G90" s="14">
        <v>-9.632592904516124E-3</v>
      </c>
      <c r="H90" s="14">
        <v>-1.0855437416650449E-2</v>
      </c>
    </row>
    <row r="91" spans="2:8" x14ac:dyDescent="0.25">
      <c r="B91" s="29">
        <v>83</v>
      </c>
      <c r="C91" s="30">
        <v>6.0319767441860468E-2</v>
      </c>
      <c r="D91" s="28">
        <v>35416</v>
      </c>
      <c r="E91" s="14">
        <v>-1.5544453637115652E-2</v>
      </c>
      <c r="F91" s="14">
        <v>-1.8180343053405101E-2</v>
      </c>
      <c r="G91" s="14">
        <v>-9.530669917437673E-3</v>
      </c>
      <c r="H91" s="14">
        <v>-1.0722404059358759E-2</v>
      </c>
    </row>
    <row r="92" spans="2:8" x14ac:dyDescent="0.25">
      <c r="B92" s="29">
        <v>84</v>
      </c>
      <c r="C92" s="30">
        <v>6.1046511627906974E-2</v>
      </c>
      <c r="D92" s="28">
        <v>35417</v>
      </c>
      <c r="E92" s="14">
        <v>-1.5414919183365461E-2</v>
      </c>
      <c r="F92" s="14">
        <v>-1.8171036757839931E-2</v>
      </c>
      <c r="G92" s="14">
        <v>-9.4727018198784707E-3</v>
      </c>
      <c r="H92" s="14">
        <v>-1.0513283671698171E-2</v>
      </c>
    </row>
    <row r="93" spans="2:8" x14ac:dyDescent="0.25">
      <c r="B93" s="29">
        <v>85</v>
      </c>
      <c r="C93" s="30">
        <v>6.1773255813953487E-2</v>
      </c>
      <c r="D93" s="28">
        <v>35418</v>
      </c>
      <c r="E93" s="14">
        <v>-1.5397082658022643E-2</v>
      </c>
      <c r="F93" s="14">
        <v>-1.8023479188900682E-2</v>
      </c>
      <c r="G93" s="14">
        <v>-9.4522624421771173E-3</v>
      </c>
      <c r="H93" s="14">
        <v>-1.0471134547506812E-2</v>
      </c>
    </row>
    <row r="94" spans="2:8" x14ac:dyDescent="0.25">
      <c r="B94" s="29">
        <v>86</v>
      </c>
      <c r="C94" s="30">
        <v>6.25E-2</v>
      </c>
      <c r="D94" s="28">
        <v>35419</v>
      </c>
      <c r="E94" s="14">
        <v>-1.5378336331177578E-2</v>
      </c>
      <c r="F94" s="14">
        <v>-1.799254698639019E-2</v>
      </c>
      <c r="G94" s="14">
        <v>-9.4174935685410466E-3</v>
      </c>
      <c r="H94" s="14">
        <v>-1.0428168271382333E-2</v>
      </c>
    </row>
    <row r="95" spans="2:8" x14ac:dyDescent="0.25">
      <c r="B95" s="29">
        <v>87</v>
      </c>
      <c r="C95" s="30">
        <v>6.3226744186046513E-2</v>
      </c>
      <c r="D95" s="28">
        <v>35422</v>
      </c>
      <c r="E95" s="14">
        <v>-1.5229535922210213E-2</v>
      </c>
      <c r="F95" s="14">
        <v>-1.798601170388725E-2</v>
      </c>
      <c r="G95" s="14">
        <v>-9.3874010174670452E-3</v>
      </c>
      <c r="H95" s="14">
        <v>-1.0336982470156754E-2</v>
      </c>
    </row>
    <row r="96" spans="2:8" x14ac:dyDescent="0.25">
      <c r="B96" s="29">
        <v>88</v>
      </c>
      <c r="C96" s="30">
        <v>6.3953488372093026E-2</v>
      </c>
      <c r="D96" s="28">
        <v>35423</v>
      </c>
      <c r="E96" s="14">
        <v>-1.5143737166324445E-2</v>
      </c>
      <c r="F96" s="14">
        <v>-1.79322285431609E-2</v>
      </c>
      <c r="G96" s="14">
        <v>-9.3746740505149528E-3</v>
      </c>
      <c r="H96" s="14">
        <v>-1.0177808849371205E-2</v>
      </c>
    </row>
    <row r="97" spans="2:8" x14ac:dyDescent="0.25">
      <c r="B97" s="29">
        <v>89</v>
      </c>
      <c r="C97" s="30">
        <v>6.4680232558139539E-2</v>
      </c>
      <c r="D97" s="28">
        <v>35424</v>
      </c>
      <c r="E97" s="14">
        <v>-1.5070111263526864E-2</v>
      </c>
      <c r="F97" s="14">
        <v>-1.792371917172797E-2</v>
      </c>
      <c r="G97" s="14">
        <v>-9.2777201341446291E-3</v>
      </c>
      <c r="H97" s="14">
        <v>-1.0116273633001428E-2</v>
      </c>
    </row>
    <row r="98" spans="2:8" x14ac:dyDescent="0.25">
      <c r="B98" s="29">
        <v>90</v>
      </c>
      <c r="C98" s="30">
        <v>6.5406976744186052E-2</v>
      </c>
      <c r="D98" s="28">
        <v>35425</v>
      </c>
      <c r="E98" s="14">
        <v>-1.4905255238781945E-2</v>
      </c>
      <c r="F98" s="14">
        <v>-1.7896011527024025E-2</v>
      </c>
      <c r="G98" s="14">
        <v>-9.244634395614848E-3</v>
      </c>
      <c r="H98" s="14">
        <v>-1.0098203198313538E-2</v>
      </c>
    </row>
    <row r="99" spans="2:8" x14ac:dyDescent="0.25">
      <c r="B99" s="29">
        <v>91</v>
      </c>
      <c r="C99" s="30">
        <v>6.6133720930232565E-2</v>
      </c>
      <c r="D99" s="28">
        <v>35426</v>
      </c>
      <c r="E99" s="14">
        <v>-1.4871711063899395E-2</v>
      </c>
      <c r="F99" s="14">
        <v>-1.7848249597187671E-2</v>
      </c>
      <c r="G99" s="14">
        <v>-9.2107128834714169E-3</v>
      </c>
      <c r="H99" s="14">
        <v>-1.0089091146835406E-2</v>
      </c>
    </row>
    <row r="100" spans="2:8" x14ac:dyDescent="0.25">
      <c r="B100" s="29">
        <v>92</v>
      </c>
      <c r="C100" s="30">
        <v>6.6860465116279064E-2</v>
      </c>
      <c r="D100" s="28">
        <v>35429</v>
      </c>
      <c r="E100" s="14">
        <v>-1.4834621878874632E-2</v>
      </c>
      <c r="F100" s="14">
        <v>-1.7770561306181265E-2</v>
      </c>
      <c r="G100" s="14">
        <v>-9.1977361867642271E-3</v>
      </c>
      <c r="H100" s="14">
        <v>-1.0078654140600385E-2</v>
      </c>
    </row>
    <row r="101" spans="2:8" x14ac:dyDescent="0.25">
      <c r="B101" s="29">
        <v>93</v>
      </c>
      <c r="C101" s="30">
        <v>6.7587209302325577E-2</v>
      </c>
      <c r="D101" s="28">
        <v>35430</v>
      </c>
      <c r="E101" s="14">
        <v>-1.4753720315325847E-2</v>
      </c>
      <c r="F101" s="14">
        <v>-1.7685491681241783E-2</v>
      </c>
      <c r="G101" s="14">
        <v>-9.1342718860237815E-3</v>
      </c>
      <c r="H101" s="14">
        <v>-9.9646543189629618E-3</v>
      </c>
    </row>
    <row r="102" spans="2:8" x14ac:dyDescent="0.25">
      <c r="B102" s="29">
        <v>94</v>
      </c>
      <c r="C102" s="30">
        <v>6.8313953488372089E-2</v>
      </c>
      <c r="D102" s="28">
        <v>35431</v>
      </c>
      <c r="E102" s="14">
        <v>-1.4750829274494559E-2</v>
      </c>
      <c r="F102" s="14">
        <v>-1.750732602698557E-2</v>
      </c>
      <c r="G102" s="14">
        <v>-9.1210163418211643E-3</v>
      </c>
      <c r="H102" s="14">
        <v>-9.9073124425650208E-3</v>
      </c>
    </row>
    <row r="103" spans="2:8" x14ac:dyDescent="0.25">
      <c r="B103" s="29">
        <v>95</v>
      </c>
      <c r="C103" s="30">
        <v>6.9040697674418602E-2</v>
      </c>
      <c r="D103" s="28">
        <v>35432</v>
      </c>
      <c r="E103" s="14">
        <v>-1.4748728156388391E-2</v>
      </c>
      <c r="F103" s="14">
        <v>-1.7501610824742331E-2</v>
      </c>
      <c r="G103" s="14">
        <v>-9.1204204668419164E-3</v>
      </c>
      <c r="H103" s="14">
        <v>-9.8816171277655868E-3</v>
      </c>
    </row>
    <row r="104" spans="2:8" x14ac:dyDescent="0.25">
      <c r="B104" s="29">
        <v>96</v>
      </c>
      <c r="C104" s="30">
        <v>6.9767441860465115E-2</v>
      </c>
      <c r="D104" s="28">
        <v>35433</v>
      </c>
      <c r="E104" s="14">
        <v>-1.4743482959906018E-2</v>
      </c>
      <c r="F104" s="14">
        <v>-1.7468489001186915E-2</v>
      </c>
      <c r="G104" s="14">
        <v>-9.0958310774227336E-3</v>
      </c>
      <c r="H104" s="14">
        <v>-9.8733082769922216E-3</v>
      </c>
    </row>
    <row r="105" spans="2:8" x14ac:dyDescent="0.25">
      <c r="B105" s="29">
        <v>97</v>
      </c>
      <c r="C105" s="30">
        <v>7.0494186046511628E-2</v>
      </c>
      <c r="D105" s="28">
        <v>35436</v>
      </c>
      <c r="E105" s="14">
        <v>-1.4635656035009825E-2</v>
      </c>
      <c r="F105" s="14">
        <v>-1.7464061527586727E-2</v>
      </c>
      <c r="G105" s="14">
        <v>-9.0769961475540839E-3</v>
      </c>
      <c r="H105" s="14">
        <v>-9.8623068951947616E-3</v>
      </c>
    </row>
    <row r="106" spans="2:8" x14ac:dyDescent="0.25">
      <c r="B106" s="29">
        <v>98</v>
      </c>
      <c r="C106" s="30">
        <v>7.1220930232558141E-2</v>
      </c>
      <c r="D106" s="28">
        <v>35437</v>
      </c>
      <c r="E106" s="14">
        <v>-1.4607788336128302E-2</v>
      </c>
      <c r="F106" s="14">
        <v>-1.7390727598328604E-2</v>
      </c>
      <c r="G106" s="14">
        <v>-8.9994079336885857E-3</v>
      </c>
      <c r="H106" s="14">
        <v>-9.8340519191098662E-3</v>
      </c>
    </row>
    <row r="107" spans="2:8" x14ac:dyDescent="0.25">
      <c r="B107" s="29">
        <v>99</v>
      </c>
      <c r="C107" s="30">
        <v>7.1947674418604654E-2</v>
      </c>
      <c r="D107" s="28">
        <v>35438</v>
      </c>
      <c r="E107" s="14">
        <v>-1.4582634931277427E-2</v>
      </c>
      <c r="F107" s="14">
        <v>-1.7328130189306012E-2</v>
      </c>
      <c r="G107" s="14">
        <v>-8.9487656541450411E-3</v>
      </c>
      <c r="H107" s="14">
        <v>-9.7855682394052852E-3</v>
      </c>
    </row>
    <row r="108" spans="2:8" x14ac:dyDescent="0.25">
      <c r="B108" s="29">
        <v>100</v>
      </c>
      <c r="C108" s="30">
        <v>7.2674418604651167E-2</v>
      </c>
      <c r="D108" s="28">
        <v>35439</v>
      </c>
      <c r="E108" s="14">
        <v>-1.4566053004248292E-2</v>
      </c>
      <c r="F108" s="14">
        <v>-1.7141849500686868E-2</v>
      </c>
      <c r="G108" s="14">
        <v>-8.8715009918448606E-3</v>
      </c>
      <c r="H108" s="14">
        <v>-9.6520708944887196E-3</v>
      </c>
    </row>
    <row r="109" spans="2:8" x14ac:dyDescent="0.25">
      <c r="B109" s="29">
        <v>101</v>
      </c>
      <c r="C109" s="30">
        <v>7.340116279069768E-2</v>
      </c>
      <c r="D109" s="28">
        <v>35440</v>
      </c>
      <c r="E109" s="14">
        <v>-1.4496833216045002E-2</v>
      </c>
      <c r="F109" s="14">
        <v>-1.7077557256767961E-2</v>
      </c>
      <c r="G109" s="14">
        <v>-8.7547982760446397E-3</v>
      </c>
      <c r="H109" s="14">
        <v>-9.5913166927492424E-3</v>
      </c>
    </row>
    <row r="110" spans="2:8" x14ac:dyDescent="0.25">
      <c r="B110" s="29">
        <v>102</v>
      </c>
      <c r="C110" s="30">
        <v>7.4127906976744193E-2</v>
      </c>
      <c r="D110" s="28">
        <v>35443</v>
      </c>
      <c r="E110" s="14">
        <v>-1.4407036700030407E-2</v>
      </c>
      <c r="F110" s="14">
        <v>-1.7049289266839129E-2</v>
      </c>
      <c r="G110" s="14">
        <v>-8.7118193891102536E-3</v>
      </c>
      <c r="H110" s="14">
        <v>-9.5595295286942782E-3</v>
      </c>
    </row>
    <row r="111" spans="2:8" x14ac:dyDescent="0.25">
      <c r="B111" s="29">
        <v>103</v>
      </c>
      <c r="C111" s="30">
        <v>7.4854651162790692E-2</v>
      </c>
      <c r="D111" s="28">
        <v>35444</v>
      </c>
      <c r="E111" s="14">
        <v>-1.42804410917583E-2</v>
      </c>
      <c r="F111" s="14">
        <v>-1.7028278421918674E-2</v>
      </c>
      <c r="G111" s="14">
        <v>-8.6861928828187995E-3</v>
      </c>
      <c r="H111" s="14">
        <v>-9.5360569576367731E-3</v>
      </c>
    </row>
    <row r="112" spans="2:8" x14ac:dyDescent="0.25">
      <c r="B112" s="29">
        <v>104</v>
      </c>
      <c r="C112" s="30">
        <v>7.5581395348837205E-2</v>
      </c>
      <c r="D112" s="28">
        <v>35445</v>
      </c>
      <c r="E112" s="14">
        <v>-1.4259911205822817E-2</v>
      </c>
      <c r="F112" s="14">
        <v>-1.7003900536323724E-2</v>
      </c>
      <c r="G112" s="14">
        <v>-8.6658413484431707E-3</v>
      </c>
      <c r="H112" s="14">
        <v>-9.4022623379413257E-3</v>
      </c>
    </row>
    <row r="113" spans="2:8" x14ac:dyDescent="0.25">
      <c r="B113" s="29">
        <v>105</v>
      </c>
      <c r="C113" s="30">
        <v>7.6308139534883718E-2</v>
      </c>
      <c r="D113" s="28">
        <v>35446</v>
      </c>
      <c r="E113" s="14">
        <v>-1.4237534971065058E-2</v>
      </c>
      <c r="F113" s="14">
        <v>-1.6864362065933225E-2</v>
      </c>
      <c r="G113" s="14">
        <v>-8.5978446499027639E-3</v>
      </c>
      <c r="H113" s="14">
        <v>-9.3710904903949298E-3</v>
      </c>
    </row>
    <row r="114" spans="2:8" x14ac:dyDescent="0.25">
      <c r="B114" s="29">
        <v>106</v>
      </c>
      <c r="C114" s="30">
        <v>7.7034883720930231E-2</v>
      </c>
      <c r="D114" s="28">
        <v>35447</v>
      </c>
      <c r="E114" s="14">
        <v>-1.4231177844191145E-2</v>
      </c>
      <c r="F114" s="14">
        <v>-1.6841463945341473E-2</v>
      </c>
      <c r="G114" s="14">
        <v>-8.5795485012601924E-3</v>
      </c>
      <c r="H114" s="14">
        <v>-9.3625834956586849E-3</v>
      </c>
    </row>
    <row r="115" spans="2:8" x14ac:dyDescent="0.25">
      <c r="B115" s="29">
        <v>107</v>
      </c>
      <c r="C115" s="30">
        <v>7.7761627906976744E-2</v>
      </c>
      <c r="D115" s="28">
        <v>35450</v>
      </c>
      <c r="E115" s="14">
        <v>-1.4048681153748022E-2</v>
      </c>
      <c r="F115" s="14">
        <v>-1.6705668706584187E-2</v>
      </c>
      <c r="G115" s="14">
        <v>-8.5525235559487101E-3</v>
      </c>
      <c r="H115" s="14">
        <v>-9.3143306191441066E-3</v>
      </c>
    </row>
    <row r="116" spans="2:8" x14ac:dyDescent="0.25">
      <c r="B116" s="29">
        <v>108</v>
      </c>
      <c r="C116" s="30">
        <v>7.8488372093023256E-2</v>
      </c>
      <c r="D116" s="28">
        <v>35451</v>
      </c>
      <c r="E116" s="14">
        <v>-1.3839487809610085E-2</v>
      </c>
      <c r="F116" s="14">
        <v>-1.6664414002560135E-2</v>
      </c>
      <c r="G116" s="14">
        <v>-8.5345545378850973E-3</v>
      </c>
      <c r="H116" s="14">
        <v>-9.2220165223692706E-3</v>
      </c>
    </row>
    <row r="117" spans="2:8" x14ac:dyDescent="0.25">
      <c r="B117" s="29">
        <v>109</v>
      </c>
      <c r="C117" s="30">
        <v>7.9215116279069769E-2</v>
      </c>
      <c r="D117" s="28">
        <v>35452</v>
      </c>
      <c r="E117" s="14">
        <v>-1.3738986758456861E-2</v>
      </c>
      <c r="F117" s="14">
        <v>-1.6662999509165166E-2</v>
      </c>
      <c r="G117" s="14">
        <v>-8.50023288309254E-3</v>
      </c>
      <c r="H117" s="14">
        <v>-9.1386686070046089E-3</v>
      </c>
    </row>
    <row r="118" spans="2:8" x14ac:dyDescent="0.25">
      <c r="B118" s="29">
        <v>110</v>
      </c>
      <c r="C118" s="30">
        <v>7.9941860465116282E-2</v>
      </c>
      <c r="D118" s="28">
        <v>35453</v>
      </c>
      <c r="E118" s="14">
        <v>-1.366978112206807E-2</v>
      </c>
      <c r="F118" s="14">
        <v>-1.6604129687464941E-2</v>
      </c>
      <c r="G118" s="14">
        <v>-8.4712065234532341E-3</v>
      </c>
      <c r="H118" s="14">
        <v>-9.1281750413905842E-3</v>
      </c>
    </row>
    <row r="119" spans="2:8" x14ac:dyDescent="0.25">
      <c r="B119" s="29">
        <v>111</v>
      </c>
      <c r="C119" s="30">
        <v>8.0668604651162795E-2</v>
      </c>
      <c r="D119" s="28">
        <v>35454</v>
      </c>
      <c r="E119" s="14">
        <v>-1.3565917715180009E-2</v>
      </c>
      <c r="F119" s="14">
        <v>-1.6440518801801862E-2</v>
      </c>
      <c r="G119" s="14">
        <v>-8.4219441046391452E-3</v>
      </c>
      <c r="H119" s="14">
        <v>-9.089106866085217E-3</v>
      </c>
    </row>
    <row r="120" spans="2:8" x14ac:dyDescent="0.25">
      <c r="B120" s="29">
        <v>112</v>
      </c>
      <c r="C120" s="30">
        <v>8.1395348837209308E-2</v>
      </c>
      <c r="D120" s="28">
        <v>35457</v>
      </c>
      <c r="E120" s="14">
        <v>-1.347654847819546E-2</v>
      </c>
      <c r="F120" s="14">
        <v>-1.6368666639137719E-2</v>
      </c>
      <c r="G120" s="14">
        <v>-8.3873340605857827E-3</v>
      </c>
      <c r="H120" s="14">
        <v>-8.9019244683772314E-3</v>
      </c>
    </row>
    <row r="121" spans="2:8" x14ac:dyDescent="0.25">
      <c r="B121" s="29">
        <v>113</v>
      </c>
      <c r="C121" s="30">
        <v>8.2122093023255807E-2</v>
      </c>
      <c r="D121" s="28">
        <v>35458</v>
      </c>
      <c r="E121" s="14">
        <v>-1.3420567018956553E-2</v>
      </c>
      <c r="F121" s="14">
        <v>-1.6271630437520335E-2</v>
      </c>
      <c r="G121" s="14">
        <v>-8.3841006414485664E-3</v>
      </c>
      <c r="H121" s="14">
        <v>-8.8705019399195843E-3</v>
      </c>
    </row>
    <row r="122" spans="2:8" x14ac:dyDescent="0.25">
      <c r="B122" s="29">
        <v>114</v>
      </c>
      <c r="C122" s="30">
        <v>8.284883720930232E-2</v>
      </c>
      <c r="D122" s="28">
        <v>35459</v>
      </c>
      <c r="E122" s="14">
        <v>-1.3393870601589031E-2</v>
      </c>
      <c r="F122" s="14">
        <v>-1.6171360182261285E-2</v>
      </c>
      <c r="G122" s="14">
        <v>-8.3498370974572911E-3</v>
      </c>
      <c r="H122" s="14">
        <v>-8.8265107397512491E-3</v>
      </c>
    </row>
    <row r="123" spans="2:8" x14ac:dyDescent="0.25">
      <c r="B123" s="29">
        <v>115</v>
      </c>
      <c r="C123" s="30">
        <v>8.3575581395348833E-2</v>
      </c>
      <c r="D123" s="28">
        <v>35460</v>
      </c>
      <c r="E123" s="14">
        <v>-1.3353057707774174E-2</v>
      </c>
      <c r="F123" s="14">
        <v>-1.6086050680750086E-2</v>
      </c>
      <c r="G123" s="14">
        <v>-8.3418771553733784E-3</v>
      </c>
      <c r="H123" s="14">
        <v>-8.762223177823247E-3</v>
      </c>
    </row>
    <row r="124" spans="2:8" x14ac:dyDescent="0.25">
      <c r="B124" s="29">
        <v>116</v>
      </c>
      <c r="C124" s="30">
        <v>8.4302325581395346E-2</v>
      </c>
      <c r="D124" s="28">
        <v>35461</v>
      </c>
      <c r="E124" s="14">
        <v>-1.32956431705753E-2</v>
      </c>
      <c r="F124" s="14">
        <v>-1.6071277763702319E-2</v>
      </c>
      <c r="G124" s="14">
        <v>-8.3130575831306119E-3</v>
      </c>
      <c r="H124" s="14">
        <v>-8.6248583738491418E-3</v>
      </c>
    </row>
    <row r="125" spans="2:8" x14ac:dyDescent="0.25">
      <c r="B125" s="29">
        <v>117</v>
      </c>
      <c r="C125" s="30">
        <v>8.5029069767441859E-2</v>
      </c>
      <c r="D125" s="28">
        <v>35464</v>
      </c>
      <c r="E125" s="14">
        <v>-1.3211942860646197E-2</v>
      </c>
      <c r="F125" s="14">
        <v>-1.5913259251267742E-2</v>
      </c>
      <c r="G125" s="14">
        <v>-8.2844693098070854E-3</v>
      </c>
      <c r="H125" s="14">
        <v>-8.5793247710415962E-3</v>
      </c>
    </row>
    <row r="126" spans="2:8" x14ac:dyDescent="0.25">
      <c r="B126" s="29">
        <v>118</v>
      </c>
      <c r="C126" s="30">
        <v>8.5755813953488372E-2</v>
      </c>
      <c r="D126" s="28">
        <v>35465</v>
      </c>
      <c r="E126" s="14">
        <v>-1.3195380713932781E-2</v>
      </c>
      <c r="F126" s="14">
        <v>-1.5839148923560087E-2</v>
      </c>
      <c r="G126" s="14">
        <v>-8.2570304070997969E-3</v>
      </c>
      <c r="H126" s="14">
        <v>-8.3940155617033378E-3</v>
      </c>
    </row>
    <row r="127" spans="2:8" x14ac:dyDescent="0.25">
      <c r="B127" s="29">
        <v>119</v>
      </c>
      <c r="C127" s="30">
        <v>8.6482558139534885E-2</v>
      </c>
      <c r="D127" s="28">
        <v>35466</v>
      </c>
      <c r="E127" s="14">
        <v>-1.3169002194833745E-2</v>
      </c>
      <c r="F127" s="14">
        <v>-1.5776571895493197E-2</v>
      </c>
      <c r="G127" s="14">
        <v>-8.2418550435268134E-3</v>
      </c>
      <c r="H127" s="14">
        <v>-8.350619776892821E-3</v>
      </c>
    </row>
    <row r="128" spans="2:8" x14ac:dyDescent="0.25">
      <c r="B128" s="29">
        <v>120</v>
      </c>
      <c r="C128" s="30">
        <v>8.7209302325581398E-2</v>
      </c>
      <c r="D128" s="28">
        <v>35467</v>
      </c>
      <c r="E128" s="14">
        <v>-1.3076278290025223E-2</v>
      </c>
      <c r="F128" s="14">
        <v>-1.5655438391709464E-2</v>
      </c>
      <c r="G128" s="14">
        <v>-8.2266910420473183E-3</v>
      </c>
      <c r="H128" s="14">
        <v>-8.2157719223532773E-3</v>
      </c>
    </row>
    <row r="129" spans="2:8" x14ac:dyDescent="0.25">
      <c r="B129" s="29">
        <v>121</v>
      </c>
      <c r="C129" s="30">
        <v>8.7936046511627911E-2</v>
      </c>
      <c r="D129" s="28">
        <v>35468</v>
      </c>
      <c r="E129" s="14">
        <v>-1.3051469472818655E-2</v>
      </c>
      <c r="F129" s="14">
        <v>-1.5627343030354957E-2</v>
      </c>
      <c r="G129" s="14">
        <v>-8.1730175901287838E-3</v>
      </c>
      <c r="H129" s="14">
        <v>-8.1660674766879555E-3</v>
      </c>
    </row>
    <row r="130" spans="2:8" x14ac:dyDescent="0.25">
      <c r="B130" s="29">
        <v>122</v>
      </c>
      <c r="C130" s="30">
        <v>8.8662790697674423E-2</v>
      </c>
      <c r="D130" s="28">
        <v>35471</v>
      </c>
      <c r="E130" s="14">
        <v>-1.3026918440379953E-2</v>
      </c>
      <c r="F130" s="14">
        <v>-1.5606384506839932E-2</v>
      </c>
      <c r="G130" s="14">
        <v>-8.1260066523358709E-3</v>
      </c>
      <c r="H130" s="14">
        <v>-8.1556366626333032E-3</v>
      </c>
    </row>
    <row r="131" spans="2:8" x14ac:dyDescent="0.25">
      <c r="B131" s="29">
        <v>123</v>
      </c>
      <c r="C131" s="30">
        <v>8.9389534883720936E-2</v>
      </c>
      <c r="D131" s="28">
        <v>35472</v>
      </c>
      <c r="E131" s="14">
        <v>-1.2986906923729169E-2</v>
      </c>
      <c r="F131" s="14">
        <v>-1.5526432357299003E-2</v>
      </c>
      <c r="G131" s="14">
        <v>-8.0995233024220292E-3</v>
      </c>
      <c r="H131" s="14">
        <v>-8.1412704273110537E-3</v>
      </c>
    </row>
    <row r="132" spans="2:8" x14ac:dyDescent="0.25">
      <c r="B132" s="29">
        <v>124</v>
      </c>
      <c r="C132" s="30">
        <v>9.0116279069767435E-2</v>
      </c>
      <c r="D132" s="28">
        <v>35473</v>
      </c>
      <c r="E132" s="14">
        <v>-1.2980135194103459E-2</v>
      </c>
      <c r="F132" s="14">
        <v>-1.5390223158235794E-2</v>
      </c>
      <c r="G132" s="14">
        <v>-8.0855492749103419E-3</v>
      </c>
      <c r="H132" s="14">
        <v>-8.0834051641026413E-3</v>
      </c>
    </row>
    <row r="133" spans="2:8" x14ac:dyDescent="0.25">
      <c r="B133" s="29">
        <v>125</v>
      </c>
      <c r="C133" s="30">
        <v>9.0843023255813948E-2</v>
      </c>
      <c r="D133" s="28">
        <v>35474</v>
      </c>
      <c r="E133" s="14">
        <v>-1.2930184839179848E-2</v>
      </c>
      <c r="F133" s="14">
        <v>-1.5329768270944788E-2</v>
      </c>
      <c r="G133" s="14">
        <v>-8.0519873618039028E-3</v>
      </c>
      <c r="H133" s="14">
        <v>-8.0733029092968644E-3</v>
      </c>
    </row>
    <row r="134" spans="2:8" x14ac:dyDescent="0.25">
      <c r="B134" s="29">
        <v>126</v>
      </c>
      <c r="C134" s="30">
        <v>9.1569767441860461E-2</v>
      </c>
      <c r="D134" s="28">
        <v>35475</v>
      </c>
      <c r="E134" s="14">
        <v>-1.2716529127238196E-2</v>
      </c>
      <c r="F134" s="14">
        <v>-1.5312593448066014E-2</v>
      </c>
      <c r="G134" s="14">
        <v>-8.01114594218022E-3</v>
      </c>
      <c r="H134" s="14">
        <v>-8.0471319846467035E-3</v>
      </c>
    </row>
    <row r="135" spans="2:8" x14ac:dyDescent="0.25">
      <c r="B135" s="29">
        <v>127</v>
      </c>
      <c r="C135" s="30">
        <v>9.2296511627906974E-2</v>
      </c>
      <c r="D135" s="28">
        <v>35478</v>
      </c>
      <c r="E135" s="14">
        <v>-1.2689848121502645E-2</v>
      </c>
      <c r="F135" s="14">
        <v>-1.5223292702400637E-2</v>
      </c>
      <c r="G135" s="14">
        <v>-7.970365595871054E-3</v>
      </c>
      <c r="H135" s="14">
        <v>-7.9640884470020719E-3</v>
      </c>
    </row>
    <row r="136" spans="2:8" x14ac:dyDescent="0.25">
      <c r="B136" s="29">
        <v>128</v>
      </c>
      <c r="C136" s="30">
        <v>9.3023255813953487E-2</v>
      </c>
      <c r="D136" s="28">
        <v>35479</v>
      </c>
      <c r="E136" s="14">
        <v>-1.2648794685295006E-2</v>
      </c>
      <c r="F136" s="14">
        <v>-1.5010049100669165E-2</v>
      </c>
      <c r="G136" s="14">
        <v>-7.9611118045358475E-3</v>
      </c>
      <c r="H136" s="14">
        <v>-7.9638586528617099E-3</v>
      </c>
    </row>
    <row r="137" spans="2:8" x14ac:dyDescent="0.25">
      <c r="B137" s="29">
        <v>129</v>
      </c>
      <c r="C137" s="30">
        <v>9.375E-2</v>
      </c>
      <c r="D137" s="28">
        <v>35480</v>
      </c>
      <c r="E137" s="14">
        <v>-1.2640593651152221E-2</v>
      </c>
      <c r="F137" s="14">
        <v>-1.4980128401100634E-2</v>
      </c>
      <c r="G137" s="14">
        <v>-7.9317323997593059E-3</v>
      </c>
      <c r="H137" s="14">
        <v>-7.9583908035978593E-3</v>
      </c>
    </row>
    <row r="138" spans="2:8" x14ac:dyDescent="0.25">
      <c r="B138" s="29">
        <v>130</v>
      </c>
      <c r="C138" s="30">
        <v>9.4476744186046513E-2</v>
      </c>
      <c r="D138" s="28">
        <v>35481</v>
      </c>
      <c r="E138" s="14">
        <v>-1.2633115607044609E-2</v>
      </c>
      <c r="F138" s="14">
        <v>-1.4956580963732313E-2</v>
      </c>
      <c r="G138" s="14">
        <v>-7.8573816490159487E-3</v>
      </c>
      <c r="H138" s="14">
        <v>-7.9532835689922528E-3</v>
      </c>
    </row>
    <row r="139" spans="2:8" x14ac:dyDescent="0.25">
      <c r="B139" s="29">
        <v>131</v>
      </c>
      <c r="C139" s="30">
        <v>9.5203488372093026E-2</v>
      </c>
      <c r="D139" s="28">
        <v>35482</v>
      </c>
      <c r="E139" s="14">
        <v>-1.2485417087552464E-2</v>
      </c>
      <c r="F139" s="14">
        <v>-1.4954526033083004E-2</v>
      </c>
      <c r="G139" s="14">
        <v>-7.8303766059325541E-3</v>
      </c>
      <c r="H139" s="14">
        <v>-7.9323156084447413E-3</v>
      </c>
    </row>
    <row r="140" spans="2:8" x14ac:dyDescent="0.25">
      <c r="B140" s="29">
        <v>132</v>
      </c>
      <c r="C140" s="30">
        <v>9.5930232558139539E-2</v>
      </c>
      <c r="D140" s="28">
        <v>35485</v>
      </c>
      <c r="E140" s="14">
        <v>-1.2456587172956723E-2</v>
      </c>
      <c r="F140" s="14">
        <v>-1.4935300934656337E-2</v>
      </c>
      <c r="G140" s="14">
        <v>-7.8280172917396529E-3</v>
      </c>
      <c r="H140" s="14">
        <v>-7.9002667639095584E-3</v>
      </c>
    </row>
    <row r="141" spans="2:8" x14ac:dyDescent="0.25">
      <c r="B141" s="29">
        <v>133</v>
      </c>
      <c r="C141" s="30">
        <v>9.6656976744186052E-2</v>
      </c>
      <c r="D141" s="28">
        <v>35486</v>
      </c>
      <c r="E141" s="14">
        <v>-1.2427372498386102E-2</v>
      </c>
      <c r="F141" s="14">
        <v>-1.4872616239161252E-2</v>
      </c>
      <c r="G141" s="14">
        <v>-7.7832064538119194E-3</v>
      </c>
      <c r="H141" s="14">
        <v>-7.8929986611894452E-3</v>
      </c>
    </row>
    <row r="142" spans="2:8" x14ac:dyDescent="0.25">
      <c r="B142" s="29">
        <v>134</v>
      </c>
      <c r="C142" s="30">
        <v>9.7383720930232565E-2</v>
      </c>
      <c r="D142" s="28">
        <v>35487</v>
      </c>
      <c r="E142" s="14">
        <v>-1.2387496370850681E-2</v>
      </c>
      <c r="F142" s="14">
        <v>-1.4843933860381631E-2</v>
      </c>
      <c r="G142" s="14">
        <v>-7.7335181404558639E-3</v>
      </c>
      <c r="H142" s="14">
        <v>-7.872335379076523E-3</v>
      </c>
    </row>
    <row r="143" spans="2:8" x14ac:dyDescent="0.25">
      <c r="B143" s="29">
        <v>135</v>
      </c>
      <c r="C143" s="30">
        <v>9.8110465116279064E-2</v>
      </c>
      <c r="D143" s="28">
        <v>35488</v>
      </c>
      <c r="E143" s="14">
        <v>-1.2295772275560224E-2</v>
      </c>
      <c r="F143" s="14">
        <v>-1.4828990047509039E-2</v>
      </c>
      <c r="G143" s="14">
        <v>-7.6987352983322044E-3</v>
      </c>
      <c r="H143" s="14">
        <v>-7.8598110842937E-3</v>
      </c>
    </row>
    <row r="144" spans="2:8" x14ac:dyDescent="0.25">
      <c r="B144" s="29">
        <v>136</v>
      </c>
      <c r="C144" s="30">
        <v>9.8837209302325577E-2</v>
      </c>
      <c r="D144" s="28">
        <v>35489</v>
      </c>
      <c r="E144" s="14">
        <v>-1.2281736734074844E-2</v>
      </c>
      <c r="F144" s="14">
        <v>-1.4818864558455158E-2</v>
      </c>
      <c r="G144" s="14">
        <v>-7.6490818531875782E-3</v>
      </c>
      <c r="H144" s="14">
        <v>-7.8446742095619193E-3</v>
      </c>
    </row>
    <row r="145" spans="2:8" x14ac:dyDescent="0.25">
      <c r="B145" s="29">
        <v>137</v>
      </c>
      <c r="C145" s="30">
        <v>9.9563953488372089E-2</v>
      </c>
      <c r="D145" s="28">
        <v>35492</v>
      </c>
      <c r="E145" s="14">
        <v>-1.2257802948844709E-2</v>
      </c>
      <c r="F145" s="14">
        <v>-1.4813547416859585E-2</v>
      </c>
      <c r="G145" s="14">
        <v>-7.5651630690196647E-3</v>
      </c>
      <c r="H145" s="14">
        <v>-7.8267972427455753E-3</v>
      </c>
    </row>
    <row r="146" spans="2:8" x14ac:dyDescent="0.25">
      <c r="B146" s="29">
        <v>138</v>
      </c>
      <c r="C146" s="30">
        <v>0.1002906976744186</v>
      </c>
      <c r="D146" s="28">
        <v>35493</v>
      </c>
      <c r="E146" s="14">
        <v>-1.2256349675132894E-2</v>
      </c>
      <c r="F146" s="14">
        <v>-1.4666086788441057E-2</v>
      </c>
      <c r="G146" s="14">
        <v>-7.5560816499257166E-3</v>
      </c>
      <c r="H146" s="14">
        <v>-7.7654682760694765E-3</v>
      </c>
    </row>
    <row r="147" spans="2:8" x14ac:dyDescent="0.25">
      <c r="B147" s="29">
        <v>139</v>
      </c>
      <c r="C147" s="30">
        <v>0.10101744186046512</v>
      </c>
      <c r="D147" s="28">
        <v>35494</v>
      </c>
      <c r="E147" s="14">
        <v>-1.214569650199715E-2</v>
      </c>
      <c r="F147" s="14">
        <v>-1.453121482320352E-2</v>
      </c>
      <c r="G147" s="14">
        <v>-7.5425317201229802E-3</v>
      </c>
      <c r="H147" s="14">
        <v>-7.7649061824718096E-3</v>
      </c>
    </row>
    <row r="148" spans="2:8" x14ac:dyDescent="0.25">
      <c r="B148" s="29">
        <v>140</v>
      </c>
      <c r="C148" s="30">
        <v>0.10174418604651163</v>
      </c>
      <c r="D148" s="28">
        <v>35495</v>
      </c>
      <c r="E148" s="14">
        <v>-1.2123295519651744E-2</v>
      </c>
      <c r="F148" s="14">
        <v>-1.4408229201311351E-2</v>
      </c>
      <c r="G148" s="14">
        <v>-7.4442836106212162E-3</v>
      </c>
      <c r="H148" s="14">
        <v>-7.7360178707760689E-3</v>
      </c>
    </row>
    <row r="149" spans="2:8" x14ac:dyDescent="0.25">
      <c r="B149" s="29">
        <v>141</v>
      </c>
      <c r="C149" s="30">
        <v>0.10247093023255814</v>
      </c>
      <c r="D149" s="28">
        <v>35496</v>
      </c>
      <c r="E149" s="14">
        <v>-1.2052283143778597E-2</v>
      </c>
      <c r="F149" s="14">
        <v>-1.4397971270792009E-2</v>
      </c>
      <c r="G149" s="14">
        <v>-7.427263081476343E-3</v>
      </c>
      <c r="H149" s="14">
        <v>-7.7248483847024655E-3</v>
      </c>
    </row>
    <row r="150" spans="2:8" x14ac:dyDescent="0.25">
      <c r="B150" s="29">
        <v>142</v>
      </c>
      <c r="C150" s="30">
        <v>0.10319767441860465</v>
      </c>
      <c r="D150" s="28">
        <v>35499</v>
      </c>
      <c r="E150" s="14">
        <v>-1.2037294739771887E-2</v>
      </c>
      <c r="F150" s="14">
        <v>-1.4365432774766984E-2</v>
      </c>
      <c r="G150" s="14">
        <v>-7.4081857825880615E-3</v>
      </c>
      <c r="H150" s="14">
        <v>-7.6991032371489078E-3</v>
      </c>
    </row>
    <row r="151" spans="2:8" x14ac:dyDescent="0.25">
      <c r="B151" s="29">
        <v>143</v>
      </c>
      <c r="C151" s="30">
        <v>0.10392441860465117</v>
      </c>
      <c r="D151" s="28">
        <v>35500</v>
      </c>
      <c r="E151" s="14">
        <v>-1.1952989665680036E-2</v>
      </c>
      <c r="F151" s="14">
        <v>-1.4314765630088488E-2</v>
      </c>
      <c r="G151" s="14">
        <v>-7.3403864083118053E-3</v>
      </c>
      <c r="H151" s="14">
        <v>-7.6463856463585781E-3</v>
      </c>
    </row>
    <row r="152" spans="2:8" x14ac:dyDescent="0.25">
      <c r="B152" s="29">
        <v>144</v>
      </c>
      <c r="C152" s="30">
        <v>0.10465116279069768</v>
      </c>
      <c r="D152" s="28">
        <v>35501</v>
      </c>
      <c r="E152" s="14">
        <v>-1.1930926216640714E-2</v>
      </c>
      <c r="F152" s="14">
        <v>-1.4127707979971427E-2</v>
      </c>
      <c r="G152" s="14">
        <v>-7.3366487764044974E-3</v>
      </c>
      <c r="H152" s="14">
        <v>-7.619597927209433E-3</v>
      </c>
    </row>
    <row r="153" spans="2:8" x14ac:dyDescent="0.25">
      <c r="B153" s="29">
        <v>145</v>
      </c>
      <c r="C153" s="30">
        <v>0.10537790697674419</v>
      </c>
      <c r="D153" s="28">
        <v>35502</v>
      </c>
      <c r="E153" s="14">
        <v>-1.1900327406042188E-2</v>
      </c>
      <c r="F153" s="14">
        <v>-1.400755893469019E-2</v>
      </c>
      <c r="G153" s="14">
        <v>-7.3347650593533764E-3</v>
      </c>
      <c r="H153" s="14">
        <v>-7.6173519448882393E-3</v>
      </c>
    </row>
    <row r="154" spans="2:8" x14ac:dyDescent="0.25">
      <c r="B154" s="29">
        <v>146</v>
      </c>
      <c r="C154" s="30">
        <v>0.10610465116279069</v>
      </c>
      <c r="D154" s="28">
        <v>35503</v>
      </c>
      <c r="E154" s="14">
        <v>-1.1897420583282026E-2</v>
      </c>
      <c r="F154" s="14">
        <v>-1.4003590664272925E-2</v>
      </c>
      <c r="G154" s="14">
        <v>-7.3193046660567918E-3</v>
      </c>
      <c r="H154" s="14">
        <v>-7.5803672823764323E-3</v>
      </c>
    </row>
    <row r="155" spans="2:8" x14ac:dyDescent="0.25">
      <c r="B155" s="29">
        <v>147</v>
      </c>
      <c r="C155" s="30">
        <v>0.1068313953488372</v>
      </c>
      <c r="D155" s="28">
        <v>35506</v>
      </c>
      <c r="E155" s="14">
        <v>-1.1887298295310766E-2</v>
      </c>
      <c r="F155" s="14">
        <v>-1.3979137494296578E-2</v>
      </c>
      <c r="G155" s="14">
        <v>-7.2656941961846133E-3</v>
      </c>
      <c r="H155" s="14">
        <v>-7.5655058899326104E-3</v>
      </c>
    </row>
    <row r="156" spans="2:8" x14ac:dyDescent="0.25">
      <c r="B156" s="29">
        <v>148</v>
      </c>
      <c r="C156" s="30">
        <v>0.10755813953488372</v>
      </c>
      <c r="D156" s="28">
        <v>35507</v>
      </c>
      <c r="E156" s="14">
        <v>-1.1859237639627263E-2</v>
      </c>
      <c r="F156" s="14">
        <v>-1.3911765451182112E-2</v>
      </c>
      <c r="G156" s="14">
        <v>-7.2620757996569862E-3</v>
      </c>
      <c r="H156" s="14">
        <v>-7.5459459027976024E-3</v>
      </c>
    </row>
    <row r="157" spans="2:8" x14ac:dyDescent="0.25">
      <c r="B157" s="29">
        <v>149</v>
      </c>
      <c r="C157" s="30">
        <v>0.10828488372093023</v>
      </c>
      <c r="D157" s="28">
        <v>35508</v>
      </c>
      <c r="E157" s="14">
        <v>-1.1794732974979683E-2</v>
      </c>
      <c r="F157" s="14">
        <v>-1.3709598964296577E-2</v>
      </c>
      <c r="G157" s="14">
        <v>-7.205024658079151E-3</v>
      </c>
      <c r="H157" s="14">
        <v>-7.4527302627831029E-3</v>
      </c>
    </row>
    <row r="158" spans="2:8" x14ac:dyDescent="0.25">
      <c r="B158" s="29">
        <v>150</v>
      </c>
      <c r="C158" s="30">
        <v>0.10901162790697674</v>
      </c>
      <c r="D158" s="28">
        <v>35509</v>
      </c>
      <c r="E158" s="14">
        <v>-1.1783568682751544E-2</v>
      </c>
      <c r="F158" s="14">
        <v>-1.3655768567867765E-2</v>
      </c>
      <c r="G158" s="14">
        <v>-7.1721514437255163E-3</v>
      </c>
      <c r="H158" s="14">
        <v>-7.4472993257661104E-3</v>
      </c>
    </row>
    <row r="159" spans="2:8" x14ac:dyDescent="0.25">
      <c r="B159" s="29">
        <v>151</v>
      </c>
      <c r="C159" s="30">
        <v>0.10973837209302326</v>
      </c>
      <c r="D159" s="28">
        <v>35510</v>
      </c>
      <c r="E159" s="14">
        <v>-1.1758888534493028E-2</v>
      </c>
      <c r="F159" s="14">
        <v>-1.3439122621339061E-2</v>
      </c>
      <c r="G159" s="14">
        <v>-7.0785405714882677E-3</v>
      </c>
      <c r="H159" s="14">
        <v>-7.3699985818859396E-3</v>
      </c>
    </row>
    <row r="160" spans="2:8" x14ac:dyDescent="0.25">
      <c r="B160" s="29">
        <v>152</v>
      </c>
      <c r="C160" s="30">
        <v>0.11046511627906977</v>
      </c>
      <c r="D160" s="28">
        <v>35513</v>
      </c>
      <c r="E160" s="14">
        <v>-1.1750555398391316E-2</v>
      </c>
      <c r="F160" s="14">
        <v>-1.3336935882136802E-2</v>
      </c>
      <c r="G160" s="14">
        <v>-7.0764372185506685E-3</v>
      </c>
      <c r="H160" s="14">
        <v>-7.3434362816796397E-3</v>
      </c>
    </row>
    <row r="161" spans="2:8" x14ac:dyDescent="0.25">
      <c r="B161" s="29">
        <v>153</v>
      </c>
      <c r="C161" s="30">
        <v>0.11119186046511628</v>
      </c>
      <c r="D161" s="28">
        <v>35514</v>
      </c>
      <c r="E161" s="14">
        <v>-1.1737804878048652E-2</v>
      </c>
      <c r="F161" s="14">
        <v>-1.328219591238966E-2</v>
      </c>
      <c r="G161" s="14">
        <v>-7.0744680851064778E-3</v>
      </c>
      <c r="H161" s="14">
        <v>-7.2632787165298751E-3</v>
      </c>
    </row>
    <row r="162" spans="2:8" x14ac:dyDescent="0.25">
      <c r="B162" s="29">
        <v>154</v>
      </c>
      <c r="C162" s="30">
        <v>0.1119186046511628</v>
      </c>
      <c r="D162" s="28">
        <v>35515</v>
      </c>
      <c r="E162" s="14">
        <v>-1.1688895549228251E-2</v>
      </c>
      <c r="F162" s="14">
        <v>-1.3169000099294892E-2</v>
      </c>
      <c r="G162" s="14">
        <v>-7.0616659875364363E-3</v>
      </c>
      <c r="H162" s="14">
        <v>-7.2303948275110235E-3</v>
      </c>
    </row>
    <row r="163" spans="2:8" x14ac:dyDescent="0.25">
      <c r="B163" s="29">
        <v>155</v>
      </c>
      <c r="C163" s="30">
        <v>0.11264534883720931</v>
      </c>
      <c r="D163" s="28">
        <v>35516</v>
      </c>
      <c r="E163" s="14">
        <v>-1.1673233738595412E-2</v>
      </c>
      <c r="F163" s="14">
        <v>-1.3110022407048727E-2</v>
      </c>
      <c r="G163" s="14">
        <v>-7.0417485566144356E-3</v>
      </c>
      <c r="H163" s="14">
        <v>-7.2201415568680536E-3</v>
      </c>
    </row>
    <row r="164" spans="2:8" x14ac:dyDescent="0.25">
      <c r="B164" s="29">
        <v>156</v>
      </c>
      <c r="C164" s="30">
        <v>0.11337209302325581</v>
      </c>
      <c r="D164" s="28">
        <v>35517</v>
      </c>
      <c r="E164" s="14">
        <v>-1.1658715301956502E-2</v>
      </c>
      <c r="F164" s="14">
        <v>-1.3073102276714099E-2</v>
      </c>
      <c r="G164" s="14">
        <v>-6.9524307370621985E-3</v>
      </c>
      <c r="H164" s="14">
        <v>-7.2100403051015057E-3</v>
      </c>
    </row>
    <row r="165" spans="2:8" x14ac:dyDescent="0.25">
      <c r="B165" s="29">
        <v>157</v>
      </c>
      <c r="C165" s="30">
        <v>0.11409883720930232</v>
      </c>
      <c r="D165" s="28">
        <v>35520</v>
      </c>
      <c r="E165" s="14">
        <v>-1.1606157775639447E-2</v>
      </c>
      <c r="F165" s="14">
        <v>-1.3062568605927583E-2</v>
      </c>
      <c r="G165" s="14">
        <v>-6.9291338582677664E-3</v>
      </c>
      <c r="H165" s="14">
        <v>-7.1813009486479725E-3</v>
      </c>
    </row>
    <row r="166" spans="2:8" x14ac:dyDescent="0.25">
      <c r="B166" s="29">
        <v>158</v>
      </c>
      <c r="C166" s="30">
        <v>0.11482558139534883</v>
      </c>
      <c r="D166" s="28">
        <v>35521</v>
      </c>
      <c r="E166" s="14">
        <v>-1.1587351438914317E-2</v>
      </c>
      <c r="F166" s="14">
        <v>-1.2962657344755657E-2</v>
      </c>
      <c r="G166" s="14">
        <v>-6.922274014032892E-3</v>
      </c>
      <c r="H166" s="14">
        <v>-7.1684772659241771E-3</v>
      </c>
    </row>
    <row r="167" spans="2:8" x14ac:dyDescent="0.25">
      <c r="B167" s="29">
        <v>159</v>
      </c>
      <c r="C167" s="30">
        <v>0.11555232558139535</v>
      </c>
      <c r="D167" s="28">
        <v>35522</v>
      </c>
      <c r="E167" s="14">
        <v>-1.1526184108359927E-2</v>
      </c>
      <c r="F167" s="14">
        <v>-1.2957950920059913E-2</v>
      </c>
      <c r="G167" s="14">
        <v>-6.7756558435644321E-3</v>
      </c>
      <c r="H167" s="14">
        <v>-7.1495968497453655E-3</v>
      </c>
    </row>
    <row r="168" spans="2:8" x14ac:dyDescent="0.25">
      <c r="B168" s="29">
        <v>160</v>
      </c>
      <c r="C168" s="30">
        <v>0.11627906976744186</v>
      </c>
      <c r="D168" s="28">
        <v>35523</v>
      </c>
      <c r="E168" s="14">
        <v>-1.1508473218303172E-2</v>
      </c>
      <c r="F168" s="14">
        <v>-1.2881035878068547E-2</v>
      </c>
      <c r="G168" s="14">
        <v>-6.7100839051312811E-3</v>
      </c>
      <c r="H168" s="14">
        <v>-7.1316016014600254E-3</v>
      </c>
    </row>
    <row r="169" spans="2:8" x14ac:dyDescent="0.25">
      <c r="B169" s="29">
        <v>161</v>
      </c>
      <c r="C169" s="30">
        <v>0.11700581395348837</v>
      </c>
      <c r="D169" s="28">
        <v>35524</v>
      </c>
      <c r="E169" s="14">
        <v>-1.1497076598044553E-2</v>
      </c>
      <c r="F169" s="14">
        <v>-1.2744104433587089E-2</v>
      </c>
      <c r="G169" s="14">
        <v>-6.6566752616695757E-3</v>
      </c>
      <c r="H169" s="14">
        <v>-7.1100388169783365E-3</v>
      </c>
    </row>
    <row r="170" spans="2:8" x14ac:dyDescent="0.25">
      <c r="B170" s="29">
        <v>162</v>
      </c>
      <c r="C170" s="30">
        <v>0.11773255813953488</v>
      </c>
      <c r="D170" s="28">
        <v>35527</v>
      </c>
      <c r="E170" s="14">
        <v>-1.147353738072332E-2</v>
      </c>
      <c r="F170" s="14">
        <v>-1.269541645081862E-2</v>
      </c>
      <c r="G170" s="14">
        <v>-6.6256758189334741E-3</v>
      </c>
      <c r="H170" s="14">
        <v>-7.0416325094528002E-3</v>
      </c>
    </row>
    <row r="171" spans="2:8" x14ac:dyDescent="0.25">
      <c r="B171" s="29">
        <v>163</v>
      </c>
      <c r="C171" s="30">
        <v>0.1184593023255814</v>
      </c>
      <c r="D171" s="28">
        <v>35528</v>
      </c>
      <c r="E171" s="14">
        <v>-1.1469376606165649E-2</v>
      </c>
      <c r="F171" s="14">
        <v>-1.2613653875789721E-2</v>
      </c>
      <c r="G171" s="14">
        <v>-6.6100258499722786E-3</v>
      </c>
      <c r="H171" s="14">
        <v>-6.9858121416161772E-3</v>
      </c>
    </row>
    <row r="172" spans="2:8" x14ac:dyDescent="0.25">
      <c r="B172" s="29">
        <v>164</v>
      </c>
      <c r="C172" s="30">
        <v>0.11918604651162791</v>
      </c>
      <c r="D172" s="28">
        <v>35529</v>
      </c>
      <c r="E172" s="14">
        <v>-1.1422302529685013E-2</v>
      </c>
      <c r="F172" s="14">
        <v>-1.259164921823841E-2</v>
      </c>
      <c r="G172" s="14">
        <v>-6.5957383589640983E-3</v>
      </c>
      <c r="H172" s="14">
        <v>-6.918607726799442E-3</v>
      </c>
    </row>
    <row r="173" spans="2:8" x14ac:dyDescent="0.25">
      <c r="B173" s="29">
        <v>165</v>
      </c>
      <c r="C173" s="30">
        <v>0.11991279069767442</v>
      </c>
      <c r="D173" s="28">
        <v>35530</v>
      </c>
      <c r="E173" s="14">
        <v>-1.1421836749767489E-2</v>
      </c>
      <c r="F173" s="14">
        <v>-1.2545416249802543E-2</v>
      </c>
      <c r="G173" s="14">
        <v>-6.5773513132060257E-3</v>
      </c>
      <c r="H173" s="14">
        <v>-6.9092322412402495E-3</v>
      </c>
    </row>
    <row r="174" spans="2:8" x14ac:dyDescent="0.25">
      <c r="B174" s="29">
        <v>166</v>
      </c>
      <c r="C174" s="30">
        <v>0.12063953488372094</v>
      </c>
      <c r="D174" s="28">
        <v>35531</v>
      </c>
      <c r="E174" s="14">
        <v>-1.1326345003469074E-2</v>
      </c>
      <c r="F174" s="14">
        <v>-1.2529931024623853E-2</v>
      </c>
      <c r="G174" s="14">
        <v>-6.5551992707756357E-3</v>
      </c>
      <c r="H174" s="14">
        <v>-6.8641600857767496E-3</v>
      </c>
    </row>
    <row r="175" spans="2:8" x14ac:dyDescent="0.25">
      <c r="B175" s="29">
        <v>167</v>
      </c>
      <c r="C175" s="30">
        <v>0.12136627906976744</v>
      </c>
      <c r="D175" s="28">
        <v>35534</v>
      </c>
      <c r="E175" s="14">
        <v>-1.1203670700191681E-2</v>
      </c>
      <c r="F175" s="14">
        <v>-1.2461972025199719E-2</v>
      </c>
      <c r="G175" s="14">
        <v>-6.5440778799351618E-3</v>
      </c>
      <c r="H175" s="14">
        <v>-6.8339151993594754E-3</v>
      </c>
    </row>
    <row r="176" spans="2:8" x14ac:dyDescent="0.25">
      <c r="B176" s="29">
        <v>168</v>
      </c>
      <c r="C176" s="30">
        <v>0.12209302325581395</v>
      </c>
      <c r="D176" s="28">
        <v>35535</v>
      </c>
      <c r="E176" s="14">
        <v>-1.1174876618949225E-2</v>
      </c>
      <c r="F176" s="14">
        <v>-1.244167962674958E-2</v>
      </c>
      <c r="G176" s="14">
        <v>-6.5224854102299279E-3</v>
      </c>
      <c r="H176" s="14">
        <v>-6.8280232674987167E-3</v>
      </c>
    </row>
    <row r="177" spans="2:8" x14ac:dyDescent="0.25">
      <c r="B177" s="29">
        <v>169</v>
      </c>
      <c r="C177" s="30">
        <v>0.12281976744186046</v>
      </c>
      <c r="D177" s="28">
        <v>35536</v>
      </c>
      <c r="E177" s="14">
        <v>-1.1166253520421998E-2</v>
      </c>
      <c r="F177" s="14">
        <v>-1.2321276681923177E-2</v>
      </c>
      <c r="G177" s="14">
        <v>-6.4995274964455563E-3</v>
      </c>
      <c r="H177" s="14">
        <v>-6.8162149832127657E-3</v>
      </c>
    </row>
    <row r="178" spans="2:8" x14ac:dyDescent="0.25">
      <c r="B178" s="29">
        <v>170</v>
      </c>
      <c r="C178" s="30">
        <v>0.12354651162790697</v>
      </c>
      <c r="D178" s="28">
        <v>35537</v>
      </c>
      <c r="E178" s="14">
        <v>-1.1154881452791754E-2</v>
      </c>
      <c r="F178" s="14">
        <v>-1.2201360544217721E-2</v>
      </c>
      <c r="G178" s="14">
        <v>-6.4760972887204504E-3</v>
      </c>
      <c r="H178" s="14">
        <v>-6.7449088454417444E-3</v>
      </c>
    </row>
    <row r="179" spans="2:8" x14ac:dyDescent="0.25">
      <c r="B179" s="29">
        <v>171</v>
      </c>
      <c r="C179" s="30">
        <v>0.12427325581395349</v>
      </c>
      <c r="D179" s="28">
        <v>35538</v>
      </c>
      <c r="E179" s="14">
        <v>-1.1113053700903208E-2</v>
      </c>
      <c r="F179" s="14">
        <v>-1.216145578097938E-2</v>
      </c>
      <c r="G179" s="14">
        <v>-6.4651401367672445E-3</v>
      </c>
      <c r="H179" s="14">
        <v>-6.7422606719323326E-3</v>
      </c>
    </row>
    <row r="180" spans="2:8" x14ac:dyDescent="0.25">
      <c r="B180" s="29">
        <v>172</v>
      </c>
      <c r="C180" s="30">
        <v>0.125</v>
      </c>
      <c r="D180" s="28">
        <v>35541</v>
      </c>
      <c r="E180" s="14">
        <v>-1.1112142161184058E-2</v>
      </c>
      <c r="F180" s="14">
        <v>-1.2079459796313974E-2</v>
      </c>
      <c r="G180" s="14">
        <v>-6.445776320253338E-3</v>
      </c>
      <c r="H180" s="14">
        <v>-6.7270969524705357E-3</v>
      </c>
    </row>
    <row r="181" spans="2:8" x14ac:dyDescent="0.25">
      <c r="B181" s="29">
        <v>173</v>
      </c>
      <c r="C181" s="30">
        <v>0.12572674418604651</v>
      </c>
      <c r="D181" s="28">
        <v>35542</v>
      </c>
      <c r="E181" s="14">
        <v>-1.1074593411969147E-2</v>
      </c>
      <c r="F181" s="14">
        <v>-1.1997209245889873E-2</v>
      </c>
      <c r="G181" s="14">
        <v>-6.3844684929826867E-3</v>
      </c>
      <c r="H181" s="14">
        <v>-6.7223139704672983E-3</v>
      </c>
    </row>
    <row r="182" spans="2:8" x14ac:dyDescent="0.25">
      <c r="B182" s="29">
        <v>174</v>
      </c>
      <c r="C182" s="30">
        <v>0.12645348837209303</v>
      </c>
      <c r="D182" s="28">
        <v>35543</v>
      </c>
      <c r="E182" s="14">
        <v>-1.1065982067591351E-2</v>
      </c>
      <c r="F182" s="14">
        <v>-1.1926300631392439E-2</v>
      </c>
      <c r="G182" s="14">
        <v>-6.3470767325454203E-3</v>
      </c>
      <c r="H182" s="14">
        <v>-6.6700701646386085E-3</v>
      </c>
    </row>
    <row r="183" spans="2:8" x14ac:dyDescent="0.25">
      <c r="B183" s="29">
        <v>175</v>
      </c>
      <c r="C183" s="30">
        <v>0.12718023255813954</v>
      </c>
      <c r="D183" s="28">
        <v>35544</v>
      </c>
      <c r="E183" s="14">
        <v>-1.1039411867213023E-2</v>
      </c>
      <c r="F183" s="14">
        <v>-1.1815925207049327E-2</v>
      </c>
      <c r="G183" s="14">
        <v>-6.3449458065846231E-3</v>
      </c>
      <c r="H183" s="14">
        <v>-6.6438850693950622E-3</v>
      </c>
    </row>
    <row r="184" spans="2:8" x14ac:dyDescent="0.25">
      <c r="B184" s="29">
        <v>176</v>
      </c>
      <c r="C184" s="30">
        <v>0.12790697674418605</v>
      </c>
      <c r="D184" s="28">
        <v>35545</v>
      </c>
      <c r="E184" s="14">
        <v>-1.1032263068093795E-2</v>
      </c>
      <c r="F184" s="14">
        <v>-1.1725053230595917E-2</v>
      </c>
      <c r="G184" s="14">
        <v>-6.3434276573446358E-3</v>
      </c>
      <c r="H184" s="14">
        <v>-6.6177498157643736E-3</v>
      </c>
    </row>
    <row r="185" spans="2:8" x14ac:dyDescent="0.25">
      <c r="B185" s="29">
        <v>177</v>
      </c>
      <c r="C185" s="30">
        <v>0.12863372093023256</v>
      </c>
      <c r="D185" s="28">
        <v>35548</v>
      </c>
      <c r="E185" s="14">
        <v>-1.1021859404523604E-2</v>
      </c>
      <c r="F185" s="14">
        <v>-1.1588832009045036E-2</v>
      </c>
      <c r="G185" s="14">
        <v>-6.3362187712362461E-3</v>
      </c>
      <c r="H185" s="14">
        <v>-6.5883133625157745E-3</v>
      </c>
    </row>
    <row r="186" spans="2:8" x14ac:dyDescent="0.25">
      <c r="B186" s="29">
        <v>178</v>
      </c>
      <c r="C186" s="30">
        <v>0.12936046511627908</v>
      </c>
      <c r="D186" s="28">
        <v>35549</v>
      </c>
      <c r="E186" s="14">
        <v>-1.1019412923192529E-2</v>
      </c>
      <c r="F186" s="14">
        <v>-1.1579511270449427E-2</v>
      </c>
      <c r="G186" s="14">
        <v>-6.3313401336615449E-3</v>
      </c>
      <c r="H186" s="14">
        <v>-6.581746229738129E-3</v>
      </c>
    </row>
    <row r="187" spans="2:8" x14ac:dyDescent="0.25">
      <c r="B187" s="29">
        <v>179</v>
      </c>
      <c r="C187" s="30">
        <v>0.13008720930232559</v>
      </c>
      <c r="D187" s="28">
        <v>35550</v>
      </c>
      <c r="E187" s="14">
        <v>-1.1007620660457351E-2</v>
      </c>
      <c r="F187" s="14">
        <v>-1.147127957549221E-2</v>
      </c>
      <c r="G187" s="14">
        <v>-6.3116165040947303E-3</v>
      </c>
      <c r="H187" s="14">
        <v>-6.5703129536873748E-3</v>
      </c>
    </row>
    <row r="188" spans="2:8" x14ac:dyDescent="0.25">
      <c r="B188" s="29">
        <v>180</v>
      </c>
      <c r="C188" s="30">
        <v>0.1308139534883721</v>
      </c>
      <c r="D188" s="28">
        <v>35551</v>
      </c>
      <c r="E188" s="14">
        <v>-1.0947649980894147E-2</v>
      </c>
      <c r="F188" s="14">
        <v>-1.1346896524266459E-2</v>
      </c>
      <c r="G188" s="14">
        <v>-6.269593168704013E-3</v>
      </c>
      <c r="H188" s="14">
        <v>-6.5490359839040831E-3</v>
      </c>
    </row>
    <row r="189" spans="2:8" x14ac:dyDescent="0.25">
      <c r="B189" s="29">
        <v>181</v>
      </c>
      <c r="C189" s="30">
        <v>0.13154069767441862</v>
      </c>
      <c r="D189" s="28">
        <v>35552</v>
      </c>
      <c r="E189" s="14">
        <v>-1.0871818061914618E-2</v>
      </c>
      <c r="F189" s="14">
        <v>-1.1339399678840567E-2</v>
      </c>
      <c r="G189" s="14">
        <v>-6.2695924764889499E-3</v>
      </c>
      <c r="H189" s="14">
        <v>-6.4801362855845483E-3</v>
      </c>
    </row>
    <row r="190" spans="2:8" x14ac:dyDescent="0.25">
      <c r="B190" s="29">
        <v>182</v>
      </c>
      <c r="C190" s="30">
        <v>0.13226744186046513</v>
      </c>
      <c r="D190" s="28">
        <v>35555</v>
      </c>
      <c r="E190" s="14">
        <v>-1.0821542919491334E-2</v>
      </c>
      <c r="F190" s="14">
        <v>-1.1326272350090205E-2</v>
      </c>
      <c r="G190" s="14">
        <v>-6.2049544174502813E-3</v>
      </c>
      <c r="H190" s="14">
        <v>-6.4643726926128867E-3</v>
      </c>
    </row>
    <row r="191" spans="2:8" x14ac:dyDescent="0.25">
      <c r="B191" s="29">
        <v>183</v>
      </c>
      <c r="C191" s="30">
        <v>0.13299418604651161</v>
      </c>
      <c r="D191" s="28">
        <v>35556</v>
      </c>
      <c r="E191" s="14">
        <v>-1.0772338174473539E-2</v>
      </c>
      <c r="F191" s="14">
        <v>-1.131257500627969E-2</v>
      </c>
      <c r="G191" s="14">
        <v>-6.1998931052913431E-3</v>
      </c>
      <c r="H191" s="14">
        <v>-6.4344721468322817E-3</v>
      </c>
    </row>
    <row r="192" spans="2:8" x14ac:dyDescent="0.25">
      <c r="B192" s="29">
        <v>184</v>
      </c>
      <c r="C192" s="30">
        <v>0.13372093023255813</v>
      </c>
      <c r="D192" s="28">
        <v>35557</v>
      </c>
      <c r="E192" s="14">
        <v>-1.0727455581629242E-2</v>
      </c>
      <c r="F192" s="14">
        <v>-1.1214993123887296E-2</v>
      </c>
      <c r="G192" s="14">
        <v>-6.118709984544668E-3</v>
      </c>
      <c r="H192" s="14">
        <v>-6.4090374362986372E-3</v>
      </c>
    </row>
    <row r="193" spans="2:8" x14ac:dyDescent="0.25">
      <c r="B193" s="29">
        <v>185</v>
      </c>
      <c r="C193" s="30">
        <v>0.13444767441860464</v>
      </c>
      <c r="D193" s="28">
        <v>35558</v>
      </c>
      <c r="E193" s="14">
        <v>-1.0609559496318255E-2</v>
      </c>
      <c r="F193" s="14">
        <v>-1.1173959445037407E-2</v>
      </c>
      <c r="G193" s="14">
        <v>-6.101789937416946E-3</v>
      </c>
      <c r="H193" s="14">
        <v>-6.349970083807133E-3</v>
      </c>
    </row>
    <row r="194" spans="2:8" x14ac:dyDescent="0.25">
      <c r="B194" s="29">
        <v>186</v>
      </c>
      <c r="C194" s="30">
        <v>0.13517441860465115</v>
      </c>
      <c r="D194" s="28">
        <v>35559</v>
      </c>
      <c r="E194" s="14">
        <v>-1.0588801540189374E-2</v>
      </c>
      <c r="F194" s="14">
        <v>-1.1149279816790258E-2</v>
      </c>
      <c r="G194" s="14">
        <v>-6.0732669822660679E-3</v>
      </c>
      <c r="H194" s="14">
        <v>-6.309135687865508E-3</v>
      </c>
    </row>
    <row r="195" spans="2:8" x14ac:dyDescent="0.25">
      <c r="B195" s="29">
        <v>187</v>
      </c>
      <c r="C195" s="30">
        <v>0.13590116279069767</v>
      </c>
      <c r="D195" s="28">
        <v>35562</v>
      </c>
      <c r="E195" s="14">
        <v>-1.0473000242150254E-2</v>
      </c>
      <c r="F195" s="14">
        <v>-1.1146041726207478E-2</v>
      </c>
      <c r="G195" s="14">
        <v>-6.0731418094116529E-3</v>
      </c>
      <c r="H195" s="14">
        <v>-6.3029311116779459E-3</v>
      </c>
    </row>
    <row r="196" spans="2:8" x14ac:dyDescent="0.25">
      <c r="B196" s="29">
        <v>188</v>
      </c>
      <c r="C196" s="30">
        <v>0.13662790697674418</v>
      </c>
      <c r="D196" s="28">
        <v>35563</v>
      </c>
      <c r="E196" s="14">
        <v>-1.0467766232763132E-2</v>
      </c>
      <c r="F196" s="14">
        <v>-1.1134123889971925E-2</v>
      </c>
      <c r="G196" s="14">
        <v>-6.0586389700315602E-3</v>
      </c>
      <c r="H196" s="14">
        <v>-6.3004571676222648E-3</v>
      </c>
    </row>
    <row r="197" spans="2:8" x14ac:dyDescent="0.25">
      <c r="B197" s="29">
        <v>189</v>
      </c>
      <c r="C197" s="30">
        <v>0.13735465116279069</v>
      </c>
      <c r="D197" s="28">
        <v>35564</v>
      </c>
      <c r="E197" s="14">
        <v>-1.0443964115610438E-2</v>
      </c>
      <c r="F197" s="14">
        <v>-1.1089116776675123E-2</v>
      </c>
      <c r="G197" s="14">
        <v>-6.0401588942700091E-3</v>
      </c>
      <c r="H197" s="14">
        <v>-6.2800775351188783E-3</v>
      </c>
    </row>
    <row r="198" spans="2:8" x14ac:dyDescent="0.25">
      <c r="B198" s="29">
        <v>190</v>
      </c>
      <c r="C198" s="30">
        <v>0.1380813953488372</v>
      </c>
      <c r="D198" s="28">
        <v>35565</v>
      </c>
      <c r="E198" s="14">
        <v>-1.0427910562837317E-2</v>
      </c>
      <c r="F198" s="14">
        <v>-1.105516048433608E-2</v>
      </c>
      <c r="G198" s="14">
        <v>-5.9585827737091979E-3</v>
      </c>
      <c r="H198" s="14">
        <v>-6.2511195267652038E-3</v>
      </c>
    </row>
    <row r="199" spans="2:8" x14ac:dyDescent="0.25">
      <c r="B199" s="29">
        <v>191</v>
      </c>
      <c r="C199" s="30">
        <v>0.13880813953488372</v>
      </c>
      <c r="D199" s="28">
        <v>35566</v>
      </c>
      <c r="E199" s="14">
        <v>-1.0419904143424974E-2</v>
      </c>
      <c r="F199" s="14">
        <v>-1.102730753087533E-2</v>
      </c>
      <c r="G199" s="14">
        <v>-5.9362861125542565E-3</v>
      </c>
      <c r="H199" s="14">
        <v>-6.240509732325328E-3</v>
      </c>
    </row>
    <row r="200" spans="2:8" x14ac:dyDescent="0.25">
      <c r="B200" s="29">
        <v>192</v>
      </c>
      <c r="C200" s="30">
        <v>0.13953488372093023</v>
      </c>
      <c r="D200" s="28">
        <v>35569</v>
      </c>
      <c r="E200" s="14">
        <v>-1.0362635414747134E-2</v>
      </c>
      <c r="F200" s="14">
        <v>-1.0977344861551996E-2</v>
      </c>
      <c r="G200" s="14">
        <v>-5.9320506032790599E-3</v>
      </c>
      <c r="H200" s="14">
        <v>-6.2322003637555589E-3</v>
      </c>
    </row>
    <row r="201" spans="2:8" x14ac:dyDescent="0.25">
      <c r="B201" s="29">
        <v>193</v>
      </c>
      <c r="C201" s="30">
        <v>0.14026162790697674</v>
      </c>
      <c r="D201" s="28">
        <v>35570</v>
      </c>
      <c r="E201" s="14">
        <v>-1.0296970601402888E-2</v>
      </c>
      <c r="F201" s="14">
        <v>-1.0944274082690053E-2</v>
      </c>
      <c r="G201" s="14">
        <v>-5.929887797221256E-3</v>
      </c>
      <c r="H201" s="14">
        <v>-6.1310372071988976E-3</v>
      </c>
    </row>
    <row r="202" spans="2:8" x14ac:dyDescent="0.25">
      <c r="B202" s="29">
        <v>194</v>
      </c>
      <c r="C202" s="30">
        <v>0.14098837209302326</v>
      </c>
      <c r="D202" s="28">
        <v>35571</v>
      </c>
      <c r="E202" s="14">
        <v>-1.0284004736874963E-2</v>
      </c>
      <c r="F202" s="14">
        <v>-1.0882798104764446E-2</v>
      </c>
      <c r="G202" s="14">
        <v>-5.8605301360287188E-3</v>
      </c>
      <c r="H202" s="14">
        <v>-6.116786638703276E-3</v>
      </c>
    </row>
    <row r="203" spans="2:8" x14ac:dyDescent="0.25">
      <c r="B203" s="29">
        <v>195</v>
      </c>
      <c r="C203" s="30">
        <v>0.14171511627906977</v>
      </c>
      <c r="D203" s="28">
        <v>35572</v>
      </c>
      <c r="E203" s="14">
        <v>-1.026983070527665E-2</v>
      </c>
      <c r="F203" s="14">
        <v>-1.0862361761173056E-2</v>
      </c>
      <c r="G203" s="14">
        <v>-5.8443382972745983E-3</v>
      </c>
      <c r="H203" s="14">
        <v>-6.0828325721118187E-3</v>
      </c>
    </row>
    <row r="204" spans="2:8" x14ac:dyDescent="0.25">
      <c r="B204" s="29">
        <v>196</v>
      </c>
      <c r="C204" s="30">
        <v>0.14244186046511628</v>
      </c>
      <c r="D204" s="28">
        <v>35573</v>
      </c>
      <c r="E204" s="14">
        <v>-1.0226951280544849E-2</v>
      </c>
      <c r="F204" s="14">
        <v>-1.078614880673856E-2</v>
      </c>
      <c r="G204" s="14">
        <v>-5.8335388648411701E-3</v>
      </c>
      <c r="H204" s="14">
        <v>-6.0677034134525073E-3</v>
      </c>
    </row>
    <row r="205" spans="2:8" x14ac:dyDescent="0.25">
      <c r="B205" s="29">
        <v>197</v>
      </c>
      <c r="C205" s="30">
        <v>0.1431686046511628</v>
      </c>
      <c r="D205" s="28">
        <v>35576</v>
      </c>
      <c r="E205" s="14">
        <v>-1.0159298450866716E-2</v>
      </c>
      <c r="F205" s="14">
        <v>-1.0776146063631975E-2</v>
      </c>
      <c r="G205" s="14">
        <v>-5.8136405232275257E-3</v>
      </c>
      <c r="H205" s="14">
        <v>-6.0552427952663473E-3</v>
      </c>
    </row>
    <row r="206" spans="2:8" x14ac:dyDescent="0.25">
      <c r="B206" s="29">
        <v>198</v>
      </c>
      <c r="C206" s="30">
        <v>0.14389534883720931</v>
      </c>
      <c r="D206" s="28">
        <v>35577</v>
      </c>
      <c r="E206" s="14">
        <v>-1.0073988580677651E-2</v>
      </c>
      <c r="F206" s="14">
        <v>-1.0741864220134012E-2</v>
      </c>
      <c r="G206" s="14">
        <v>-5.8083252662148865E-3</v>
      </c>
      <c r="H206" s="14">
        <v>-6.0421265713224148E-3</v>
      </c>
    </row>
    <row r="207" spans="2:8" x14ac:dyDescent="0.25">
      <c r="B207" s="29">
        <v>199</v>
      </c>
      <c r="C207" s="30">
        <v>0.14462209302325582</v>
      </c>
      <c r="D207" s="28">
        <v>35578</v>
      </c>
      <c r="E207" s="14">
        <v>-1.0061668289516379E-2</v>
      </c>
      <c r="F207" s="14">
        <v>-1.0736180621654601E-2</v>
      </c>
      <c r="G207" s="14">
        <v>-5.7729568284147215E-3</v>
      </c>
      <c r="H207" s="14">
        <v>-5.9993118696712424E-3</v>
      </c>
    </row>
    <row r="208" spans="2:8" x14ac:dyDescent="0.25">
      <c r="B208" s="29">
        <v>200</v>
      </c>
      <c r="C208" s="30">
        <v>0.14534883720930233</v>
      </c>
      <c r="D208" s="28">
        <v>35579</v>
      </c>
      <c r="E208" s="14">
        <v>-1.0024583223490091E-2</v>
      </c>
      <c r="F208" s="14">
        <v>-1.070590500916524E-2</v>
      </c>
      <c r="G208" s="14">
        <v>-5.6819047004786905E-3</v>
      </c>
      <c r="H208" s="14">
        <v>-5.9979413350681248E-3</v>
      </c>
    </row>
    <row r="209" spans="2:8" x14ac:dyDescent="0.25">
      <c r="B209" s="29">
        <v>201</v>
      </c>
      <c r="C209" s="30">
        <v>0.14607558139534885</v>
      </c>
      <c r="D209" s="28">
        <v>35580</v>
      </c>
      <c r="E209" s="14">
        <v>-1.0013488812663396E-2</v>
      </c>
      <c r="F209" s="14">
        <v>-1.0605464299770051E-2</v>
      </c>
      <c r="G209" s="14">
        <v>-5.6707677584282301E-3</v>
      </c>
      <c r="H209" s="14">
        <v>-5.9895150441165342E-3</v>
      </c>
    </row>
    <row r="210" spans="2:8" x14ac:dyDescent="0.25">
      <c r="B210" s="29">
        <v>202</v>
      </c>
      <c r="C210" s="30">
        <v>0.14680232558139536</v>
      </c>
      <c r="D210" s="28">
        <v>35583</v>
      </c>
      <c r="E210" s="14">
        <v>-9.9953938303926071E-3</v>
      </c>
      <c r="F210" s="14">
        <v>-1.0584961873137844E-2</v>
      </c>
      <c r="G210" s="14">
        <v>-5.6245830996897173E-3</v>
      </c>
      <c r="H210" s="14">
        <v>-5.9435134801572266E-3</v>
      </c>
    </row>
    <row r="211" spans="2:8" x14ac:dyDescent="0.25">
      <c r="B211" s="29">
        <v>203</v>
      </c>
      <c r="C211" s="30">
        <v>0.14752906976744187</v>
      </c>
      <c r="D211" s="28">
        <v>35584</v>
      </c>
      <c r="E211" s="14">
        <v>-9.9511381241806918E-3</v>
      </c>
      <c r="F211" s="14">
        <v>-1.0552405829796108E-2</v>
      </c>
      <c r="G211" s="14">
        <v>-5.5995892331024422E-3</v>
      </c>
      <c r="H211" s="14">
        <v>-5.9332214831821616E-3</v>
      </c>
    </row>
    <row r="212" spans="2:8" x14ac:dyDescent="0.25">
      <c r="B212" s="29">
        <v>204</v>
      </c>
      <c r="C212" s="30">
        <v>0.14825581395348839</v>
      </c>
      <c r="D212" s="28">
        <v>35585</v>
      </c>
      <c r="E212" s="14">
        <v>-9.9485603934222899E-3</v>
      </c>
      <c r="F212" s="14">
        <v>-1.054950150707179E-2</v>
      </c>
      <c r="G212" s="14">
        <v>-5.5565857902842852E-3</v>
      </c>
      <c r="H212" s="14">
        <v>-5.9129576302475954E-3</v>
      </c>
    </row>
    <row r="213" spans="2:8" x14ac:dyDescent="0.25">
      <c r="B213" s="29">
        <v>205</v>
      </c>
      <c r="C213" s="30">
        <v>0.14898255813953487</v>
      </c>
      <c r="D213" s="28">
        <v>35586</v>
      </c>
      <c r="E213" s="14">
        <v>-9.9275139170895699E-3</v>
      </c>
      <c r="F213" s="14">
        <v>-1.0548704005235332E-2</v>
      </c>
      <c r="G213" s="14">
        <v>-5.5501285519418131E-3</v>
      </c>
      <c r="H213" s="14">
        <v>-5.8836673958998272E-3</v>
      </c>
    </row>
    <row r="214" spans="2:8" x14ac:dyDescent="0.25">
      <c r="B214" s="29">
        <v>206</v>
      </c>
      <c r="C214" s="30">
        <v>0.14970930232558138</v>
      </c>
      <c r="D214" s="28">
        <v>35587</v>
      </c>
      <c r="E214" s="14">
        <v>-9.8069030832323989E-3</v>
      </c>
      <c r="F214" s="14">
        <v>-1.0512736056214278E-2</v>
      </c>
      <c r="G214" s="14">
        <v>-5.5346208195949931E-3</v>
      </c>
      <c r="H214" s="14">
        <v>-5.8624146867079395E-3</v>
      </c>
    </row>
    <row r="215" spans="2:8" x14ac:dyDescent="0.25">
      <c r="B215" s="29">
        <v>207</v>
      </c>
      <c r="C215" s="30">
        <v>0.1504360465116279</v>
      </c>
      <c r="D215" s="28">
        <v>35590</v>
      </c>
      <c r="E215" s="14">
        <v>-9.7903714290974442E-3</v>
      </c>
      <c r="F215" s="14">
        <v>-1.04480520453899E-2</v>
      </c>
      <c r="G215" s="14">
        <v>-5.5338027590438044E-3</v>
      </c>
      <c r="H215" s="14">
        <v>-5.8185899353487619E-3</v>
      </c>
    </row>
    <row r="216" spans="2:8" x14ac:dyDescent="0.25">
      <c r="B216" s="29">
        <v>208</v>
      </c>
      <c r="C216" s="30">
        <v>0.15116279069767441</v>
      </c>
      <c r="D216" s="28">
        <v>35591</v>
      </c>
      <c r="E216" s="14">
        <v>-9.7138982056779177E-3</v>
      </c>
      <c r="F216" s="14">
        <v>-1.0432483609924992E-2</v>
      </c>
      <c r="G216" s="14">
        <v>-5.5262886065489125E-3</v>
      </c>
      <c r="H216" s="14">
        <v>-5.7945241979842528E-3</v>
      </c>
    </row>
    <row r="217" spans="2:8" x14ac:dyDescent="0.25">
      <c r="B217" s="29">
        <v>209</v>
      </c>
      <c r="C217" s="30">
        <v>0.15188953488372092</v>
      </c>
      <c r="D217" s="28">
        <v>35592</v>
      </c>
      <c r="E217" s="14">
        <v>-9.7126425224718371E-3</v>
      </c>
      <c r="F217" s="14">
        <v>-1.0283704540743566E-2</v>
      </c>
      <c r="G217" s="14">
        <v>-5.5056725006459306E-3</v>
      </c>
      <c r="H217" s="14">
        <v>-5.7526308814716213E-3</v>
      </c>
    </row>
    <row r="218" spans="2:8" x14ac:dyDescent="0.25">
      <c r="B218" s="29">
        <v>210</v>
      </c>
      <c r="C218" s="30">
        <v>0.15261627906976744</v>
      </c>
      <c r="D218" s="28">
        <v>35593</v>
      </c>
      <c r="E218" s="14">
        <v>-9.6053091163115223E-3</v>
      </c>
      <c r="F218" s="14">
        <v>-1.025641025641022E-2</v>
      </c>
      <c r="G218" s="14">
        <v>-5.460303592879967E-3</v>
      </c>
      <c r="H218" s="14">
        <v>-5.7290454486195854E-3</v>
      </c>
    </row>
    <row r="219" spans="2:8" x14ac:dyDescent="0.25">
      <c r="B219" s="29">
        <v>211</v>
      </c>
      <c r="C219" s="30">
        <v>0.15334302325581395</v>
      </c>
      <c r="D219" s="28">
        <v>35594</v>
      </c>
      <c r="E219" s="14">
        <v>-9.586488092857226E-3</v>
      </c>
      <c r="F219" s="14">
        <v>-1.0215344330179454E-2</v>
      </c>
      <c r="G219" s="14">
        <v>-5.438721727301532E-3</v>
      </c>
      <c r="H219" s="14">
        <v>-5.7106367033985536E-3</v>
      </c>
    </row>
    <row r="220" spans="2:8" x14ac:dyDescent="0.25">
      <c r="B220" s="29">
        <v>212</v>
      </c>
      <c r="C220" s="30">
        <v>0.15406976744186046</v>
      </c>
      <c r="D220" s="28">
        <v>35597</v>
      </c>
      <c r="E220" s="14">
        <v>-9.4803501005761293E-3</v>
      </c>
      <c r="F220" s="14">
        <v>-1.0169697542660727E-2</v>
      </c>
      <c r="G220" s="14">
        <v>-5.426957581127545E-3</v>
      </c>
      <c r="H220" s="14">
        <v>-5.7082194420584606E-3</v>
      </c>
    </row>
    <row r="221" spans="2:8" x14ac:dyDescent="0.25">
      <c r="B221" s="29">
        <v>213</v>
      </c>
      <c r="C221" s="30">
        <v>0.15479651162790697</v>
      </c>
      <c r="D221" s="28">
        <v>35598</v>
      </c>
      <c r="E221" s="14">
        <v>-9.4468386418086192E-3</v>
      </c>
      <c r="F221" s="14">
        <v>-1.0088031659092112E-2</v>
      </c>
      <c r="G221" s="14">
        <v>-5.4132910645774412E-3</v>
      </c>
      <c r="H221" s="14">
        <v>-5.6993096765412419E-3</v>
      </c>
    </row>
    <row r="222" spans="2:8" x14ac:dyDescent="0.25">
      <c r="B222" s="29">
        <v>214</v>
      </c>
      <c r="C222" s="30">
        <v>0.15552325581395349</v>
      </c>
      <c r="D222" s="28">
        <v>35599</v>
      </c>
      <c r="E222" s="14">
        <v>-9.4029149036199966E-3</v>
      </c>
      <c r="F222" s="14">
        <v>-9.9614051388341451E-3</v>
      </c>
      <c r="G222" s="14">
        <v>-5.4029460274128693E-3</v>
      </c>
      <c r="H222" s="14">
        <v>-5.6656264351377496E-3</v>
      </c>
    </row>
    <row r="223" spans="2:8" x14ac:dyDescent="0.25">
      <c r="B223" s="29">
        <v>215</v>
      </c>
      <c r="C223" s="30">
        <v>0.15625</v>
      </c>
      <c r="D223" s="28">
        <v>35600</v>
      </c>
      <c r="E223" s="14">
        <v>-9.3911554206651537E-3</v>
      </c>
      <c r="F223" s="14">
        <v>-9.9485010503536087E-3</v>
      </c>
      <c r="G223" s="14">
        <v>-5.3693402039260985E-3</v>
      </c>
      <c r="H223" s="14">
        <v>-5.6249778542484695E-3</v>
      </c>
    </row>
    <row r="224" spans="2:8" x14ac:dyDescent="0.25">
      <c r="B224" s="29">
        <v>216</v>
      </c>
      <c r="C224" s="30">
        <v>0.15697674418604651</v>
      </c>
      <c r="D224" s="28">
        <v>35601</v>
      </c>
      <c r="E224" s="14">
        <v>-9.3657558883702974E-3</v>
      </c>
      <c r="F224" s="14">
        <v>-9.8402208243755229E-3</v>
      </c>
      <c r="G224" s="14">
        <v>-5.3569414683658501E-3</v>
      </c>
      <c r="H224" s="14">
        <v>-5.6140593994171263E-3</v>
      </c>
    </row>
    <row r="225" spans="2:8" x14ac:dyDescent="0.25">
      <c r="B225" s="29">
        <v>217</v>
      </c>
      <c r="C225" s="30">
        <v>0.15770348837209303</v>
      </c>
      <c r="D225" s="28">
        <v>35604</v>
      </c>
      <c r="E225" s="14">
        <v>-9.3656199689555741E-3</v>
      </c>
      <c r="F225" s="14">
        <v>-9.8084780211012967E-3</v>
      </c>
      <c r="G225" s="14">
        <v>-5.3466157570675188E-3</v>
      </c>
      <c r="H225" s="14">
        <v>-5.5660507695021628E-3</v>
      </c>
    </row>
    <row r="226" spans="2:8" x14ac:dyDescent="0.25">
      <c r="B226" s="29">
        <v>218</v>
      </c>
      <c r="C226" s="30">
        <v>0.15843023255813954</v>
      </c>
      <c r="D226" s="28">
        <v>35605</v>
      </c>
      <c r="E226" s="14">
        <v>-9.3629854243183486E-3</v>
      </c>
      <c r="F226" s="14">
        <v>-9.7257227575980876E-3</v>
      </c>
      <c r="G226" s="14">
        <v>-5.3223266170639993E-3</v>
      </c>
      <c r="H226" s="14">
        <v>-5.554251784365638E-3</v>
      </c>
    </row>
    <row r="227" spans="2:8" x14ac:dyDescent="0.25">
      <c r="B227" s="29">
        <v>219</v>
      </c>
      <c r="C227" s="30">
        <v>0.15915697674418605</v>
      </c>
      <c r="D227" s="28">
        <v>35606</v>
      </c>
      <c r="E227" s="14">
        <v>-9.3629420498212435E-3</v>
      </c>
      <c r="F227" s="14">
        <v>-9.6944822828028965E-3</v>
      </c>
      <c r="G227" s="14">
        <v>-5.2998638171741774E-3</v>
      </c>
      <c r="H227" s="14">
        <v>-5.5301323597391604E-3</v>
      </c>
    </row>
    <row r="228" spans="2:8" x14ac:dyDescent="0.25">
      <c r="B228" s="29">
        <v>220</v>
      </c>
      <c r="C228" s="30">
        <v>0.15988372093023256</v>
      </c>
      <c r="D228" s="28">
        <v>35607</v>
      </c>
      <c r="E228" s="14">
        <v>-9.3551620447710482E-3</v>
      </c>
      <c r="F228" s="14">
        <v>-9.5955068513199349E-3</v>
      </c>
      <c r="G228" s="14">
        <v>-5.294200064516863E-3</v>
      </c>
      <c r="H228" s="14">
        <v>-5.5237116134285065E-3</v>
      </c>
    </row>
    <row r="229" spans="2:8" x14ac:dyDescent="0.25">
      <c r="B229" s="29">
        <v>221</v>
      </c>
      <c r="C229" s="30">
        <v>0.16061046511627908</v>
      </c>
      <c r="D229" s="28">
        <v>35608</v>
      </c>
      <c r="E229" s="14">
        <v>-9.2609299763405373E-3</v>
      </c>
      <c r="F229" s="14">
        <v>-9.589893415571149E-3</v>
      </c>
      <c r="G229" s="14">
        <v>-5.2925108126566922E-3</v>
      </c>
      <c r="H229" s="14">
        <v>-5.4766633808382087E-3</v>
      </c>
    </row>
    <row r="230" spans="2:8" x14ac:dyDescent="0.25">
      <c r="B230" s="29">
        <v>222</v>
      </c>
      <c r="C230" s="30">
        <v>0.16133720930232559</v>
      </c>
      <c r="D230" s="28">
        <v>35611</v>
      </c>
      <c r="E230" s="14">
        <v>-9.2259854064161706E-3</v>
      </c>
      <c r="F230" s="14">
        <v>-9.5490896716011742E-3</v>
      </c>
      <c r="G230" s="14">
        <v>-5.285965998380715E-3</v>
      </c>
      <c r="H230" s="14">
        <v>-5.4616563434527702E-3</v>
      </c>
    </row>
    <row r="231" spans="2:8" x14ac:dyDescent="0.25">
      <c r="B231" s="29">
        <v>223</v>
      </c>
      <c r="C231" s="30">
        <v>0.1620639534883721</v>
      </c>
      <c r="D231" s="28">
        <v>35612</v>
      </c>
      <c r="E231" s="14">
        <v>-9.175754609953013E-3</v>
      </c>
      <c r="F231" s="14">
        <v>-9.5480255305900874E-3</v>
      </c>
      <c r="G231" s="14">
        <v>-5.2819807427784138E-3</v>
      </c>
      <c r="H231" s="14">
        <v>-5.4434133748027637E-3</v>
      </c>
    </row>
    <row r="232" spans="2:8" x14ac:dyDescent="0.25">
      <c r="B232" s="29">
        <v>224</v>
      </c>
      <c r="C232" s="30">
        <v>0.16279069767441862</v>
      </c>
      <c r="D232" s="28">
        <v>35613</v>
      </c>
      <c r="E232" s="14">
        <v>-9.1717669088197118E-3</v>
      </c>
      <c r="F232" s="14">
        <v>-9.5194016977143692E-3</v>
      </c>
      <c r="G232" s="14">
        <v>-5.2734922861150668E-3</v>
      </c>
      <c r="H232" s="14">
        <v>-5.4426500475265099E-3</v>
      </c>
    </row>
    <row r="233" spans="2:8" x14ac:dyDescent="0.25">
      <c r="B233" s="29">
        <v>225</v>
      </c>
      <c r="C233" s="30">
        <v>0.16351744186046513</v>
      </c>
      <c r="D233" s="28">
        <v>35614</v>
      </c>
      <c r="E233" s="14">
        <v>-9.1383812010443766E-3</v>
      </c>
      <c r="F233" s="14">
        <v>-9.5072475841385673E-3</v>
      </c>
      <c r="G233" s="14">
        <v>-5.2698729683252621E-3</v>
      </c>
      <c r="H233" s="14">
        <v>-5.4357811654370371E-3</v>
      </c>
    </row>
    <row r="234" spans="2:8" x14ac:dyDescent="0.25">
      <c r="B234" s="29">
        <v>226</v>
      </c>
      <c r="C234" s="30">
        <v>0.16424418604651161</v>
      </c>
      <c r="D234" s="28">
        <v>35615</v>
      </c>
      <c r="E234" s="14">
        <v>-9.1106739828140659E-3</v>
      </c>
      <c r="F234" s="14">
        <v>-9.4906559179185335E-3</v>
      </c>
      <c r="G234" s="14">
        <v>-5.2695581678151582E-3</v>
      </c>
      <c r="H234" s="14">
        <v>-5.4061106904679255E-3</v>
      </c>
    </row>
    <row r="235" spans="2:8" x14ac:dyDescent="0.25">
      <c r="B235" s="29">
        <v>227</v>
      </c>
      <c r="C235" s="30">
        <v>0.16497093023255813</v>
      </c>
      <c r="D235" s="28">
        <v>35618</v>
      </c>
      <c r="E235" s="14">
        <v>-9.109981288627611E-3</v>
      </c>
      <c r="F235" s="14">
        <v>-9.4845360824741265E-3</v>
      </c>
      <c r="G235" s="14">
        <v>-5.26147142527289E-3</v>
      </c>
      <c r="H235" s="14">
        <v>-5.4038732546993103E-3</v>
      </c>
    </row>
    <row r="236" spans="2:8" x14ac:dyDescent="0.25">
      <c r="B236" s="29">
        <v>228</v>
      </c>
      <c r="C236" s="30">
        <v>0.16569767441860464</v>
      </c>
      <c r="D236" s="28">
        <v>35619</v>
      </c>
      <c r="E236" s="14">
        <v>-9.1083311608752826E-3</v>
      </c>
      <c r="F236" s="14">
        <v>-9.4740624534402906E-3</v>
      </c>
      <c r="G236" s="14">
        <v>-5.1889990202513836E-3</v>
      </c>
      <c r="H236" s="14">
        <v>-5.4029321294648989E-3</v>
      </c>
    </row>
    <row r="237" spans="2:8" x14ac:dyDescent="0.25">
      <c r="B237" s="29">
        <v>229</v>
      </c>
      <c r="C237" s="30">
        <v>0.16642441860465115</v>
      </c>
      <c r="D237" s="28">
        <v>35620</v>
      </c>
      <c r="E237" s="14">
        <v>-9.1063328832103885E-3</v>
      </c>
      <c r="F237" s="14">
        <v>-9.449977365323714E-3</v>
      </c>
      <c r="G237" s="14">
        <v>-5.1563539587493601E-3</v>
      </c>
      <c r="H237" s="14">
        <v>-5.3628084467008293E-3</v>
      </c>
    </row>
    <row r="238" spans="2:8" x14ac:dyDescent="0.25">
      <c r="B238" s="29">
        <v>230</v>
      </c>
      <c r="C238" s="30">
        <v>0.16715116279069767</v>
      </c>
      <c r="D238" s="28">
        <v>35621</v>
      </c>
      <c r="E238" s="14">
        <v>-9.0549069757850376E-3</v>
      </c>
      <c r="F238" s="14">
        <v>-9.4393359915371233E-3</v>
      </c>
      <c r="G238" s="14">
        <v>-5.1508569449447705E-3</v>
      </c>
      <c r="H238" s="14">
        <v>-5.3347243882891698E-3</v>
      </c>
    </row>
    <row r="239" spans="2:8" x14ac:dyDescent="0.25">
      <c r="B239" s="29">
        <v>231</v>
      </c>
      <c r="C239" s="30">
        <v>0.16787790697674418</v>
      </c>
      <c r="D239" s="28">
        <v>35622</v>
      </c>
      <c r="E239" s="14">
        <v>-9.0139050260485964E-3</v>
      </c>
      <c r="F239" s="14">
        <v>-9.4110828083768805E-3</v>
      </c>
      <c r="G239" s="14">
        <v>-5.1474530831099319E-3</v>
      </c>
      <c r="H239" s="14">
        <v>-5.247481150369015E-3</v>
      </c>
    </row>
    <row r="240" spans="2:8" x14ac:dyDescent="0.25">
      <c r="B240" s="29">
        <v>232</v>
      </c>
      <c r="C240" s="30">
        <v>0.16860465116279069</v>
      </c>
      <c r="D240" s="28">
        <v>35625</v>
      </c>
      <c r="E240" s="14">
        <v>-8.9982522625414729E-3</v>
      </c>
      <c r="F240" s="14">
        <v>-9.3973186317504176E-3</v>
      </c>
      <c r="G240" s="14">
        <v>-5.1383350323032095E-3</v>
      </c>
      <c r="H240" s="14">
        <v>-5.1802178134143341E-3</v>
      </c>
    </row>
    <row r="241" spans="2:8" x14ac:dyDescent="0.25">
      <c r="B241" s="29">
        <v>233</v>
      </c>
      <c r="C241" s="30">
        <v>0.1693313953488372</v>
      </c>
      <c r="D241" s="28">
        <v>35626</v>
      </c>
      <c r="E241" s="14">
        <v>-8.9659445748593303E-3</v>
      </c>
      <c r="F241" s="14">
        <v>-9.1795112711869908E-3</v>
      </c>
      <c r="G241" s="14">
        <v>-5.119590646592509E-3</v>
      </c>
      <c r="H241" s="14">
        <v>-5.1714179533808302E-3</v>
      </c>
    </row>
    <row r="242" spans="2:8" x14ac:dyDescent="0.25">
      <c r="B242" s="29">
        <v>234</v>
      </c>
      <c r="C242" s="30">
        <v>0.17005813953488372</v>
      </c>
      <c r="D242" s="28">
        <v>35627</v>
      </c>
      <c r="E242" s="14">
        <v>-8.940748598272541E-3</v>
      </c>
      <c r="F242" s="14">
        <v>-9.109880407737303E-3</v>
      </c>
      <c r="G242" s="14">
        <v>-5.0661726877100355E-3</v>
      </c>
      <c r="H242" s="14">
        <v>-5.143272553560463E-3</v>
      </c>
    </row>
    <row r="243" spans="2:8" x14ac:dyDescent="0.25">
      <c r="B243" s="29">
        <v>235</v>
      </c>
      <c r="C243" s="30">
        <v>0.17078488372093023</v>
      </c>
      <c r="D243" s="28">
        <v>35628</v>
      </c>
      <c r="E243" s="14">
        <v>-8.9377754031686463E-3</v>
      </c>
      <c r="F243" s="14">
        <v>-9.0597775252584389E-3</v>
      </c>
      <c r="G243" s="14">
        <v>-5.0380514411095811E-3</v>
      </c>
      <c r="H243" s="14">
        <v>-5.1396980563919621E-3</v>
      </c>
    </row>
    <row r="244" spans="2:8" x14ac:dyDescent="0.25">
      <c r="B244" s="29">
        <v>236</v>
      </c>
      <c r="C244" s="30">
        <v>0.17151162790697674</v>
      </c>
      <c r="D244" s="28">
        <v>35629</v>
      </c>
      <c r="E244" s="14">
        <v>-8.9302548353020761E-3</v>
      </c>
      <c r="F244" s="14">
        <v>-9.0539636812593249E-3</v>
      </c>
      <c r="G244" s="14">
        <v>-5.033994615246562E-3</v>
      </c>
      <c r="H244" s="14">
        <v>-5.0990292747520984E-3</v>
      </c>
    </row>
    <row r="245" spans="2:8" x14ac:dyDescent="0.25">
      <c r="B245" s="29">
        <v>237</v>
      </c>
      <c r="C245" s="30">
        <v>0.17223837209302326</v>
      </c>
      <c r="D245" s="28">
        <v>35632</v>
      </c>
      <c r="E245" s="14">
        <v>-8.9233757377062961E-3</v>
      </c>
      <c r="F245" s="14">
        <v>-9.0020187142040298E-3</v>
      </c>
      <c r="G245" s="14">
        <v>-5.0212006248604446E-3</v>
      </c>
      <c r="H245" s="14">
        <v>-5.0219028204617549E-3</v>
      </c>
    </row>
    <row r="246" spans="2:8" x14ac:dyDescent="0.25">
      <c r="B246" s="29">
        <v>238</v>
      </c>
      <c r="C246" s="30">
        <v>0.17296511627906977</v>
      </c>
      <c r="D246" s="28">
        <v>35633</v>
      </c>
      <c r="E246" s="14">
        <v>-8.7164668228969511E-3</v>
      </c>
      <c r="F246" s="14">
        <v>-8.9852524660611888E-3</v>
      </c>
      <c r="G246" s="14">
        <v>-4.9988628511969946E-3</v>
      </c>
      <c r="H246" s="14">
        <v>-5.0065864410560488E-3</v>
      </c>
    </row>
    <row r="247" spans="2:8" x14ac:dyDescent="0.25">
      <c r="B247" s="29">
        <v>239</v>
      </c>
      <c r="C247" s="30">
        <v>0.17369186046511628</v>
      </c>
      <c r="D247" s="28">
        <v>35634</v>
      </c>
      <c r="E247" s="14">
        <v>-8.6234844064060345E-3</v>
      </c>
      <c r="F247" s="14">
        <v>-8.9186642939390604E-3</v>
      </c>
      <c r="G247" s="14">
        <v>-4.9848329146621184E-3</v>
      </c>
      <c r="H247" s="14">
        <v>-4.9849655412901768E-3</v>
      </c>
    </row>
    <row r="248" spans="2:8" x14ac:dyDescent="0.25">
      <c r="B248" s="29">
        <v>240</v>
      </c>
      <c r="C248" s="30">
        <v>0.1744186046511628</v>
      </c>
      <c r="D248" s="28">
        <v>35635</v>
      </c>
      <c r="E248" s="14">
        <v>-8.5865458892575575E-3</v>
      </c>
      <c r="F248" s="14">
        <v>-8.8513195525468102E-3</v>
      </c>
      <c r="G248" s="14">
        <v>-4.9515845070423614E-3</v>
      </c>
      <c r="H248" s="14">
        <v>-4.9821417556795266E-3</v>
      </c>
    </row>
    <row r="249" spans="2:8" x14ac:dyDescent="0.25">
      <c r="B249" s="29">
        <v>241</v>
      </c>
      <c r="C249" s="30">
        <v>0.17514534883720931</v>
      </c>
      <c r="D249" s="28">
        <v>35636</v>
      </c>
      <c r="E249" s="14">
        <v>-8.5839765770562293E-3</v>
      </c>
      <c r="F249" s="14">
        <v>-8.7915362837132083E-3</v>
      </c>
      <c r="G249" s="14">
        <v>-4.936151947633749E-3</v>
      </c>
      <c r="H249" s="14">
        <v>-4.9142494137721657E-3</v>
      </c>
    </row>
    <row r="250" spans="2:8" x14ac:dyDescent="0.25">
      <c r="B250" s="29">
        <v>242</v>
      </c>
      <c r="C250" s="30">
        <v>0.17587209302325582</v>
      </c>
      <c r="D250" s="28">
        <v>35639</v>
      </c>
      <c r="E250" s="14">
        <v>-8.5643101837432623E-3</v>
      </c>
      <c r="F250" s="14">
        <v>-8.726304631843651E-3</v>
      </c>
      <c r="G250" s="14">
        <v>-4.8822634194277681E-3</v>
      </c>
      <c r="H250" s="14">
        <v>-4.9058174966968293E-3</v>
      </c>
    </row>
    <row r="251" spans="2:8" x14ac:dyDescent="0.25">
      <c r="B251" s="29">
        <v>243</v>
      </c>
      <c r="C251" s="30">
        <v>0.17659883720930233</v>
      </c>
      <c r="D251" s="28">
        <v>35640</v>
      </c>
      <c r="E251" s="14">
        <v>-8.5620750440695836E-3</v>
      </c>
      <c r="F251" s="14">
        <v>-8.7246844731434514E-3</v>
      </c>
      <c r="G251" s="14">
        <v>-4.8461337934410098E-3</v>
      </c>
      <c r="H251" s="14">
        <v>-4.8927574643536252E-3</v>
      </c>
    </row>
    <row r="252" spans="2:8" x14ac:dyDescent="0.25">
      <c r="B252" s="29">
        <v>244</v>
      </c>
      <c r="C252" s="30">
        <v>0.17732558139534885</v>
      </c>
      <c r="D252" s="28">
        <v>35641</v>
      </c>
      <c r="E252" s="14">
        <v>-8.543349088286134E-3</v>
      </c>
      <c r="F252" s="14">
        <v>-8.6530293120428148E-3</v>
      </c>
      <c r="G252" s="14">
        <v>-4.7925028065031183E-3</v>
      </c>
      <c r="H252" s="14">
        <v>-4.8795766437634393E-3</v>
      </c>
    </row>
    <row r="253" spans="2:8" x14ac:dyDescent="0.25">
      <c r="B253" s="29">
        <v>245</v>
      </c>
      <c r="C253" s="30">
        <v>0.17805232558139536</v>
      </c>
      <c r="D253" s="28">
        <v>35642</v>
      </c>
      <c r="E253" s="14">
        <v>-8.5135956910781241E-3</v>
      </c>
      <c r="F253" s="14">
        <v>-8.6488609583660336E-3</v>
      </c>
      <c r="G253" s="14">
        <v>-4.7871717594990537E-3</v>
      </c>
      <c r="H253" s="14">
        <v>-4.8608897674754514E-3</v>
      </c>
    </row>
    <row r="254" spans="2:8" x14ac:dyDescent="0.25">
      <c r="B254" s="29">
        <v>246</v>
      </c>
      <c r="C254" s="30">
        <v>0.17877906976744187</v>
      </c>
      <c r="D254" s="28">
        <v>35643</v>
      </c>
      <c r="E254" s="14">
        <v>-8.5034013605442826E-3</v>
      </c>
      <c r="F254" s="14">
        <v>-8.6234791612737061E-3</v>
      </c>
      <c r="G254" s="14">
        <v>-4.7769266872623728E-3</v>
      </c>
      <c r="H254" s="14">
        <v>-4.8493350066366233E-3</v>
      </c>
    </row>
    <row r="255" spans="2:8" x14ac:dyDescent="0.25">
      <c r="B255" s="29">
        <v>247</v>
      </c>
      <c r="C255" s="30">
        <v>0.17950581395348839</v>
      </c>
      <c r="D255" s="28">
        <v>35646</v>
      </c>
      <c r="E255" s="14">
        <v>-8.4782685019187953E-3</v>
      </c>
      <c r="F255" s="14">
        <v>-8.5868181734334303E-3</v>
      </c>
      <c r="G255" s="14">
        <v>-4.7663476685841921E-3</v>
      </c>
      <c r="H255" s="14">
        <v>-4.8482336233132365E-3</v>
      </c>
    </row>
    <row r="256" spans="2:8" x14ac:dyDescent="0.25">
      <c r="B256" s="29">
        <v>248</v>
      </c>
      <c r="C256" s="30">
        <v>0.18023255813953487</v>
      </c>
      <c r="D256" s="28">
        <v>35647</v>
      </c>
      <c r="E256" s="14">
        <v>-8.4692377686007569E-3</v>
      </c>
      <c r="F256" s="14">
        <v>-8.568305417314459E-3</v>
      </c>
      <c r="G256" s="14">
        <v>-4.7441545238900984E-3</v>
      </c>
      <c r="H256" s="14">
        <v>-4.8394958310643112E-3</v>
      </c>
    </row>
    <row r="257" spans="2:8" x14ac:dyDescent="0.25">
      <c r="B257" s="29">
        <v>249</v>
      </c>
      <c r="C257" s="30">
        <v>0.18095930232558138</v>
      </c>
      <c r="D257" s="28">
        <v>35648</v>
      </c>
      <c r="E257" s="14">
        <v>-8.3938074158733667E-3</v>
      </c>
      <c r="F257" s="14">
        <v>-8.5506899577251216E-3</v>
      </c>
      <c r="G257" s="14">
        <v>-4.7109984045496933E-3</v>
      </c>
      <c r="H257" s="14">
        <v>-4.8234730298526438E-3</v>
      </c>
    </row>
    <row r="258" spans="2:8" x14ac:dyDescent="0.25">
      <c r="B258" s="29">
        <v>250</v>
      </c>
      <c r="C258" s="30">
        <v>0.1816860465116279</v>
      </c>
      <c r="D258" s="28">
        <v>35649</v>
      </c>
      <c r="E258" s="14">
        <v>-8.3878891783750742E-3</v>
      </c>
      <c r="F258" s="14">
        <v>-8.5440123176748761E-3</v>
      </c>
      <c r="G258" s="14">
        <v>-4.6847660439126582E-3</v>
      </c>
      <c r="H258" s="14">
        <v>-4.7811026795778755E-3</v>
      </c>
    </row>
    <row r="259" spans="2:8" x14ac:dyDescent="0.25">
      <c r="B259" s="29">
        <v>251</v>
      </c>
      <c r="C259" s="30">
        <v>0.18241279069767441</v>
      </c>
      <c r="D259" s="28">
        <v>35650</v>
      </c>
      <c r="E259" s="14">
        <v>-8.3238154570309808E-3</v>
      </c>
      <c r="F259" s="14">
        <v>-8.5260628566747876E-3</v>
      </c>
      <c r="G259" s="14">
        <v>-4.6775258639665251E-3</v>
      </c>
      <c r="H259" s="14">
        <v>-4.71016763795995E-3</v>
      </c>
    </row>
    <row r="260" spans="2:8" x14ac:dyDescent="0.25">
      <c r="B260" s="29">
        <v>252</v>
      </c>
      <c r="C260" s="30">
        <v>0.18313953488372092</v>
      </c>
      <c r="D260" s="28">
        <v>35653</v>
      </c>
      <c r="E260" s="14">
        <v>-8.2995784078696566E-3</v>
      </c>
      <c r="F260" s="14">
        <v>-8.5211654755360522E-3</v>
      </c>
      <c r="G260" s="14">
        <v>-4.6531187877365543E-3</v>
      </c>
      <c r="H260" s="14">
        <v>-4.6825133049907212E-3</v>
      </c>
    </row>
    <row r="261" spans="2:8" x14ac:dyDescent="0.25">
      <c r="B261" s="29">
        <v>253</v>
      </c>
      <c r="C261" s="30">
        <v>0.18386627906976744</v>
      </c>
      <c r="D261" s="28">
        <v>35654</v>
      </c>
      <c r="E261" s="14">
        <v>-8.2955391469226036E-3</v>
      </c>
      <c r="F261" s="14">
        <v>-8.5184566560881914E-3</v>
      </c>
      <c r="G261" s="14">
        <v>-4.6279806277084168E-3</v>
      </c>
      <c r="H261" s="14">
        <v>-4.6592589578286613E-3</v>
      </c>
    </row>
    <row r="262" spans="2:8" x14ac:dyDescent="0.25">
      <c r="B262" s="29">
        <v>254</v>
      </c>
      <c r="C262" s="30">
        <v>0.18459302325581395</v>
      </c>
      <c r="D262" s="28">
        <v>35655</v>
      </c>
      <c r="E262" s="14">
        <v>-8.2859136884263496E-3</v>
      </c>
      <c r="F262" s="14">
        <v>-8.5145772388744989E-3</v>
      </c>
      <c r="G262" s="14">
        <v>-4.6178084424403076E-3</v>
      </c>
      <c r="H262" s="14">
        <v>-4.6244341679153372E-3</v>
      </c>
    </row>
    <row r="263" spans="2:8" x14ac:dyDescent="0.25">
      <c r="B263" s="29">
        <v>255</v>
      </c>
      <c r="C263" s="30">
        <v>0.18531976744186046</v>
      </c>
      <c r="D263" s="28">
        <v>35656</v>
      </c>
      <c r="E263" s="14">
        <v>-8.2645052339473946E-3</v>
      </c>
      <c r="F263" s="14">
        <v>-8.4470252849028205E-3</v>
      </c>
      <c r="G263" s="14">
        <v>-4.5854751794969228E-3</v>
      </c>
      <c r="H263" s="14">
        <v>-4.5949031325277509E-3</v>
      </c>
    </row>
    <row r="264" spans="2:8" x14ac:dyDescent="0.25">
      <c r="B264" s="29">
        <v>256</v>
      </c>
      <c r="C264" s="30">
        <v>0.18604651162790697</v>
      </c>
      <c r="D264" s="28">
        <v>35657</v>
      </c>
      <c r="E264" s="14">
        <v>-8.2364341085271464E-3</v>
      </c>
      <c r="F264" s="14">
        <v>-8.4231663496090459E-3</v>
      </c>
      <c r="G264" s="14">
        <v>-4.5809938865195576E-3</v>
      </c>
      <c r="H264" s="14">
        <v>-4.5920516807999691E-3</v>
      </c>
    </row>
    <row r="265" spans="2:8" x14ac:dyDescent="0.25">
      <c r="B265" s="29">
        <v>257</v>
      </c>
      <c r="C265" s="30">
        <v>0.18677325581395349</v>
      </c>
      <c r="D265" s="28">
        <v>35660</v>
      </c>
      <c r="E265" s="14">
        <v>-8.1597594994937683E-3</v>
      </c>
      <c r="F265" s="14">
        <v>-8.4216164742293431E-3</v>
      </c>
      <c r="G265" s="14">
        <v>-4.5800813198111356E-3</v>
      </c>
      <c r="H265" s="14">
        <v>-4.5912947775243124E-3</v>
      </c>
    </row>
    <row r="266" spans="2:8" x14ac:dyDescent="0.25">
      <c r="B266" s="29">
        <v>258</v>
      </c>
      <c r="C266" s="30">
        <v>0.1875</v>
      </c>
      <c r="D266" s="28">
        <v>35661</v>
      </c>
      <c r="E266" s="14">
        <v>-8.1375009506425844E-3</v>
      </c>
      <c r="F266" s="14">
        <v>-8.4089547602672621E-3</v>
      </c>
      <c r="G266" s="14">
        <v>-4.5774673014005174E-3</v>
      </c>
      <c r="H266" s="14">
        <v>-4.5598805634007094E-3</v>
      </c>
    </row>
    <row r="267" spans="2:8" x14ac:dyDescent="0.25">
      <c r="B267" s="29">
        <v>259</v>
      </c>
      <c r="C267" s="30">
        <v>0.18822674418604651</v>
      </c>
      <c r="D267" s="28">
        <v>35662</v>
      </c>
      <c r="E267" s="14">
        <v>-8.1294082585514627E-3</v>
      </c>
      <c r="F267" s="14">
        <v>-8.3559954464962338E-3</v>
      </c>
      <c r="G267" s="14">
        <v>-4.5562693978287161E-3</v>
      </c>
      <c r="H267" s="14">
        <v>-4.5592346628540621E-3</v>
      </c>
    </row>
    <row r="268" spans="2:8" x14ac:dyDescent="0.25">
      <c r="B268" s="29">
        <v>260</v>
      </c>
      <c r="C268" s="30">
        <v>0.18895348837209303</v>
      </c>
      <c r="D268" s="28">
        <v>35663</v>
      </c>
      <c r="E268" s="14">
        <v>-8.1218193403388428E-3</v>
      </c>
      <c r="F268" s="14">
        <v>-8.3504576872780456E-3</v>
      </c>
      <c r="G268" s="14">
        <v>-4.5508845781899732E-3</v>
      </c>
      <c r="H268" s="14">
        <v>-4.5053577363955988E-3</v>
      </c>
    </row>
    <row r="269" spans="2:8" x14ac:dyDescent="0.25">
      <c r="B269" s="29">
        <v>261</v>
      </c>
      <c r="C269" s="30">
        <v>0.18968023255813954</v>
      </c>
      <c r="D269" s="28">
        <v>35664</v>
      </c>
      <c r="E269" s="14">
        <v>-8.1208553494804825E-3</v>
      </c>
      <c r="F269" s="14">
        <v>-8.2889941139056011E-3</v>
      </c>
      <c r="G269" s="14">
        <v>-4.5429730600999862E-3</v>
      </c>
      <c r="H269" s="14">
        <v>-4.4996680806512314E-3</v>
      </c>
    </row>
    <row r="270" spans="2:8" x14ac:dyDescent="0.25">
      <c r="B270" s="29">
        <v>262</v>
      </c>
      <c r="C270" s="30">
        <v>0.19040697674418605</v>
      </c>
      <c r="D270" s="28">
        <v>35667</v>
      </c>
      <c r="E270" s="14">
        <v>-8.0648381043636475E-3</v>
      </c>
      <c r="F270" s="14">
        <v>-8.246887966805061E-3</v>
      </c>
      <c r="G270" s="14">
        <v>-4.5126418153217385E-3</v>
      </c>
      <c r="H270" s="14">
        <v>-4.4988338527762305E-3</v>
      </c>
    </row>
    <row r="271" spans="2:8" x14ac:dyDescent="0.25">
      <c r="B271" s="29">
        <v>263</v>
      </c>
      <c r="C271" s="30">
        <v>0.19113372093023256</v>
      </c>
      <c r="D271" s="28">
        <v>35668</v>
      </c>
      <c r="E271" s="14">
        <v>-8.0034994893990463E-3</v>
      </c>
      <c r="F271" s="14">
        <v>-8.2293885001520906E-3</v>
      </c>
      <c r="G271" s="14">
        <v>-4.4531837372043803E-3</v>
      </c>
      <c r="H271" s="14">
        <v>-4.4729926640857849E-3</v>
      </c>
    </row>
    <row r="272" spans="2:8" x14ac:dyDescent="0.25">
      <c r="B272" s="29">
        <v>264</v>
      </c>
      <c r="C272" s="30">
        <v>0.19186046511627908</v>
      </c>
      <c r="D272" s="28">
        <v>35669</v>
      </c>
      <c r="E272" s="14">
        <v>-7.9623582681469518E-3</v>
      </c>
      <c r="F272" s="14">
        <v>-8.2138662849280397E-3</v>
      </c>
      <c r="G272" s="14">
        <v>-4.4482111206480823E-3</v>
      </c>
      <c r="H272" s="14">
        <v>-4.4567660003823617E-3</v>
      </c>
    </row>
    <row r="273" spans="2:8" x14ac:dyDescent="0.25">
      <c r="B273" s="29">
        <v>265</v>
      </c>
      <c r="C273" s="30">
        <v>0.19258720930232559</v>
      </c>
      <c r="D273" s="28">
        <v>35670</v>
      </c>
      <c r="E273" s="14">
        <v>-7.9547586132824311E-3</v>
      </c>
      <c r="F273" s="14">
        <v>-8.2074734601131905E-3</v>
      </c>
      <c r="G273" s="14">
        <v>-4.4154983993817121E-3</v>
      </c>
      <c r="H273" s="14">
        <v>-4.4022396271428564E-3</v>
      </c>
    </row>
    <row r="274" spans="2:8" x14ac:dyDescent="0.25">
      <c r="B274" s="29">
        <v>266</v>
      </c>
      <c r="C274" s="30">
        <v>0.1933139534883721</v>
      </c>
      <c r="D274" s="28">
        <v>35671</v>
      </c>
      <c r="E274" s="14">
        <v>-7.9267745585094307E-3</v>
      </c>
      <c r="F274" s="14">
        <v>-8.2000133877769832E-3</v>
      </c>
      <c r="G274" s="14">
        <v>-4.4073737373941935E-3</v>
      </c>
      <c r="H274" s="14">
        <v>-4.4016145555715097E-3</v>
      </c>
    </row>
    <row r="275" spans="2:8" x14ac:dyDescent="0.25">
      <c r="B275" s="29">
        <v>267</v>
      </c>
      <c r="C275" s="30">
        <v>0.19404069767441862</v>
      </c>
      <c r="D275" s="28">
        <v>35674</v>
      </c>
      <c r="E275" s="14">
        <v>-7.8141286151767186E-3</v>
      </c>
      <c r="F275" s="14">
        <v>-8.1681471433364683E-3</v>
      </c>
      <c r="G275" s="14">
        <v>-4.3758596618451717E-3</v>
      </c>
      <c r="H275" s="14">
        <v>-4.3869674134872309E-3</v>
      </c>
    </row>
    <row r="276" spans="2:8" x14ac:dyDescent="0.25">
      <c r="B276" s="29">
        <v>268</v>
      </c>
      <c r="C276" s="30">
        <v>0.19476744186046513</v>
      </c>
      <c r="D276" s="28">
        <v>35675</v>
      </c>
      <c r="E276" s="14">
        <v>-7.8041838874280955E-3</v>
      </c>
      <c r="F276" s="14">
        <v>-8.0718287509310427E-3</v>
      </c>
      <c r="G276" s="14">
        <v>-4.3670365803535338E-3</v>
      </c>
      <c r="H276" s="14">
        <v>-4.3755880938068266E-3</v>
      </c>
    </row>
    <row r="277" spans="2:8" x14ac:dyDescent="0.25">
      <c r="B277" s="29">
        <v>269</v>
      </c>
      <c r="C277" s="30">
        <v>0.19549418604651161</v>
      </c>
      <c r="D277" s="28">
        <v>35676</v>
      </c>
      <c r="E277" s="14">
        <v>-7.8027910767038966E-3</v>
      </c>
      <c r="F277" s="14">
        <v>-8.0036258382175651E-3</v>
      </c>
      <c r="G277" s="14">
        <v>-4.3664924811779304E-3</v>
      </c>
      <c r="H277" s="14">
        <v>-4.363351771300406E-3</v>
      </c>
    </row>
    <row r="278" spans="2:8" x14ac:dyDescent="0.25">
      <c r="B278" s="29">
        <v>270</v>
      </c>
      <c r="C278" s="30">
        <v>0.19622093023255813</v>
      </c>
      <c r="D278" s="28">
        <v>35677</v>
      </c>
      <c r="E278" s="14">
        <v>-7.7891513455089489E-3</v>
      </c>
      <c r="F278" s="14">
        <v>-7.9603515225833421E-3</v>
      </c>
      <c r="G278" s="14">
        <v>-4.2903917805127145E-3</v>
      </c>
      <c r="H278" s="14">
        <v>-4.3112099427933259E-3</v>
      </c>
    </row>
    <row r="279" spans="2:8" x14ac:dyDescent="0.25">
      <c r="B279" s="29">
        <v>271</v>
      </c>
      <c r="C279" s="30">
        <v>0.19694767441860464</v>
      </c>
      <c r="D279" s="28">
        <v>35678</v>
      </c>
      <c r="E279" s="14">
        <v>-7.7657821845055208E-3</v>
      </c>
      <c r="F279" s="14">
        <v>-7.9561285542876226E-3</v>
      </c>
      <c r="G279" s="14">
        <v>-4.1749970598611297E-3</v>
      </c>
      <c r="H279" s="14">
        <v>-4.2811927683664482E-3</v>
      </c>
    </row>
    <row r="280" spans="2:8" x14ac:dyDescent="0.25">
      <c r="B280" s="29">
        <v>272</v>
      </c>
      <c r="C280" s="30">
        <v>0.19767441860465115</v>
      </c>
      <c r="D280" s="28">
        <v>35681</v>
      </c>
      <c r="E280" s="14">
        <v>-7.7635973546260617E-3</v>
      </c>
      <c r="F280" s="14">
        <v>-7.9242347989201267E-3</v>
      </c>
      <c r="G280" s="14">
        <v>-4.1522491349481605E-3</v>
      </c>
      <c r="H280" s="14">
        <v>-4.251782441071961E-3</v>
      </c>
    </row>
    <row r="281" spans="2:8" x14ac:dyDescent="0.25">
      <c r="B281" s="29">
        <v>273</v>
      </c>
      <c r="C281" s="30">
        <v>0.19840116279069767</v>
      </c>
      <c r="D281" s="28">
        <v>35682</v>
      </c>
      <c r="E281" s="14">
        <v>-7.7172203201628653E-3</v>
      </c>
      <c r="F281" s="14">
        <v>-7.9054303657185576E-3</v>
      </c>
      <c r="G281" s="14">
        <v>-4.1341035224827793E-3</v>
      </c>
      <c r="H281" s="14">
        <v>-4.2124473044765189E-3</v>
      </c>
    </row>
    <row r="282" spans="2:8" x14ac:dyDescent="0.25">
      <c r="B282" s="29">
        <v>274</v>
      </c>
      <c r="C282" s="30">
        <v>0.19912790697674418</v>
      </c>
      <c r="D282" s="28">
        <v>35683</v>
      </c>
      <c r="E282" s="14">
        <v>-7.7079658703965714E-3</v>
      </c>
      <c r="F282" s="14">
        <v>-7.8862452635666269E-3</v>
      </c>
      <c r="G282" s="14">
        <v>-4.1234040439168673E-3</v>
      </c>
      <c r="H282" s="14">
        <v>-4.2044246216199621E-3</v>
      </c>
    </row>
    <row r="283" spans="2:8" x14ac:dyDescent="0.25">
      <c r="B283" s="29">
        <v>275</v>
      </c>
      <c r="C283" s="30">
        <v>0.19985465116279069</v>
      </c>
      <c r="D283" s="28">
        <v>35684</v>
      </c>
      <c r="E283" s="14">
        <v>-7.7015347444595594E-3</v>
      </c>
      <c r="F283" s="14">
        <v>-7.8447680401471098E-3</v>
      </c>
      <c r="G283" s="14">
        <v>-4.0914298183406528E-3</v>
      </c>
      <c r="H283" s="14">
        <v>-4.1671344173464415E-3</v>
      </c>
    </row>
    <row r="284" spans="2:8" x14ac:dyDescent="0.25">
      <c r="B284" s="29">
        <v>276</v>
      </c>
      <c r="C284" s="30">
        <v>0.2005813953488372</v>
      </c>
      <c r="D284" s="28">
        <v>35685</v>
      </c>
      <c r="E284" s="14">
        <v>-7.696951403561636E-3</v>
      </c>
      <c r="F284" s="14">
        <v>-7.8418255472554321E-3</v>
      </c>
      <c r="G284" s="14">
        <v>-4.0819659887607607E-3</v>
      </c>
      <c r="H284" s="14">
        <v>-4.1553479228325198E-3</v>
      </c>
    </row>
    <row r="285" spans="2:8" x14ac:dyDescent="0.25">
      <c r="B285" s="29">
        <v>277</v>
      </c>
      <c r="C285" s="30">
        <v>0.20130813953488372</v>
      </c>
      <c r="D285" s="28">
        <v>35688</v>
      </c>
      <c r="E285" s="14">
        <v>-7.6425110127698037E-3</v>
      </c>
      <c r="F285" s="14">
        <v>-7.8411976126883109E-3</v>
      </c>
      <c r="G285" s="14">
        <v>-4.0798170082571028E-3</v>
      </c>
      <c r="H285" s="14">
        <v>-4.1243385247139224E-3</v>
      </c>
    </row>
    <row r="286" spans="2:8" x14ac:dyDescent="0.25">
      <c r="B286" s="29">
        <v>278</v>
      </c>
      <c r="C286" s="30">
        <v>0.20203488372093023</v>
      </c>
      <c r="D286" s="28">
        <v>35689</v>
      </c>
      <c r="E286" s="14">
        <v>-7.63931964349851E-3</v>
      </c>
      <c r="F286" s="14">
        <v>-7.8262057084028669E-3</v>
      </c>
      <c r="G286" s="14">
        <v>-4.0528022232515504E-3</v>
      </c>
      <c r="H286" s="14">
        <v>-4.1158689860981042E-3</v>
      </c>
    </row>
    <row r="287" spans="2:8" x14ac:dyDescent="0.25">
      <c r="B287" s="29">
        <v>279</v>
      </c>
      <c r="C287" s="30">
        <v>0.20276162790697674</v>
      </c>
      <c r="D287" s="28">
        <v>35690</v>
      </c>
      <c r="E287" s="14">
        <v>-7.6282577199014989E-3</v>
      </c>
      <c r="F287" s="14">
        <v>-7.7940980835596863E-3</v>
      </c>
      <c r="G287" s="14">
        <v>-4.0277027358908146E-3</v>
      </c>
      <c r="H287" s="14">
        <v>-4.1129836862036535E-3</v>
      </c>
    </row>
    <row r="288" spans="2:8" x14ac:dyDescent="0.25">
      <c r="B288" s="29">
        <v>280</v>
      </c>
      <c r="C288" s="30">
        <v>0.20348837209302326</v>
      </c>
      <c r="D288" s="28">
        <v>35691</v>
      </c>
      <c r="E288" s="14">
        <v>-7.6058201058201158E-3</v>
      </c>
      <c r="F288" s="14">
        <v>-7.7902758566693597E-3</v>
      </c>
      <c r="G288" s="14">
        <v>-4.0268456375838202E-3</v>
      </c>
      <c r="H288" s="14">
        <v>-4.0796621235607237E-3</v>
      </c>
    </row>
    <row r="289" spans="2:8" x14ac:dyDescent="0.25">
      <c r="B289" s="29">
        <v>281</v>
      </c>
      <c r="C289" s="30">
        <v>0.20421511627906977</v>
      </c>
      <c r="D289" s="28">
        <v>35692</v>
      </c>
      <c r="E289" s="14">
        <v>-7.592751151980659E-3</v>
      </c>
      <c r="F289" s="14">
        <v>-7.7595200834637001E-3</v>
      </c>
      <c r="G289" s="14">
        <v>-3.9864285626669549E-3</v>
      </c>
      <c r="H289" s="14">
        <v>-4.056349640833368E-3</v>
      </c>
    </row>
    <row r="290" spans="2:8" x14ac:dyDescent="0.25">
      <c r="B290" s="29">
        <v>282</v>
      </c>
      <c r="C290" s="30">
        <v>0.20494186046511628</v>
      </c>
      <c r="D290" s="28">
        <v>35695</v>
      </c>
      <c r="E290" s="14">
        <v>-7.5868863789126939E-3</v>
      </c>
      <c r="F290" s="14">
        <v>-7.7324431477485689E-3</v>
      </c>
      <c r="G290" s="14">
        <v>-3.9733619140743803E-3</v>
      </c>
      <c r="H290" s="14">
        <v>-4.0520916464853677E-3</v>
      </c>
    </row>
    <row r="291" spans="2:8" x14ac:dyDescent="0.25">
      <c r="B291" s="29">
        <v>283</v>
      </c>
      <c r="C291" s="30">
        <v>0.2056686046511628</v>
      </c>
      <c r="D291" s="28">
        <v>35696</v>
      </c>
      <c r="E291" s="14">
        <v>-7.5753689358573073E-3</v>
      </c>
      <c r="F291" s="14">
        <v>-7.6765285996055477E-3</v>
      </c>
      <c r="G291" s="14">
        <v>-3.9434006031083824E-3</v>
      </c>
      <c r="H291" s="14">
        <v>-4.0492385806626171E-3</v>
      </c>
    </row>
    <row r="292" spans="2:8" x14ac:dyDescent="0.25">
      <c r="B292" s="29">
        <v>284</v>
      </c>
      <c r="C292" s="30">
        <v>0.20639534883720931</v>
      </c>
      <c r="D292" s="28">
        <v>35697</v>
      </c>
      <c r="E292" s="14">
        <v>-7.5711435778149649E-3</v>
      </c>
      <c r="F292" s="14">
        <v>-7.6032725490443598E-3</v>
      </c>
      <c r="G292" s="14">
        <v>-3.932900356989677E-3</v>
      </c>
      <c r="H292" s="14">
        <v>-4.0138282696180914E-3</v>
      </c>
    </row>
    <row r="293" spans="2:8" x14ac:dyDescent="0.25">
      <c r="B293" s="29">
        <v>285</v>
      </c>
      <c r="C293" s="30">
        <v>0.20712209302325582</v>
      </c>
      <c r="D293" s="28">
        <v>35698</v>
      </c>
      <c r="E293" s="14">
        <v>-7.5164274978023471E-3</v>
      </c>
      <c r="F293" s="14">
        <v>-7.5766025589955044E-3</v>
      </c>
      <c r="G293" s="14">
        <v>-3.9271878875621891E-3</v>
      </c>
      <c r="H293" s="14">
        <v>-3.9788143394283047E-3</v>
      </c>
    </row>
    <row r="294" spans="2:8" x14ac:dyDescent="0.25">
      <c r="B294" s="29">
        <v>286</v>
      </c>
      <c r="C294" s="30">
        <v>0.20784883720930233</v>
      </c>
      <c r="D294" s="28">
        <v>35699</v>
      </c>
      <c r="E294" s="14">
        <v>-7.4505598344967172E-3</v>
      </c>
      <c r="F294" s="14">
        <v>-7.5339090744054316E-3</v>
      </c>
      <c r="G294" s="14">
        <v>-3.9220297900358636E-3</v>
      </c>
      <c r="H294" s="14">
        <v>-3.9541145776615045E-3</v>
      </c>
    </row>
    <row r="295" spans="2:8" x14ac:dyDescent="0.25">
      <c r="B295" s="29">
        <v>287</v>
      </c>
      <c r="C295" s="30">
        <v>0.20857558139534885</v>
      </c>
      <c r="D295" s="28">
        <v>35702</v>
      </c>
      <c r="E295" s="14">
        <v>-7.4496593111101905E-3</v>
      </c>
      <c r="F295" s="14">
        <v>-7.526567425934827E-3</v>
      </c>
      <c r="G295" s="14">
        <v>-3.9203050319532862E-3</v>
      </c>
      <c r="H295" s="14">
        <v>-3.9477684882048168E-3</v>
      </c>
    </row>
    <row r="296" spans="2:8" x14ac:dyDescent="0.25">
      <c r="B296" s="29">
        <v>288</v>
      </c>
      <c r="C296" s="30">
        <v>0.20930232558139536</v>
      </c>
      <c r="D296" s="28">
        <v>35703</v>
      </c>
      <c r="E296" s="14">
        <v>-7.4226341460038592E-3</v>
      </c>
      <c r="F296" s="14">
        <v>-7.5157006074333399E-3</v>
      </c>
      <c r="G296" s="14">
        <v>-3.9186134657545058E-3</v>
      </c>
      <c r="H296" s="14">
        <v>-3.9115534897482982E-3</v>
      </c>
    </row>
    <row r="297" spans="2:8" x14ac:dyDescent="0.25">
      <c r="B297" s="29">
        <v>289</v>
      </c>
      <c r="C297" s="30">
        <v>0.21002906976744187</v>
      </c>
      <c r="D297" s="28">
        <v>35704</v>
      </c>
      <c r="E297" s="14">
        <v>-7.412894596635855E-3</v>
      </c>
      <c r="F297" s="14">
        <v>-7.4924813211916241E-3</v>
      </c>
      <c r="G297" s="14">
        <v>-3.918128654970765E-3</v>
      </c>
      <c r="H297" s="14">
        <v>-3.893470941613875E-3</v>
      </c>
    </row>
    <row r="298" spans="2:8" x14ac:dyDescent="0.25">
      <c r="B298" s="29">
        <v>290</v>
      </c>
      <c r="C298" s="30">
        <v>0.21075581395348839</v>
      </c>
      <c r="D298" s="28">
        <v>35705</v>
      </c>
      <c r="E298" s="14">
        <v>-7.402049798405641E-3</v>
      </c>
      <c r="F298" s="14">
        <v>-7.4636280935210797E-3</v>
      </c>
      <c r="G298" s="14">
        <v>-3.9117133913014746E-3</v>
      </c>
      <c r="H298" s="14">
        <v>-3.8924731515070036E-3</v>
      </c>
    </row>
    <row r="299" spans="2:8" x14ac:dyDescent="0.25">
      <c r="B299" s="29">
        <v>291</v>
      </c>
      <c r="C299" s="30">
        <v>0.21148255813953487</v>
      </c>
      <c r="D299" s="28">
        <v>35706</v>
      </c>
      <c r="E299" s="14">
        <v>-7.3628235844094281E-3</v>
      </c>
      <c r="F299" s="14">
        <v>-7.3682325882467037E-3</v>
      </c>
      <c r="G299" s="14">
        <v>-3.8968965679140322E-3</v>
      </c>
      <c r="H299" s="14">
        <v>-3.859379758301707E-3</v>
      </c>
    </row>
    <row r="300" spans="2:8" x14ac:dyDescent="0.25">
      <c r="B300" s="29">
        <v>292</v>
      </c>
      <c r="C300" s="30">
        <v>0.21220930232558138</v>
      </c>
      <c r="D300" s="28">
        <v>35709</v>
      </c>
      <c r="E300" s="14">
        <v>-7.3108562853038128E-3</v>
      </c>
      <c r="F300" s="14">
        <v>-7.3438211070163684E-3</v>
      </c>
      <c r="G300" s="14">
        <v>-3.8961883026241706E-3</v>
      </c>
      <c r="H300" s="14">
        <v>-3.8432682261041024E-3</v>
      </c>
    </row>
    <row r="301" spans="2:8" x14ac:dyDescent="0.25">
      <c r="B301" s="29">
        <v>293</v>
      </c>
      <c r="C301" s="30">
        <v>0.2129360465116279</v>
      </c>
      <c r="D301" s="28">
        <v>35710</v>
      </c>
      <c r="E301" s="14">
        <v>-7.2982118623530212E-3</v>
      </c>
      <c r="F301" s="14">
        <v>-7.3394959257793158E-3</v>
      </c>
      <c r="G301" s="14">
        <v>-3.8828470260999781E-3</v>
      </c>
      <c r="H301" s="14">
        <v>-3.8414965095711516E-3</v>
      </c>
    </row>
    <row r="302" spans="2:8" x14ac:dyDescent="0.25">
      <c r="B302" s="29">
        <v>294</v>
      </c>
      <c r="C302" s="30">
        <v>0.21366279069767441</v>
      </c>
      <c r="D302" s="28">
        <v>35711</v>
      </c>
      <c r="E302" s="14">
        <v>-7.2883408565452834E-3</v>
      </c>
      <c r="F302" s="14">
        <v>-7.3145462080397294E-3</v>
      </c>
      <c r="G302" s="14">
        <v>-3.86479238956694E-3</v>
      </c>
      <c r="H302" s="14">
        <v>-3.8088410594461666E-3</v>
      </c>
    </row>
    <row r="303" spans="2:8" x14ac:dyDescent="0.25">
      <c r="B303" s="29">
        <v>295</v>
      </c>
      <c r="C303" s="30">
        <v>0.21438953488372092</v>
      </c>
      <c r="D303" s="28">
        <v>35712</v>
      </c>
      <c r="E303" s="14">
        <v>-7.2508924253192886E-3</v>
      </c>
      <c r="F303" s="14">
        <v>-7.3015200262008806E-3</v>
      </c>
      <c r="G303" s="14">
        <v>-3.847571715720588E-3</v>
      </c>
      <c r="H303" s="14">
        <v>-3.7971636947187418E-3</v>
      </c>
    </row>
    <row r="304" spans="2:8" x14ac:dyDescent="0.25">
      <c r="B304" s="29">
        <v>296</v>
      </c>
      <c r="C304" s="30">
        <v>0.21511627906976744</v>
      </c>
      <c r="D304" s="28">
        <v>35713</v>
      </c>
      <c r="E304" s="14">
        <v>-7.2013087375467633E-3</v>
      </c>
      <c r="F304" s="14">
        <v>-7.2985123491786652E-3</v>
      </c>
      <c r="G304" s="14">
        <v>-3.8452790289595917E-3</v>
      </c>
      <c r="H304" s="14">
        <v>-3.7838693047879792E-3</v>
      </c>
    </row>
    <row r="305" spans="2:8" x14ac:dyDescent="0.25">
      <c r="B305" s="29">
        <v>297</v>
      </c>
      <c r="C305" s="30">
        <v>0.21584302325581395</v>
      </c>
      <c r="D305" s="28">
        <v>35716</v>
      </c>
      <c r="E305" s="14">
        <v>-7.1729477399521402E-3</v>
      </c>
      <c r="F305" s="14">
        <v>-7.2976213229544173E-3</v>
      </c>
      <c r="G305" s="14">
        <v>-3.827266878077662E-3</v>
      </c>
      <c r="H305" s="14">
        <v>-3.7632157033726135E-3</v>
      </c>
    </row>
    <row r="306" spans="2:8" x14ac:dyDescent="0.25">
      <c r="B306" s="29">
        <v>298</v>
      </c>
      <c r="C306" s="30">
        <v>0.21656976744186046</v>
      </c>
      <c r="D306" s="28">
        <v>35717</v>
      </c>
      <c r="E306" s="14">
        <v>-7.1678613102182931E-3</v>
      </c>
      <c r="F306" s="14">
        <v>-7.2807952006022081E-3</v>
      </c>
      <c r="G306" s="14">
        <v>-3.8174504227730388E-3</v>
      </c>
      <c r="H306" s="14">
        <v>-3.7378387618620668E-3</v>
      </c>
    </row>
    <row r="307" spans="2:8" x14ac:dyDescent="0.25">
      <c r="B307" s="29">
        <v>299</v>
      </c>
      <c r="C307" s="30">
        <v>0.21729651162790697</v>
      </c>
      <c r="D307" s="28">
        <v>35718</v>
      </c>
      <c r="E307" s="14">
        <v>-7.1474492304200998E-3</v>
      </c>
      <c r="F307" s="14">
        <v>-7.2416734663600657E-3</v>
      </c>
      <c r="G307" s="14">
        <v>-3.8129415722776283E-3</v>
      </c>
      <c r="H307" s="14">
        <v>-3.7310486039066511E-3</v>
      </c>
    </row>
    <row r="308" spans="2:8" x14ac:dyDescent="0.25">
      <c r="B308" s="29">
        <v>300</v>
      </c>
      <c r="C308" s="30">
        <v>0.21802325581395349</v>
      </c>
      <c r="D308" s="28">
        <v>35719</v>
      </c>
      <c r="E308" s="14">
        <v>-7.1203367287053787E-3</v>
      </c>
      <c r="F308" s="14">
        <v>-7.2051375763587666E-3</v>
      </c>
      <c r="G308" s="14">
        <v>-3.8063634589108331E-3</v>
      </c>
      <c r="H308" s="14">
        <v>-3.7137517100160667E-3</v>
      </c>
    </row>
    <row r="309" spans="2:8" x14ac:dyDescent="0.25">
      <c r="B309" s="29">
        <v>301</v>
      </c>
      <c r="C309" s="30">
        <v>0.21875</v>
      </c>
      <c r="D309" s="28">
        <v>35720</v>
      </c>
      <c r="E309" s="14">
        <v>-7.1156773211568103E-3</v>
      </c>
      <c r="F309" s="14">
        <v>-7.1899066533350764E-3</v>
      </c>
      <c r="G309" s="14">
        <v>-3.7856208645510314E-3</v>
      </c>
      <c r="H309" s="14">
        <v>-3.7137033969765641E-3</v>
      </c>
    </row>
    <row r="310" spans="2:8" x14ac:dyDescent="0.25">
      <c r="B310" s="29">
        <v>302</v>
      </c>
      <c r="C310" s="30">
        <v>0.21947674418604651</v>
      </c>
      <c r="D310" s="28">
        <v>35723</v>
      </c>
      <c r="E310" s="14">
        <v>-7.0682717933829853E-3</v>
      </c>
      <c r="F310" s="14">
        <v>-7.1380366505736648E-3</v>
      </c>
      <c r="G310" s="14">
        <v>-3.7788500668566316E-3</v>
      </c>
      <c r="H310" s="14">
        <v>-3.6797412884804095E-3</v>
      </c>
    </row>
    <row r="311" spans="2:8" x14ac:dyDescent="0.25">
      <c r="B311" s="29">
        <v>303</v>
      </c>
      <c r="C311" s="30">
        <v>0.22020348837209303</v>
      </c>
      <c r="D311" s="28">
        <v>35724</v>
      </c>
      <c r="E311" s="14">
        <v>-7.0682717933829853E-3</v>
      </c>
      <c r="F311" s="14">
        <v>-7.1200036050650395E-3</v>
      </c>
      <c r="G311" s="14">
        <v>-3.7278034873906574E-3</v>
      </c>
      <c r="H311" s="14">
        <v>-3.6668151973200387E-3</v>
      </c>
    </row>
    <row r="312" spans="2:8" x14ac:dyDescent="0.25">
      <c r="B312" s="29">
        <v>304</v>
      </c>
      <c r="C312" s="30">
        <v>0.22093023255813954</v>
      </c>
      <c r="D312" s="28">
        <v>35725</v>
      </c>
      <c r="E312" s="14">
        <v>-7.058834440285211E-3</v>
      </c>
      <c r="F312" s="14">
        <v>-7.0952675321108716E-3</v>
      </c>
      <c r="G312" s="14">
        <v>-3.714254185860133E-3</v>
      </c>
      <c r="H312" s="14">
        <v>-3.6657300974639374E-3</v>
      </c>
    </row>
    <row r="313" spans="2:8" x14ac:dyDescent="0.25">
      <c r="B313" s="29">
        <v>305</v>
      </c>
      <c r="C313" s="30">
        <v>0.22165697674418605</v>
      </c>
      <c r="D313" s="28">
        <v>35726</v>
      </c>
      <c r="E313" s="14">
        <v>-7.0445935617865496E-3</v>
      </c>
      <c r="F313" s="14">
        <v>-7.0462535116131431E-3</v>
      </c>
      <c r="G313" s="14">
        <v>-3.7055892964453774E-3</v>
      </c>
      <c r="H313" s="14">
        <v>-3.6541103643728868E-3</v>
      </c>
    </row>
    <row r="314" spans="2:8" x14ac:dyDescent="0.25">
      <c r="B314" s="29">
        <v>306</v>
      </c>
      <c r="C314" s="30">
        <v>0.22238372093023256</v>
      </c>
      <c r="D314" s="28">
        <v>35727</v>
      </c>
      <c r="E314" s="14">
        <v>-7.0422130627250112E-3</v>
      </c>
      <c r="F314" s="14">
        <v>-7.0411582563942865E-3</v>
      </c>
      <c r="G314" s="14">
        <v>-3.6783146630998687E-3</v>
      </c>
      <c r="H314" s="14">
        <v>-3.6512554515697464E-3</v>
      </c>
    </row>
    <row r="315" spans="2:8" x14ac:dyDescent="0.25">
      <c r="B315" s="29">
        <v>307</v>
      </c>
      <c r="C315" s="30">
        <v>0.22311046511627908</v>
      </c>
      <c r="D315" s="28">
        <v>35730</v>
      </c>
      <c r="E315" s="14">
        <v>-7.0349639625822968E-3</v>
      </c>
      <c r="F315" s="14">
        <v>-7.0073882245410557E-3</v>
      </c>
      <c r="G315" s="14">
        <v>-3.6743263734980713E-3</v>
      </c>
      <c r="H315" s="14">
        <v>-3.638038682523926E-3</v>
      </c>
    </row>
    <row r="316" spans="2:8" x14ac:dyDescent="0.25">
      <c r="B316" s="29">
        <v>308</v>
      </c>
      <c r="C316" s="30">
        <v>0.22383720930232559</v>
      </c>
      <c r="D316" s="28">
        <v>35731</v>
      </c>
      <c r="E316" s="14">
        <v>-7.0316423907583747E-3</v>
      </c>
      <c r="F316" s="14">
        <v>-6.9562087074369616E-3</v>
      </c>
      <c r="G316" s="14">
        <v>-3.6737692872886862E-3</v>
      </c>
      <c r="H316" s="14">
        <v>-3.6209028594975652E-3</v>
      </c>
    </row>
    <row r="317" spans="2:8" x14ac:dyDescent="0.25">
      <c r="B317" s="29">
        <v>309</v>
      </c>
      <c r="C317" s="30">
        <v>0.2245639534883721</v>
      </c>
      <c r="D317" s="28">
        <v>35732</v>
      </c>
      <c r="E317" s="14">
        <v>-7.0198669077636833E-3</v>
      </c>
      <c r="F317" s="14">
        <v>-6.9559757203656591E-3</v>
      </c>
      <c r="G317" s="14">
        <v>-3.6724402543302226E-3</v>
      </c>
      <c r="H317" s="14">
        <v>-3.6100097826909485E-3</v>
      </c>
    </row>
    <row r="318" spans="2:8" x14ac:dyDescent="0.25">
      <c r="B318" s="29">
        <v>310</v>
      </c>
      <c r="C318" s="30">
        <v>0.22529069767441862</v>
      </c>
      <c r="D318" s="28">
        <v>35733</v>
      </c>
      <c r="E318" s="14">
        <v>-6.9888069888069948E-3</v>
      </c>
      <c r="F318" s="14">
        <v>-6.9400678250952641E-3</v>
      </c>
      <c r="G318" s="14">
        <v>-3.670381283638724E-3</v>
      </c>
      <c r="H318" s="14">
        <v>-3.6036270574796082E-3</v>
      </c>
    </row>
    <row r="319" spans="2:8" x14ac:dyDescent="0.25">
      <c r="B319" s="29">
        <v>311</v>
      </c>
      <c r="C319" s="30">
        <v>0.22601744186046513</v>
      </c>
      <c r="D319" s="28">
        <v>35734</v>
      </c>
      <c r="E319" s="14">
        <v>-6.8833039859131917E-3</v>
      </c>
      <c r="F319" s="14">
        <v>-6.8786320363122266E-3</v>
      </c>
      <c r="G319" s="14">
        <v>-3.6128864686569839E-3</v>
      </c>
      <c r="H319" s="14">
        <v>-3.5784057906051553E-3</v>
      </c>
    </row>
    <row r="320" spans="2:8" x14ac:dyDescent="0.25">
      <c r="B320" s="29">
        <v>312</v>
      </c>
      <c r="C320" s="30">
        <v>0.22674418604651161</v>
      </c>
      <c r="D320" s="28">
        <v>35737</v>
      </c>
      <c r="E320" s="14">
        <v>-6.8807504201160441E-3</v>
      </c>
      <c r="F320" s="14">
        <v>-6.8428055502757212E-3</v>
      </c>
      <c r="G320" s="14">
        <v>-3.6088675030074846E-3</v>
      </c>
      <c r="H320" s="14">
        <v>-3.5744081797113524E-3</v>
      </c>
    </row>
    <row r="321" spans="2:8" x14ac:dyDescent="0.25">
      <c r="B321" s="29">
        <v>313</v>
      </c>
      <c r="C321" s="30">
        <v>0.22747093023255813</v>
      </c>
      <c r="D321" s="28">
        <v>35738</v>
      </c>
      <c r="E321" s="14">
        <v>-6.8776732249784533E-3</v>
      </c>
      <c r="F321" s="14">
        <v>-6.8320649762823038E-3</v>
      </c>
      <c r="G321" s="14">
        <v>-3.525010120022487E-3</v>
      </c>
      <c r="H321" s="14">
        <v>-3.5387670658790791E-3</v>
      </c>
    </row>
    <row r="322" spans="2:8" x14ac:dyDescent="0.25">
      <c r="B322" s="29">
        <v>314</v>
      </c>
      <c r="C322" s="30">
        <v>0.22819767441860464</v>
      </c>
      <c r="D322" s="28">
        <v>35739</v>
      </c>
      <c r="E322" s="14">
        <v>-6.8640497784497878E-3</v>
      </c>
      <c r="F322" s="14">
        <v>-6.8025316279425319E-3</v>
      </c>
      <c r="G322" s="14">
        <v>-3.5181927599295948E-3</v>
      </c>
      <c r="H322" s="14">
        <v>-3.5269370122189333E-3</v>
      </c>
    </row>
    <row r="323" spans="2:8" x14ac:dyDescent="0.25">
      <c r="B323" s="29">
        <v>315</v>
      </c>
      <c r="C323" s="30">
        <v>0.22892441860465115</v>
      </c>
      <c r="D323" s="28">
        <v>35740</v>
      </c>
      <c r="E323" s="14">
        <v>-6.8526676456190927E-3</v>
      </c>
      <c r="F323" s="14">
        <v>-6.7938833752182459E-3</v>
      </c>
      <c r="G323" s="14">
        <v>-3.5078800203356408E-3</v>
      </c>
      <c r="H323" s="14">
        <v>-3.5139815495942805E-3</v>
      </c>
    </row>
    <row r="324" spans="2:8" x14ac:dyDescent="0.25">
      <c r="B324" s="29">
        <v>316</v>
      </c>
      <c r="C324" s="30">
        <v>0.22965116279069767</v>
      </c>
      <c r="D324" s="28">
        <v>35741</v>
      </c>
      <c r="E324" s="14">
        <v>-6.828557179575645E-3</v>
      </c>
      <c r="F324" s="14">
        <v>-6.7652217489351241E-3</v>
      </c>
      <c r="G324" s="14">
        <v>-3.5075083635468518E-3</v>
      </c>
      <c r="H324" s="14">
        <v>-3.4777868141380396E-3</v>
      </c>
    </row>
    <row r="325" spans="2:8" x14ac:dyDescent="0.25">
      <c r="B325" s="29">
        <v>317</v>
      </c>
      <c r="C325" s="30">
        <v>0.23037790697674418</v>
      </c>
      <c r="D325" s="28">
        <v>35744</v>
      </c>
      <c r="E325" s="14">
        <v>-6.7755677053633612E-3</v>
      </c>
      <c r="F325" s="14">
        <v>-6.70826674267333E-3</v>
      </c>
      <c r="G325" s="14">
        <v>-3.5058430717862521E-3</v>
      </c>
      <c r="H325" s="14">
        <v>-3.4745808655182852E-3</v>
      </c>
    </row>
    <row r="326" spans="2:8" x14ac:dyDescent="0.25">
      <c r="B326" s="29">
        <v>318</v>
      </c>
      <c r="C326" s="30">
        <v>0.23110465116279069</v>
      </c>
      <c r="D326" s="28">
        <v>35745</v>
      </c>
      <c r="E326" s="14">
        <v>-6.7271589486858074E-3</v>
      </c>
      <c r="F326" s="14">
        <v>-6.7045045354002797E-3</v>
      </c>
      <c r="G326" s="14">
        <v>-3.4943034891780078E-3</v>
      </c>
      <c r="H326" s="14">
        <v>-3.4497488859586587E-3</v>
      </c>
    </row>
    <row r="327" spans="2:8" x14ac:dyDescent="0.25">
      <c r="B327" s="29">
        <v>319</v>
      </c>
      <c r="C327" s="30">
        <v>0.2318313953488372</v>
      </c>
      <c r="D327" s="28">
        <v>35746</v>
      </c>
      <c r="E327" s="14">
        <v>-6.7163596084488519E-3</v>
      </c>
      <c r="F327" s="14">
        <v>-6.6967898570272633E-3</v>
      </c>
      <c r="G327" s="14">
        <v>-3.4853765722078212E-3</v>
      </c>
      <c r="H327" s="14">
        <v>-3.440040983189019E-3</v>
      </c>
    </row>
    <row r="328" spans="2:8" x14ac:dyDescent="0.25">
      <c r="B328" s="29">
        <v>320</v>
      </c>
      <c r="C328" s="30">
        <v>0.23255813953488372</v>
      </c>
      <c r="D328" s="28">
        <v>35747</v>
      </c>
      <c r="E328" s="14">
        <v>-6.6952002445734848E-3</v>
      </c>
      <c r="F328" s="14">
        <v>-6.6937394787022209E-3</v>
      </c>
      <c r="G328" s="14">
        <v>-3.4402656672201104E-3</v>
      </c>
      <c r="H328" s="14">
        <v>-3.4320334556954268E-3</v>
      </c>
    </row>
    <row r="329" spans="2:8" x14ac:dyDescent="0.25">
      <c r="B329" s="29">
        <v>321</v>
      </c>
      <c r="C329" s="30">
        <v>0.23328488372093023</v>
      </c>
      <c r="D329" s="28">
        <v>35748</v>
      </c>
      <c r="E329" s="14">
        <v>-6.6943575848061876E-3</v>
      </c>
      <c r="F329" s="14">
        <v>-6.6886630956982662E-3</v>
      </c>
      <c r="G329" s="14">
        <v>-3.4372579395816061E-3</v>
      </c>
      <c r="H329" s="14">
        <v>-3.4259249129091839E-3</v>
      </c>
    </row>
    <row r="330" spans="2:8" x14ac:dyDescent="0.25">
      <c r="B330" s="29">
        <v>322</v>
      </c>
      <c r="C330" s="30">
        <v>0.23401162790697674</v>
      </c>
      <c r="D330" s="28">
        <v>35751</v>
      </c>
      <c r="E330" s="14">
        <v>-6.6836167653729905E-3</v>
      </c>
      <c r="F330" s="14">
        <v>-6.6706186164089409E-3</v>
      </c>
      <c r="G330" s="14">
        <v>-3.3922527866088181E-3</v>
      </c>
      <c r="H330" s="14">
        <v>-3.3850505379804385E-3</v>
      </c>
    </row>
    <row r="331" spans="2:8" x14ac:dyDescent="0.25">
      <c r="B331" s="29">
        <v>323</v>
      </c>
      <c r="C331" s="30">
        <v>0.23473837209302326</v>
      </c>
      <c r="D331" s="28">
        <v>35752</v>
      </c>
      <c r="E331" s="14">
        <v>-6.5663364305433847E-3</v>
      </c>
      <c r="F331" s="14">
        <v>-6.585743801652777E-3</v>
      </c>
      <c r="G331" s="14">
        <v>-3.3916117321104444E-3</v>
      </c>
      <c r="H331" s="14">
        <v>-3.3763215337516252E-3</v>
      </c>
    </row>
    <row r="332" spans="2:8" x14ac:dyDescent="0.25">
      <c r="B332" s="29">
        <v>324</v>
      </c>
      <c r="C332" s="30">
        <v>0.23546511627906977</v>
      </c>
      <c r="D332" s="28">
        <v>35753</v>
      </c>
      <c r="E332" s="14">
        <v>-6.5491969437081465E-3</v>
      </c>
      <c r="F332" s="14">
        <v>-6.5524579372006064E-3</v>
      </c>
      <c r="G332" s="14">
        <v>-3.3858953274644721E-3</v>
      </c>
      <c r="H332" s="14">
        <v>-3.3728272533660951E-3</v>
      </c>
    </row>
    <row r="333" spans="2:8" x14ac:dyDescent="0.25">
      <c r="B333" s="29">
        <v>325</v>
      </c>
      <c r="C333" s="30">
        <v>0.23619186046511628</v>
      </c>
      <c r="D333" s="28">
        <v>35754</v>
      </c>
      <c r="E333" s="14">
        <v>-6.4921752420203926E-3</v>
      </c>
      <c r="F333" s="14">
        <v>-6.5367656969019805E-3</v>
      </c>
      <c r="G333" s="14">
        <v>-3.3829351769116833E-3</v>
      </c>
      <c r="H333" s="14">
        <v>-3.3728115525227809E-3</v>
      </c>
    </row>
    <row r="334" spans="2:8" x14ac:dyDescent="0.25">
      <c r="B334" s="29">
        <v>326</v>
      </c>
      <c r="C334" s="30">
        <v>0.2369186046511628</v>
      </c>
      <c r="D334" s="28">
        <v>35755</v>
      </c>
      <c r="E334" s="14">
        <v>-6.4805075832117254E-3</v>
      </c>
      <c r="F334" s="14">
        <v>-6.5345841689435913E-3</v>
      </c>
      <c r="G334" s="14">
        <v>-3.3638469173925545E-3</v>
      </c>
      <c r="H334" s="14">
        <v>-3.3687353848194991E-3</v>
      </c>
    </row>
    <row r="335" spans="2:8" x14ac:dyDescent="0.25">
      <c r="B335" s="29">
        <v>327</v>
      </c>
      <c r="C335" s="30">
        <v>0.23764534883720931</v>
      </c>
      <c r="D335" s="28">
        <v>35758</v>
      </c>
      <c r="E335" s="14">
        <v>-6.397969377282986E-3</v>
      </c>
      <c r="F335" s="14">
        <v>-6.5280867126989994E-3</v>
      </c>
      <c r="G335" s="14">
        <v>-3.355513848603775E-3</v>
      </c>
      <c r="H335" s="14">
        <v>-3.3620626969781851E-3</v>
      </c>
    </row>
    <row r="336" spans="2:8" x14ac:dyDescent="0.25">
      <c r="B336" s="29">
        <v>328</v>
      </c>
      <c r="C336" s="30">
        <v>0.23837209302325582</v>
      </c>
      <c r="D336" s="28">
        <v>35759</v>
      </c>
      <c r="E336" s="14">
        <v>-6.3781079295593957E-3</v>
      </c>
      <c r="F336" s="14">
        <v>-6.5188253929571172E-3</v>
      </c>
      <c r="G336" s="14">
        <v>-3.3548389341186979E-3</v>
      </c>
      <c r="H336" s="14">
        <v>-3.3558748127667129E-3</v>
      </c>
    </row>
    <row r="337" spans="2:8" x14ac:dyDescent="0.25">
      <c r="B337" s="29">
        <v>329</v>
      </c>
      <c r="C337" s="30">
        <v>0.23909883720930233</v>
      </c>
      <c r="D337" s="28">
        <v>35760</v>
      </c>
      <c r="E337" s="14">
        <v>-6.3747693340044931E-3</v>
      </c>
      <c r="F337" s="14">
        <v>-6.50925096985977E-3</v>
      </c>
      <c r="G337" s="14">
        <v>-3.3450504592356101E-3</v>
      </c>
      <c r="H337" s="14">
        <v>-3.3535219271953578E-3</v>
      </c>
    </row>
    <row r="338" spans="2:8" x14ac:dyDescent="0.25">
      <c r="B338" s="29">
        <v>330</v>
      </c>
      <c r="C338" s="30">
        <v>0.23982558139534885</v>
      </c>
      <c r="D338" s="28">
        <v>35761</v>
      </c>
      <c r="E338" s="14">
        <v>-6.3507572056666906E-3</v>
      </c>
      <c r="F338" s="14">
        <v>-6.4926771117165272E-3</v>
      </c>
      <c r="G338" s="14">
        <v>-3.334259516532434E-3</v>
      </c>
      <c r="H338" s="14">
        <v>-3.3525435787531864E-3</v>
      </c>
    </row>
    <row r="339" spans="2:8" x14ac:dyDescent="0.25">
      <c r="B339" s="29">
        <v>331</v>
      </c>
      <c r="C339" s="30">
        <v>0.24055232558139536</v>
      </c>
      <c r="D339" s="28">
        <v>35762</v>
      </c>
      <c r="E339" s="14">
        <v>-6.3274265503082683E-3</v>
      </c>
      <c r="F339" s="14">
        <v>-6.4917859035507064E-3</v>
      </c>
      <c r="G339" s="14">
        <v>-3.330701412103565E-3</v>
      </c>
      <c r="H339" s="14">
        <v>-3.3032605572949512E-3</v>
      </c>
    </row>
    <row r="340" spans="2:8" x14ac:dyDescent="0.25">
      <c r="B340" s="29">
        <v>332</v>
      </c>
      <c r="C340" s="30">
        <v>0.24127906976744187</v>
      </c>
      <c r="D340" s="28">
        <v>35765</v>
      </c>
      <c r="E340" s="14">
        <v>-6.2550120288694666E-3</v>
      </c>
      <c r="F340" s="14">
        <v>-6.4640150264504426E-3</v>
      </c>
      <c r="G340" s="14">
        <v>-3.3253869904870115E-3</v>
      </c>
      <c r="H340" s="14">
        <v>-3.2967740727069426E-3</v>
      </c>
    </row>
    <row r="341" spans="2:8" x14ac:dyDescent="0.25">
      <c r="B341" s="29">
        <v>333</v>
      </c>
      <c r="C341" s="30">
        <v>0.24200581395348839</v>
      </c>
      <c r="D341" s="28">
        <v>35766</v>
      </c>
      <c r="E341" s="14">
        <v>-6.2122281330829754E-3</v>
      </c>
      <c r="F341" s="14">
        <v>-6.4612766560898649E-3</v>
      </c>
      <c r="G341" s="14">
        <v>-3.2856465965038772E-3</v>
      </c>
      <c r="H341" s="14">
        <v>-3.2752410528299699E-3</v>
      </c>
    </row>
    <row r="342" spans="2:8" x14ac:dyDescent="0.25">
      <c r="B342" s="29">
        <v>334</v>
      </c>
      <c r="C342" s="30">
        <v>0.24273255813953487</v>
      </c>
      <c r="D342" s="28">
        <v>35767</v>
      </c>
      <c r="E342" s="14">
        <v>-6.2121709924052304E-3</v>
      </c>
      <c r="F342" s="14">
        <v>-6.4233041983898786E-3</v>
      </c>
      <c r="G342" s="14">
        <v>-3.2757505167765322E-3</v>
      </c>
      <c r="H342" s="14">
        <v>-3.2600743774267916E-3</v>
      </c>
    </row>
    <row r="343" spans="2:8" x14ac:dyDescent="0.25">
      <c r="B343" s="29">
        <v>335</v>
      </c>
      <c r="C343" s="30">
        <v>0.24345930232558138</v>
      </c>
      <c r="D343" s="28">
        <v>35768</v>
      </c>
      <c r="E343" s="14">
        <v>-6.1646117960678648E-3</v>
      </c>
      <c r="F343" s="14">
        <v>-6.421451409226453E-3</v>
      </c>
      <c r="G343" s="14">
        <v>-3.2730186787388593E-3</v>
      </c>
      <c r="H343" s="14">
        <v>-3.2327250299528211E-3</v>
      </c>
    </row>
    <row r="344" spans="2:8" x14ac:dyDescent="0.25">
      <c r="B344" s="29">
        <v>336</v>
      </c>
      <c r="C344" s="30">
        <v>0.2441860465116279</v>
      </c>
      <c r="D344" s="28">
        <v>35769</v>
      </c>
      <c r="E344" s="14">
        <v>-6.1386408176952179E-3</v>
      </c>
      <c r="F344" s="14">
        <v>-6.3991078422261927E-3</v>
      </c>
      <c r="G344" s="14">
        <v>-3.2715376226826187E-3</v>
      </c>
      <c r="H344" s="14">
        <v>-3.2085963168588362E-3</v>
      </c>
    </row>
    <row r="345" spans="2:8" x14ac:dyDescent="0.25">
      <c r="B345" s="29">
        <v>337</v>
      </c>
      <c r="C345" s="30">
        <v>0.24491279069767441</v>
      </c>
      <c r="D345" s="28">
        <v>35772</v>
      </c>
      <c r="E345" s="14">
        <v>-6.1358519241768716E-3</v>
      </c>
      <c r="F345" s="14">
        <v>-6.3787037936108293E-3</v>
      </c>
      <c r="G345" s="14">
        <v>-3.2530588463779431E-3</v>
      </c>
      <c r="H345" s="14">
        <v>-3.1948400050632927E-3</v>
      </c>
    </row>
    <row r="346" spans="2:8" x14ac:dyDescent="0.25">
      <c r="B346" s="29">
        <v>338</v>
      </c>
      <c r="C346" s="30">
        <v>0.24563953488372092</v>
      </c>
      <c r="D346" s="28">
        <v>35773</v>
      </c>
      <c r="E346" s="14">
        <v>-6.1300457619014592E-3</v>
      </c>
      <c r="F346" s="14">
        <v>-6.3565989049028104E-3</v>
      </c>
      <c r="G346" s="14">
        <v>-3.2510197361240722E-3</v>
      </c>
      <c r="H346" s="14">
        <v>-3.1911641126403769E-3</v>
      </c>
    </row>
    <row r="347" spans="2:8" x14ac:dyDescent="0.25">
      <c r="B347" s="29">
        <v>339</v>
      </c>
      <c r="C347" s="30">
        <v>0.24636627906976744</v>
      </c>
      <c r="D347" s="28">
        <v>35774</v>
      </c>
      <c r="E347" s="14">
        <v>-6.1284864339279377E-3</v>
      </c>
      <c r="F347" s="14">
        <v>-6.3514216776269228E-3</v>
      </c>
      <c r="G347" s="14">
        <v>-3.2199154171471678E-3</v>
      </c>
      <c r="H347" s="14">
        <v>-3.1420045190037049E-3</v>
      </c>
    </row>
    <row r="348" spans="2:8" x14ac:dyDescent="0.25">
      <c r="B348" s="29">
        <v>340</v>
      </c>
      <c r="C348" s="30">
        <v>0.24709302325581395</v>
      </c>
      <c r="D348" s="28">
        <v>35775</v>
      </c>
      <c r="E348" s="14">
        <v>-6.1203164651439934E-3</v>
      </c>
      <c r="F348" s="14">
        <v>-6.2629064106235477E-3</v>
      </c>
      <c r="G348" s="14">
        <v>-3.1956614256187788E-3</v>
      </c>
      <c r="H348" s="14">
        <v>-3.1285613241125E-3</v>
      </c>
    </row>
    <row r="349" spans="2:8" x14ac:dyDescent="0.25">
      <c r="B349" s="29">
        <v>341</v>
      </c>
      <c r="C349" s="30">
        <v>0.24781976744186046</v>
      </c>
      <c r="D349" s="28">
        <v>35776</v>
      </c>
      <c r="E349" s="14">
        <v>-6.0986866887476898E-3</v>
      </c>
      <c r="F349" s="14">
        <v>-6.2427280050120215E-3</v>
      </c>
      <c r="G349" s="14">
        <v>-3.17477525572607E-3</v>
      </c>
      <c r="H349" s="14">
        <v>-3.1050182123615322E-3</v>
      </c>
    </row>
    <row r="350" spans="2:8" x14ac:dyDescent="0.25">
      <c r="B350" s="29">
        <v>342</v>
      </c>
      <c r="C350" s="30">
        <v>0.24854651162790697</v>
      </c>
      <c r="D350" s="28">
        <v>35779</v>
      </c>
      <c r="E350" s="14">
        <v>-6.0676676852727818E-3</v>
      </c>
      <c r="F350" s="14">
        <v>-6.204910279397402E-3</v>
      </c>
      <c r="G350" s="14">
        <v>-3.1707850426415662E-3</v>
      </c>
      <c r="H350" s="14">
        <v>-3.1027185530700051E-3</v>
      </c>
    </row>
    <row r="351" spans="2:8" x14ac:dyDescent="0.25">
      <c r="B351" s="29">
        <v>343</v>
      </c>
      <c r="C351" s="30">
        <v>0.24927325581395349</v>
      </c>
      <c r="D351" s="28">
        <v>35780</v>
      </c>
      <c r="E351" s="14">
        <v>-6.0461416070008989E-3</v>
      </c>
      <c r="F351" s="14">
        <v>-6.1771137026238598E-3</v>
      </c>
      <c r="G351" s="14">
        <v>-3.1299118853060914E-3</v>
      </c>
      <c r="H351" s="14">
        <v>-3.0540144491021833E-3</v>
      </c>
    </row>
    <row r="352" spans="2:8" x14ac:dyDescent="0.25">
      <c r="B352" s="29">
        <v>344</v>
      </c>
      <c r="C352" s="30">
        <v>0.25</v>
      </c>
      <c r="D352" s="28">
        <v>35781</v>
      </c>
      <c r="E352" s="14">
        <v>-6.0206193377321249E-3</v>
      </c>
      <c r="F352" s="14">
        <v>-6.1614105174201406E-3</v>
      </c>
      <c r="G352" s="14">
        <v>-3.1264747522417036E-3</v>
      </c>
      <c r="H352" s="14">
        <v>-3.0531471345605302E-3</v>
      </c>
    </row>
    <row r="353" spans="2:8" x14ac:dyDescent="0.25">
      <c r="B353" s="29">
        <v>345</v>
      </c>
      <c r="C353" s="30">
        <v>0.25072674418604651</v>
      </c>
      <c r="D353" s="28">
        <v>35782</v>
      </c>
      <c r="E353" s="14">
        <v>-6.0063049610088459E-3</v>
      </c>
      <c r="F353" s="14">
        <v>-6.138678800549302E-3</v>
      </c>
      <c r="G353" s="14">
        <v>-3.1262236383633457E-3</v>
      </c>
      <c r="H353" s="14">
        <v>-3.0506768240727844E-3</v>
      </c>
    </row>
    <row r="354" spans="2:8" x14ac:dyDescent="0.25">
      <c r="B354" s="29">
        <v>346</v>
      </c>
      <c r="C354" s="30">
        <v>0.25145348837209303</v>
      </c>
      <c r="D354" s="28">
        <v>35783</v>
      </c>
      <c r="E354" s="14">
        <v>-5.9869361026300139E-3</v>
      </c>
      <c r="F354" s="14">
        <v>-5.992710359786213E-3</v>
      </c>
      <c r="G354" s="14">
        <v>-3.1179239645675594E-3</v>
      </c>
      <c r="H354" s="14">
        <v>-3.046581445654973E-3</v>
      </c>
    </row>
    <row r="355" spans="2:8" x14ac:dyDescent="0.25">
      <c r="B355" s="29">
        <v>347</v>
      </c>
      <c r="C355" s="30">
        <v>0.25218023255813954</v>
      </c>
      <c r="D355" s="28">
        <v>35786</v>
      </c>
      <c r="E355" s="14">
        <v>-5.9514916642424698E-3</v>
      </c>
      <c r="F355" s="14">
        <v>-5.9811534447151704E-3</v>
      </c>
      <c r="G355" s="14">
        <v>-3.0845420418337266E-3</v>
      </c>
      <c r="H355" s="14">
        <v>-3.0307484797656996E-3</v>
      </c>
    </row>
    <row r="356" spans="2:8" x14ac:dyDescent="0.25">
      <c r="B356" s="29">
        <v>348</v>
      </c>
      <c r="C356" s="30">
        <v>0.25290697674418605</v>
      </c>
      <c r="D356" s="28">
        <v>35787</v>
      </c>
      <c r="E356" s="14">
        <v>-5.9231739800925665E-3</v>
      </c>
      <c r="F356" s="14">
        <v>-5.9730705632234926E-3</v>
      </c>
      <c r="G356" s="14">
        <v>-3.0663445456236005E-3</v>
      </c>
      <c r="H356" s="14">
        <v>-3.0298542808011144E-3</v>
      </c>
    </row>
    <row r="357" spans="2:8" x14ac:dyDescent="0.25">
      <c r="B357" s="29">
        <v>349</v>
      </c>
      <c r="C357" s="30">
        <v>0.25363372093023256</v>
      </c>
      <c r="D357" s="28">
        <v>35788</v>
      </c>
      <c r="E357" s="14">
        <v>-5.8978938751208521E-3</v>
      </c>
      <c r="F357" s="14">
        <v>-5.9052232607162969E-3</v>
      </c>
      <c r="G357" s="14">
        <v>-3.0562323699795391E-3</v>
      </c>
      <c r="H357" s="14">
        <v>-2.9985992167208772E-3</v>
      </c>
    </row>
    <row r="358" spans="2:8" x14ac:dyDescent="0.25">
      <c r="B358" s="29">
        <v>350</v>
      </c>
      <c r="C358" s="30">
        <v>0.25436046511627908</v>
      </c>
      <c r="D358" s="28">
        <v>35789</v>
      </c>
      <c r="E358" s="14">
        <v>-5.8871826286044371E-3</v>
      </c>
      <c r="F358" s="14">
        <v>-5.8831029269803548E-3</v>
      </c>
      <c r="G358" s="14">
        <v>-3.0403103213293425E-3</v>
      </c>
      <c r="H358" s="14">
        <v>-2.991080376302158E-3</v>
      </c>
    </row>
    <row r="359" spans="2:8" x14ac:dyDescent="0.25">
      <c r="B359" s="29">
        <v>351</v>
      </c>
      <c r="C359" s="30">
        <v>0.25508720930232559</v>
      </c>
      <c r="D359" s="28">
        <v>35790</v>
      </c>
      <c r="E359" s="14">
        <v>-5.8773884043912261E-3</v>
      </c>
      <c r="F359" s="14">
        <v>-5.8634153024180735E-3</v>
      </c>
      <c r="G359" s="14">
        <v>-3.0271277215042636E-3</v>
      </c>
      <c r="H359" s="14">
        <v>-2.983785011325458E-3</v>
      </c>
    </row>
    <row r="360" spans="2:8" x14ac:dyDescent="0.25">
      <c r="B360" s="29">
        <v>352</v>
      </c>
      <c r="C360" s="30">
        <v>0.2558139534883721</v>
      </c>
      <c r="D360" s="28">
        <v>35793</v>
      </c>
      <c r="E360" s="14">
        <v>-5.8421353428022016E-3</v>
      </c>
      <c r="F360" s="14">
        <v>-5.8552496724803005E-3</v>
      </c>
      <c r="G360" s="14">
        <v>-3.0213170704415093E-3</v>
      </c>
      <c r="H360" s="14">
        <v>-2.9801831241592419E-3</v>
      </c>
    </row>
    <row r="361" spans="2:8" x14ac:dyDescent="0.25">
      <c r="B361" s="29">
        <v>353</v>
      </c>
      <c r="C361" s="30">
        <v>0.25654069767441862</v>
      </c>
      <c r="D361" s="28">
        <v>35794</v>
      </c>
      <c r="E361" s="14">
        <v>-5.8159425248032193E-3</v>
      </c>
      <c r="F361" s="14">
        <v>-5.8548362758412686E-3</v>
      </c>
      <c r="G361" s="14">
        <v>-3.0188360866671982E-3</v>
      </c>
      <c r="H361" s="14">
        <v>-2.959147744195412E-3</v>
      </c>
    </row>
    <row r="362" spans="2:8" x14ac:dyDescent="0.25">
      <c r="B362" s="29">
        <v>354</v>
      </c>
      <c r="C362" s="30">
        <v>0.25726744186046513</v>
      </c>
      <c r="D362" s="28">
        <v>35795</v>
      </c>
      <c r="E362" s="14">
        <v>-5.8030380611026056E-3</v>
      </c>
      <c r="F362" s="14">
        <v>-5.852972732990569E-3</v>
      </c>
      <c r="G362" s="14">
        <v>-3.0081207004402089E-3</v>
      </c>
      <c r="H362" s="14">
        <v>-2.9338830022112459E-3</v>
      </c>
    </row>
    <row r="363" spans="2:8" x14ac:dyDescent="0.25">
      <c r="B363" s="29">
        <v>355</v>
      </c>
      <c r="C363" s="30">
        <v>0.25799418604651164</v>
      </c>
      <c r="D363" s="28">
        <v>35796</v>
      </c>
      <c r="E363" s="14">
        <v>-5.7589218563660616E-3</v>
      </c>
      <c r="F363" s="14">
        <v>-5.8327691517934266E-3</v>
      </c>
      <c r="G363" s="14">
        <v>-3.006753631233261E-3</v>
      </c>
      <c r="H363" s="14">
        <v>-2.9179011733937886E-3</v>
      </c>
    </row>
    <row r="364" spans="2:8" x14ac:dyDescent="0.25">
      <c r="B364" s="29">
        <v>356</v>
      </c>
      <c r="C364" s="30">
        <v>0.25872093023255816</v>
      </c>
      <c r="D364" s="28">
        <v>35797</v>
      </c>
      <c r="E364" s="14">
        <v>-5.7484123022906175E-3</v>
      </c>
      <c r="F364" s="14">
        <v>-5.8225281140539265E-3</v>
      </c>
      <c r="G364" s="14">
        <v>-3.0061793687023997E-3</v>
      </c>
      <c r="H364" s="14">
        <v>-2.9156607281749288E-3</v>
      </c>
    </row>
    <row r="365" spans="2:8" x14ac:dyDescent="0.25">
      <c r="B365" s="29">
        <v>357</v>
      </c>
      <c r="C365" s="30">
        <v>0.25944767441860467</v>
      </c>
      <c r="D365" s="28">
        <v>35800</v>
      </c>
      <c r="E365" s="14">
        <v>-5.7143256761904571E-3</v>
      </c>
      <c r="F365" s="14">
        <v>-5.8149440357935234E-3</v>
      </c>
      <c r="G365" s="14">
        <v>-2.973381159146693E-3</v>
      </c>
      <c r="H365" s="14">
        <v>-2.9083088156340196E-3</v>
      </c>
    </row>
    <row r="366" spans="2:8" x14ac:dyDescent="0.25">
      <c r="B366" s="29">
        <v>358</v>
      </c>
      <c r="C366" s="30">
        <v>0.26017441860465118</v>
      </c>
      <c r="D366" s="28">
        <v>35801</v>
      </c>
      <c r="E366" s="14">
        <v>-5.6723584036969532E-3</v>
      </c>
      <c r="F366" s="14">
        <v>-5.7919133507732257E-3</v>
      </c>
      <c r="G366" s="14">
        <v>-2.9572338489536332E-3</v>
      </c>
      <c r="H366" s="14">
        <v>-2.9053141789823216E-3</v>
      </c>
    </row>
    <row r="367" spans="2:8" x14ac:dyDescent="0.25">
      <c r="B367" s="29">
        <v>359</v>
      </c>
      <c r="C367" s="30">
        <v>0.26090116279069769</v>
      </c>
      <c r="D367" s="28">
        <v>35802</v>
      </c>
      <c r="E367" s="14">
        <v>-5.5921466088596494E-3</v>
      </c>
      <c r="F367" s="14">
        <v>-5.7227208809352836E-3</v>
      </c>
      <c r="G367" s="14">
        <v>-2.9352839770768746E-3</v>
      </c>
      <c r="H367" s="14">
        <v>-2.89545582766082E-3</v>
      </c>
    </row>
    <row r="368" spans="2:8" x14ac:dyDescent="0.25">
      <c r="B368" s="29">
        <v>360</v>
      </c>
      <c r="C368" s="30">
        <v>0.26162790697674421</v>
      </c>
      <c r="D368" s="28">
        <v>35803</v>
      </c>
      <c r="E368" s="14">
        <v>-5.5612443063451922E-3</v>
      </c>
      <c r="F368" s="14">
        <v>-5.6969236612228746E-3</v>
      </c>
      <c r="G368" s="14">
        <v>-2.9229958311371984E-3</v>
      </c>
      <c r="H368" s="14">
        <v>-2.8450200263797415E-3</v>
      </c>
    </row>
    <row r="369" spans="2:8" x14ac:dyDescent="0.25">
      <c r="B369" s="29">
        <v>361</v>
      </c>
      <c r="C369" s="30">
        <v>0.26235465116279072</v>
      </c>
      <c r="D369" s="28">
        <v>35804</v>
      </c>
      <c r="E369" s="14">
        <v>-5.5302850917826607E-3</v>
      </c>
      <c r="F369" s="14">
        <v>-5.6724788087794131E-3</v>
      </c>
      <c r="G369" s="14">
        <v>-2.9179058414231518E-3</v>
      </c>
      <c r="H369" s="14">
        <v>-2.8421397603673793E-3</v>
      </c>
    </row>
    <row r="370" spans="2:8" x14ac:dyDescent="0.25">
      <c r="B370" s="29">
        <v>362</v>
      </c>
      <c r="C370" s="30">
        <v>0.26308139534883723</v>
      </c>
      <c r="D370" s="28">
        <v>35807</v>
      </c>
      <c r="E370" s="14">
        <v>-5.5001766850305556E-3</v>
      </c>
      <c r="F370" s="14">
        <v>-5.6591626516031557E-3</v>
      </c>
      <c r="G370" s="14">
        <v>-2.9175382582847798E-3</v>
      </c>
      <c r="H370" s="14">
        <v>-2.8060227991059342E-3</v>
      </c>
    </row>
    <row r="371" spans="2:8" x14ac:dyDescent="0.25">
      <c r="B371" s="29">
        <v>363</v>
      </c>
      <c r="C371" s="30">
        <v>0.26380813953488375</v>
      </c>
      <c r="D371" s="28">
        <v>35808</v>
      </c>
      <c r="E371" s="14">
        <v>-5.4953935671570031E-3</v>
      </c>
      <c r="F371" s="14">
        <v>-5.6562284745402813E-3</v>
      </c>
      <c r="G371" s="14">
        <v>-2.9066387629346213E-3</v>
      </c>
      <c r="H371" s="14">
        <v>-2.7979930947335417E-3</v>
      </c>
    </row>
    <row r="372" spans="2:8" x14ac:dyDescent="0.25">
      <c r="B372" s="29">
        <v>364</v>
      </c>
      <c r="C372" s="30">
        <v>0.26453488372093026</v>
      </c>
      <c r="D372" s="28">
        <v>35809</v>
      </c>
      <c r="E372" s="14">
        <v>-5.4316537133670684E-3</v>
      </c>
      <c r="F372" s="14">
        <v>-5.6203088257776868E-3</v>
      </c>
      <c r="G372" s="14">
        <v>-2.8944246737840906E-3</v>
      </c>
      <c r="H372" s="14">
        <v>-2.7956929649212369E-3</v>
      </c>
    </row>
    <row r="373" spans="2:8" x14ac:dyDescent="0.25">
      <c r="B373" s="29">
        <v>365</v>
      </c>
      <c r="C373" s="30">
        <v>0.26526162790697677</v>
      </c>
      <c r="D373" s="28">
        <v>35810</v>
      </c>
      <c r="E373" s="14">
        <v>-5.4272818829497194E-3</v>
      </c>
      <c r="F373" s="14">
        <v>-5.573686617725726E-3</v>
      </c>
      <c r="G373" s="14">
        <v>-2.892608743962688E-3</v>
      </c>
      <c r="H373" s="14">
        <v>-2.7942174440973356E-3</v>
      </c>
    </row>
    <row r="374" spans="2:8" x14ac:dyDescent="0.25">
      <c r="B374" s="29">
        <v>366</v>
      </c>
      <c r="C374" s="30">
        <v>0.26598837209302323</v>
      </c>
      <c r="D374" s="28">
        <v>35811</v>
      </c>
      <c r="E374" s="14">
        <v>-5.4190548914284653E-3</v>
      </c>
      <c r="F374" s="14">
        <v>-5.5709276001361108E-3</v>
      </c>
      <c r="G374" s="14">
        <v>-2.8772753963595132E-3</v>
      </c>
      <c r="H374" s="14">
        <v>-2.7920787091253894E-3</v>
      </c>
    </row>
    <row r="375" spans="2:8" x14ac:dyDescent="0.25">
      <c r="B375" s="29">
        <v>367</v>
      </c>
      <c r="C375" s="30">
        <v>0.26671511627906974</v>
      </c>
      <c r="D375" s="28">
        <v>35814</v>
      </c>
      <c r="E375" s="14">
        <v>-5.4037826478534612E-3</v>
      </c>
      <c r="F375" s="14">
        <v>-5.566339346882776E-3</v>
      </c>
      <c r="G375" s="14">
        <v>-2.8495378117328052E-3</v>
      </c>
      <c r="H375" s="14">
        <v>-2.7858882158208424E-3</v>
      </c>
    </row>
    <row r="376" spans="2:8" x14ac:dyDescent="0.25">
      <c r="B376" s="29">
        <v>368</v>
      </c>
      <c r="C376" s="30">
        <v>0.26744186046511625</v>
      </c>
      <c r="D376" s="28">
        <v>35815</v>
      </c>
      <c r="E376" s="14">
        <v>-5.3837774426011009E-3</v>
      </c>
      <c r="F376" s="14">
        <v>-5.5481491534083993E-3</v>
      </c>
      <c r="G376" s="14">
        <v>-2.8372933596383376E-3</v>
      </c>
      <c r="H376" s="14">
        <v>-2.756838438189124E-3</v>
      </c>
    </row>
    <row r="377" spans="2:8" x14ac:dyDescent="0.25">
      <c r="B377" s="29">
        <v>369</v>
      </c>
      <c r="C377" s="30">
        <v>0.26816860465116277</v>
      </c>
      <c r="D377" s="28">
        <v>35816</v>
      </c>
      <c r="E377" s="14">
        <v>-5.380746247864665E-3</v>
      </c>
      <c r="F377" s="14">
        <v>-5.5416488257962193E-3</v>
      </c>
      <c r="G377" s="14">
        <v>-2.8354315526823992E-3</v>
      </c>
      <c r="H377" s="14">
        <v>-2.7400389026293495E-3</v>
      </c>
    </row>
    <row r="378" spans="2:8" x14ac:dyDescent="0.25">
      <c r="B378" s="29">
        <v>370</v>
      </c>
      <c r="C378" s="30">
        <v>0.26889534883720928</v>
      </c>
      <c r="D378" s="28">
        <v>35817</v>
      </c>
      <c r="E378" s="14">
        <v>-5.3595155954393459E-3</v>
      </c>
      <c r="F378" s="14">
        <v>-5.5086301872934174E-3</v>
      </c>
      <c r="G378" s="14">
        <v>-2.8328849380057086E-3</v>
      </c>
      <c r="H378" s="14">
        <v>-2.7352325870576791E-3</v>
      </c>
    </row>
    <row r="379" spans="2:8" x14ac:dyDescent="0.25">
      <c r="B379" s="29">
        <v>371</v>
      </c>
      <c r="C379" s="30">
        <v>0.26962209302325579</v>
      </c>
      <c r="D379" s="28">
        <v>35818</v>
      </c>
      <c r="E379" s="14">
        <v>-5.3525160276314265E-3</v>
      </c>
      <c r="F379" s="14">
        <v>-5.4821390401226244E-3</v>
      </c>
      <c r="G379" s="14">
        <v>-2.8228938380033819E-3</v>
      </c>
      <c r="H379" s="14">
        <v>-2.7289139203834356E-3</v>
      </c>
    </row>
    <row r="380" spans="2:8" x14ac:dyDescent="0.25">
      <c r="B380" s="29">
        <v>372</v>
      </c>
      <c r="C380" s="30">
        <v>0.27034883720930231</v>
      </c>
      <c r="D380" s="28">
        <v>35821</v>
      </c>
      <c r="E380" s="14">
        <v>-5.3497045659078868E-3</v>
      </c>
      <c r="F380" s="14">
        <v>-5.4809953416010693E-3</v>
      </c>
      <c r="G380" s="14">
        <v>-2.8225992077253181E-3</v>
      </c>
      <c r="H380" s="14">
        <v>-2.7003998614891778E-3</v>
      </c>
    </row>
    <row r="381" spans="2:8" x14ac:dyDescent="0.25">
      <c r="B381" s="29">
        <v>373</v>
      </c>
      <c r="C381" s="30">
        <v>0.27107558139534882</v>
      </c>
      <c r="D381" s="28">
        <v>35822</v>
      </c>
      <c r="E381" s="14">
        <v>-5.3294370447598549E-3</v>
      </c>
      <c r="F381" s="14">
        <v>-5.4422377288722013E-3</v>
      </c>
      <c r="G381" s="14">
        <v>-2.8107472627107999E-3</v>
      </c>
      <c r="H381" s="14">
        <v>-2.6516885375806876E-3</v>
      </c>
    </row>
    <row r="382" spans="2:8" x14ac:dyDescent="0.25">
      <c r="B382" s="29">
        <v>374</v>
      </c>
      <c r="C382" s="30">
        <v>0.27180232558139533</v>
      </c>
      <c r="D382" s="28">
        <v>35823</v>
      </c>
      <c r="E382" s="14">
        <v>-5.3292011786117977E-3</v>
      </c>
      <c r="F382" s="14">
        <v>-5.4079220686197305E-3</v>
      </c>
      <c r="G382" s="14">
        <v>-2.8065754052351011E-3</v>
      </c>
      <c r="H382" s="14">
        <v>-2.6447072242439251E-3</v>
      </c>
    </row>
    <row r="383" spans="2:8" x14ac:dyDescent="0.25">
      <c r="B383" s="29">
        <v>375</v>
      </c>
      <c r="C383" s="30">
        <v>0.27252906976744184</v>
      </c>
      <c r="D383" s="28">
        <v>35824</v>
      </c>
      <c r="E383" s="14">
        <v>-5.3070507960576441E-3</v>
      </c>
      <c r="F383" s="14">
        <v>-5.3734076561019473E-3</v>
      </c>
      <c r="G383" s="14">
        <v>-2.7487049370968908E-3</v>
      </c>
      <c r="H383" s="14">
        <v>-2.6416866056299341E-3</v>
      </c>
    </row>
    <row r="384" spans="2:8" x14ac:dyDescent="0.25">
      <c r="B384" s="29">
        <v>376</v>
      </c>
      <c r="C384" s="30">
        <v>0.27325581395348836</v>
      </c>
      <c r="D384" s="28">
        <v>35825</v>
      </c>
      <c r="E384" s="14">
        <v>-5.2943205395040716E-3</v>
      </c>
      <c r="F384" s="14">
        <v>-5.3689505114632441E-3</v>
      </c>
      <c r="G384" s="14">
        <v>-2.6942294503772279E-3</v>
      </c>
      <c r="H384" s="14">
        <v>-2.6398176759227622E-3</v>
      </c>
    </row>
    <row r="385" spans="2:8" x14ac:dyDescent="0.25">
      <c r="B385" s="29">
        <v>377</v>
      </c>
      <c r="C385" s="30">
        <v>0.27398255813953487</v>
      </c>
      <c r="D385" s="28">
        <v>35828</v>
      </c>
      <c r="E385" s="14">
        <v>-5.2938062466914015E-3</v>
      </c>
      <c r="F385" s="14">
        <v>-5.3534725873524147E-3</v>
      </c>
      <c r="G385" s="14">
        <v>-2.6628794603230643E-3</v>
      </c>
      <c r="H385" s="14">
        <v>-2.6360329741713208E-3</v>
      </c>
    </row>
    <row r="386" spans="2:8" x14ac:dyDescent="0.25">
      <c r="B386" s="29">
        <v>378</v>
      </c>
      <c r="C386" s="30">
        <v>0.27470930232558138</v>
      </c>
      <c r="D386" s="28">
        <v>35829</v>
      </c>
      <c r="E386" s="14">
        <v>-5.2769401682273287E-3</v>
      </c>
      <c r="F386" s="14">
        <v>-5.3454412818997321E-3</v>
      </c>
      <c r="G386" s="14">
        <v>-2.6604898954306622E-3</v>
      </c>
      <c r="H386" s="14">
        <v>-2.6008071199868704E-3</v>
      </c>
    </row>
    <row r="387" spans="2:8" x14ac:dyDescent="0.25">
      <c r="B387" s="29">
        <v>379</v>
      </c>
      <c r="C387" s="30">
        <v>0.2754360465116279</v>
      </c>
      <c r="D387" s="28">
        <v>35830</v>
      </c>
      <c r="E387" s="14">
        <v>-5.2092277749156146E-3</v>
      </c>
      <c r="F387" s="14">
        <v>-5.3355282981428775E-3</v>
      </c>
      <c r="G387" s="14">
        <v>-2.6489081251037661E-3</v>
      </c>
      <c r="H387" s="14">
        <v>-2.5972463803685115E-3</v>
      </c>
    </row>
    <row r="388" spans="2:8" x14ac:dyDescent="0.25">
      <c r="B388" s="29">
        <v>380</v>
      </c>
      <c r="C388" s="30">
        <v>0.27616279069767441</v>
      </c>
      <c r="D388" s="28">
        <v>35831</v>
      </c>
      <c r="E388" s="14">
        <v>-5.1634910761478858E-3</v>
      </c>
      <c r="F388" s="14">
        <v>-5.3310793272590695E-3</v>
      </c>
      <c r="G388" s="14">
        <v>-2.6304462193313949E-3</v>
      </c>
      <c r="H388" s="14">
        <v>-2.5707063649333065E-3</v>
      </c>
    </row>
    <row r="389" spans="2:8" x14ac:dyDescent="0.25">
      <c r="B389" s="29">
        <v>381</v>
      </c>
      <c r="C389" s="30">
        <v>0.27688953488372092</v>
      </c>
      <c r="D389" s="28">
        <v>35832</v>
      </c>
      <c r="E389" s="14">
        <v>-5.1407607549672774E-3</v>
      </c>
      <c r="F389" s="14">
        <v>-5.3212090595267103E-3</v>
      </c>
      <c r="G389" s="14">
        <v>-2.6268296062742502E-3</v>
      </c>
      <c r="H389" s="14">
        <v>-2.5682990842368805E-3</v>
      </c>
    </row>
    <row r="390" spans="2:8" x14ac:dyDescent="0.25">
      <c r="B390" s="29">
        <v>382</v>
      </c>
      <c r="C390" s="30">
        <v>0.27761627906976744</v>
      </c>
      <c r="D390" s="28">
        <v>35835</v>
      </c>
      <c r="E390" s="14">
        <v>-5.1258334342937362E-3</v>
      </c>
      <c r="F390" s="14">
        <v>-5.3171611911295713E-3</v>
      </c>
      <c r="G390" s="14">
        <v>-2.6243788039532756E-3</v>
      </c>
      <c r="H390" s="14">
        <v>-2.5651339910660381E-3</v>
      </c>
    </row>
    <row r="391" spans="2:8" x14ac:dyDescent="0.25">
      <c r="B391" s="29">
        <v>383</v>
      </c>
      <c r="C391" s="30">
        <v>0.27834302325581395</v>
      </c>
      <c r="D391" s="28">
        <v>35836</v>
      </c>
      <c r="E391" s="14">
        <v>-5.0854724273878826E-3</v>
      </c>
      <c r="F391" s="14">
        <v>-5.2867101644867853E-3</v>
      </c>
      <c r="G391" s="14">
        <v>-2.6182995334665948E-3</v>
      </c>
      <c r="H391" s="14">
        <v>-2.5591778653079045E-3</v>
      </c>
    </row>
    <row r="392" spans="2:8" x14ac:dyDescent="0.25">
      <c r="B392" s="29">
        <v>384</v>
      </c>
      <c r="C392" s="30">
        <v>0.27906976744186046</v>
      </c>
      <c r="D392" s="28">
        <v>35837</v>
      </c>
      <c r="E392" s="14">
        <v>-5.0369375419745399E-3</v>
      </c>
      <c r="F392" s="14">
        <v>-5.2707410041764602E-3</v>
      </c>
      <c r="G392" s="14">
        <v>-2.6032540049627517E-3</v>
      </c>
      <c r="H392" s="14">
        <v>-2.5575600424015302E-3</v>
      </c>
    </row>
    <row r="393" spans="2:8" x14ac:dyDescent="0.25">
      <c r="B393" s="29">
        <v>385</v>
      </c>
      <c r="C393" s="30">
        <v>0.27979651162790697</v>
      </c>
      <c r="D393" s="28">
        <v>35838</v>
      </c>
      <c r="E393" s="14">
        <v>-5.0076051234830832E-3</v>
      </c>
      <c r="F393" s="14">
        <v>-5.2426786811387016E-3</v>
      </c>
      <c r="G393" s="14">
        <v>-2.5969274575733392E-3</v>
      </c>
      <c r="H393" s="14">
        <v>-2.5550945330438338E-3</v>
      </c>
    </row>
    <row r="394" spans="2:8" x14ac:dyDescent="0.25">
      <c r="B394" s="29">
        <v>386</v>
      </c>
      <c r="C394" s="30">
        <v>0.28052325581395349</v>
      </c>
      <c r="D394" s="28">
        <v>35839</v>
      </c>
      <c r="E394" s="14">
        <v>-5.0054053959885936E-3</v>
      </c>
      <c r="F394" s="14">
        <v>-5.2307614367496091E-3</v>
      </c>
      <c r="G394" s="14">
        <v>-2.5876155674933177E-3</v>
      </c>
      <c r="H394" s="14">
        <v>-2.545672104289087E-3</v>
      </c>
    </row>
    <row r="395" spans="2:8" x14ac:dyDescent="0.25">
      <c r="B395" s="29">
        <v>387</v>
      </c>
      <c r="C395" s="30">
        <v>0.28125</v>
      </c>
      <c r="D395" s="28">
        <v>35842</v>
      </c>
      <c r="E395" s="14">
        <v>-4.9648670357644864E-3</v>
      </c>
      <c r="F395" s="14">
        <v>-5.2217086115390332E-3</v>
      </c>
      <c r="G395" s="14">
        <v>-2.5540485412111069E-3</v>
      </c>
      <c r="H395" s="14">
        <v>-2.5372862430236291E-3</v>
      </c>
    </row>
    <row r="396" spans="2:8" x14ac:dyDescent="0.25">
      <c r="B396" s="29">
        <v>388</v>
      </c>
      <c r="C396" s="30">
        <v>0.28197674418604651</v>
      </c>
      <c r="D396" s="28">
        <v>35843</v>
      </c>
      <c r="E396" s="14">
        <v>-4.9616588460293931E-3</v>
      </c>
      <c r="F396" s="14">
        <v>-5.188959394829884E-3</v>
      </c>
      <c r="G396" s="14">
        <v>-2.5353272638295454E-3</v>
      </c>
      <c r="H396" s="14">
        <v>-2.5371545926222705E-3</v>
      </c>
    </row>
    <row r="397" spans="2:8" x14ac:dyDescent="0.25">
      <c r="B397" s="29">
        <v>389</v>
      </c>
      <c r="C397" s="30">
        <v>0.28270348837209303</v>
      </c>
      <c r="D397" s="28">
        <v>35844</v>
      </c>
      <c r="E397" s="14">
        <v>-4.9199860741296897E-3</v>
      </c>
      <c r="F397" s="14">
        <v>-5.1700606487882217E-3</v>
      </c>
      <c r="G397" s="14">
        <v>-2.5226294702478391E-3</v>
      </c>
      <c r="H397" s="14">
        <v>-2.5364559209420491E-3</v>
      </c>
    </row>
    <row r="398" spans="2:8" x14ac:dyDescent="0.25">
      <c r="B398" s="29">
        <v>390</v>
      </c>
      <c r="C398" s="30">
        <v>0.28343023255813954</v>
      </c>
      <c r="D398" s="28">
        <v>35845</v>
      </c>
      <c r="E398" s="14">
        <v>-4.9169209901661626E-3</v>
      </c>
      <c r="F398" s="14">
        <v>-5.1603974099153627E-3</v>
      </c>
      <c r="G398" s="14">
        <v>-2.4952535937076137E-3</v>
      </c>
      <c r="H398" s="14">
        <v>-2.5012601771122081E-3</v>
      </c>
    </row>
    <row r="399" spans="2:8" x14ac:dyDescent="0.25">
      <c r="B399" s="29">
        <v>391</v>
      </c>
      <c r="C399" s="30">
        <v>0.28415697674418605</v>
      </c>
      <c r="D399" s="28">
        <v>35846</v>
      </c>
      <c r="E399" s="14">
        <v>-4.8863984155039786E-3</v>
      </c>
      <c r="F399" s="14">
        <v>-5.1476682807659602E-3</v>
      </c>
      <c r="G399" s="14">
        <v>-2.4895293439940458E-3</v>
      </c>
      <c r="H399" s="14">
        <v>-2.4923361531299817E-3</v>
      </c>
    </row>
    <row r="400" spans="2:8" x14ac:dyDescent="0.25">
      <c r="B400" s="29">
        <v>392</v>
      </c>
      <c r="C400" s="30">
        <v>0.28488372093023256</v>
      </c>
      <c r="D400" s="28">
        <v>35849</v>
      </c>
      <c r="E400" s="14">
        <v>-4.8766244239992762E-3</v>
      </c>
      <c r="F400" s="14">
        <v>-5.0355050355050945E-3</v>
      </c>
      <c r="G400" s="14">
        <v>-2.48098747416714E-3</v>
      </c>
      <c r="H400" s="14">
        <v>-2.475408110655497E-3</v>
      </c>
    </row>
    <row r="401" spans="2:8" x14ac:dyDescent="0.25">
      <c r="B401" s="29">
        <v>393</v>
      </c>
      <c r="C401" s="30">
        <v>0.28561046511627908</v>
      </c>
      <c r="D401" s="28">
        <v>35850</v>
      </c>
      <c r="E401" s="14">
        <v>-4.8659409254182551E-3</v>
      </c>
      <c r="F401" s="14">
        <v>-5.0171835886121396E-3</v>
      </c>
      <c r="G401" s="14">
        <v>-2.4734137251205546E-3</v>
      </c>
      <c r="H401" s="14">
        <v>-2.4530657875115216E-3</v>
      </c>
    </row>
    <row r="402" spans="2:8" x14ac:dyDescent="0.25">
      <c r="B402" s="29">
        <v>394</v>
      </c>
      <c r="C402" s="30">
        <v>0.28633720930232559</v>
      </c>
      <c r="D402" s="28">
        <v>35851</v>
      </c>
      <c r="E402" s="14">
        <v>-4.8486287791177363E-3</v>
      </c>
      <c r="F402" s="14">
        <v>-5.0027997995932827E-3</v>
      </c>
      <c r="G402" s="14">
        <v>-2.4690207770425854E-3</v>
      </c>
      <c r="H402" s="14">
        <v>-2.4524735659032346E-3</v>
      </c>
    </row>
    <row r="403" spans="2:8" x14ac:dyDescent="0.25">
      <c r="B403" s="29">
        <v>395</v>
      </c>
      <c r="C403" s="30">
        <v>0.2870639534883721</v>
      </c>
      <c r="D403" s="28">
        <v>35852</v>
      </c>
      <c r="E403" s="14">
        <v>-4.8226345778261681E-3</v>
      </c>
      <c r="F403" s="14">
        <v>-4.9769112365315449E-3</v>
      </c>
      <c r="G403" s="14">
        <v>-2.425410350496815E-3</v>
      </c>
      <c r="H403" s="14">
        <v>-2.430316109238051E-3</v>
      </c>
    </row>
    <row r="404" spans="2:8" x14ac:dyDescent="0.25">
      <c r="B404" s="29">
        <v>396</v>
      </c>
      <c r="C404" s="30">
        <v>0.28779069767441862</v>
      </c>
      <c r="D404" s="28">
        <v>35853</v>
      </c>
      <c r="E404" s="14">
        <v>-4.7925510064356081E-3</v>
      </c>
      <c r="F404" s="14">
        <v>-4.9397085855825695E-3</v>
      </c>
      <c r="G404" s="14">
        <v>-2.4068647969861523E-3</v>
      </c>
      <c r="H404" s="14">
        <v>-2.4231930509282188E-3</v>
      </c>
    </row>
    <row r="405" spans="2:8" x14ac:dyDescent="0.25">
      <c r="B405" s="29">
        <v>397</v>
      </c>
      <c r="C405" s="30">
        <v>0.28851744186046513</v>
      </c>
      <c r="D405" s="28">
        <v>35856</v>
      </c>
      <c r="E405" s="14">
        <v>-4.7653716328015516E-3</v>
      </c>
      <c r="F405" s="14">
        <v>-4.9270999247371661E-3</v>
      </c>
      <c r="G405" s="14">
        <v>-2.4041091529678482E-3</v>
      </c>
      <c r="H405" s="14">
        <v>-2.4113887022437996E-3</v>
      </c>
    </row>
    <row r="406" spans="2:8" x14ac:dyDescent="0.25">
      <c r="B406" s="29">
        <v>398</v>
      </c>
      <c r="C406" s="30">
        <v>0.28924418604651164</v>
      </c>
      <c r="D406" s="28">
        <v>35857</v>
      </c>
      <c r="E406" s="14">
        <v>-4.7607548211267003E-3</v>
      </c>
      <c r="F406" s="14">
        <v>-4.9261707570346092E-3</v>
      </c>
      <c r="G406" s="14">
        <v>-2.3955989509677478E-3</v>
      </c>
      <c r="H406" s="14">
        <v>-2.3452793704036084E-3</v>
      </c>
    </row>
    <row r="407" spans="2:8" x14ac:dyDescent="0.25">
      <c r="B407" s="29">
        <v>399</v>
      </c>
      <c r="C407" s="30">
        <v>0.28997093023255816</v>
      </c>
      <c r="D407" s="28">
        <v>35858</v>
      </c>
      <c r="E407" s="14">
        <v>-4.7401297160933886E-3</v>
      </c>
      <c r="F407" s="14">
        <v>-4.9239662012537933E-3</v>
      </c>
      <c r="G407" s="14">
        <v>-2.383367139959458E-3</v>
      </c>
      <c r="H407" s="14">
        <v>-2.3315139176476544E-3</v>
      </c>
    </row>
    <row r="408" spans="2:8" x14ac:dyDescent="0.25">
      <c r="B408" s="29">
        <v>400</v>
      </c>
      <c r="C408" s="30">
        <v>0.29069767441860467</v>
      </c>
      <c r="D408" s="28">
        <v>35859</v>
      </c>
      <c r="E408" s="14">
        <v>-4.7381974248927872E-3</v>
      </c>
      <c r="F408" s="14">
        <v>-4.8832306729469366E-3</v>
      </c>
      <c r="G408" s="14">
        <v>-2.3791052495476528E-3</v>
      </c>
      <c r="H408" s="14">
        <v>-2.3094691457119952E-3</v>
      </c>
    </row>
    <row r="409" spans="2:8" x14ac:dyDescent="0.25">
      <c r="B409" s="29">
        <v>401</v>
      </c>
      <c r="C409" s="30">
        <v>0.29142441860465118</v>
      </c>
      <c r="D409" s="28">
        <v>35860</v>
      </c>
      <c r="E409" s="14">
        <v>-4.7299819292451195E-3</v>
      </c>
      <c r="F409" s="14">
        <v>-4.8816190591299824E-3</v>
      </c>
      <c r="G409" s="14">
        <v>-2.3759531439937476E-3</v>
      </c>
      <c r="H409" s="14">
        <v>-2.3086727135219311E-3</v>
      </c>
    </row>
    <row r="410" spans="2:8" x14ac:dyDescent="0.25">
      <c r="B410" s="29">
        <v>402</v>
      </c>
      <c r="C410" s="30">
        <v>0.29215116279069769</v>
      </c>
      <c r="D410" s="28">
        <v>35863</v>
      </c>
      <c r="E410" s="14">
        <v>-4.7117951939690261E-3</v>
      </c>
      <c r="F410" s="14">
        <v>-4.8691860465115422E-3</v>
      </c>
      <c r="G410" s="14">
        <v>-2.3368803818432093E-3</v>
      </c>
      <c r="H410" s="14">
        <v>-2.2818492801468752E-3</v>
      </c>
    </row>
    <row r="411" spans="2:8" x14ac:dyDescent="0.25">
      <c r="B411" s="29">
        <v>403</v>
      </c>
      <c r="C411" s="30">
        <v>0.29287790697674421</v>
      </c>
      <c r="D411" s="28">
        <v>35864</v>
      </c>
      <c r="E411" s="14">
        <v>-4.6595289079230939E-3</v>
      </c>
      <c r="F411" s="14">
        <v>-4.867624361866274E-3</v>
      </c>
      <c r="G411" s="14">
        <v>-2.335030121888737E-3</v>
      </c>
      <c r="H411" s="14">
        <v>-2.2385309465089431E-3</v>
      </c>
    </row>
    <row r="412" spans="2:8" x14ac:dyDescent="0.25">
      <c r="B412" s="29">
        <v>404</v>
      </c>
      <c r="C412" s="30">
        <v>0.29360465116279072</v>
      </c>
      <c r="D412" s="28">
        <v>35865</v>
      </c>
      <c r="E412" s="14">
        <v>-4.5833089540303629E-3</v>
      </c>
      <c r="F412" s="14">
        <v>-4.8272893757437263E-3</v>
      </c>
      <c r="G412" s="14">
        <v>-2.2624434389140191E-3</v>
      </c>
      <c r="H412" s="14">
        <v>-2.2311817255566079E-3</v>
      </c>
    </row>
    <row r="413" spans="2:8" x14ac:dyDescent="0.25">
      <c r="B413" s="29">
        <v>405</v>
      </c>
      <c r="C413" s="30">
        <v>0.29433139534883723</v>
      </c>
      <c r="D413" s="28">
        <v>35866</v>
      </c>
      <c r="E413" s="14">
        <v>-4.5697012872879528E-3</v>
      </c>
      <c r="F413" s="14">
        <v>-4.7802300946658827E-3</v>
      </c>
      <c r="G413" s="14">
        <v>-2.2382631078283755E-3</v>
      </c>
      <c r="H413" s="14">
        <v>-2.216493234243866E-3</v>
      </c>
    </row>
    <row r="414" spans="2:8" x14ac:dyDescent="0.25">
      <c r="B414" s="29">
        <v>406</v>
      </c>
      <c r="C414" s="30">
        <v>0.29505813953488375</v>
      </c>
      <c r="D414" s="28">
        <v>35867</v>
      </c>
      <c r="E414" s="14">
        <v>-4.5375218150087715E-3</v>
      </c>
      <c r="F414" s="14">
        <v>-4.7228702494845898E-3</v>
      </c>
      <c r="G414" s="14">
        <v>-2.2381274244043237E-3</v>
      </c>
      <c r="H414" s="14">
        <v>-2.2067338747853165E-3</v>
      </c>
    </row>
    <row r="415" spans="2:8" x14ac:dyDescent="0.25">
      <c r="B415" s="29">
        <v>407</v>
      </c>
      <c r="C415" s="30">
        <v>0.29578488372093026</v>
      </c>
      <c r="D415" s="28">
        <v>35870</v>
      </c>
      <c r="E415" s="14">
        <v>-4.4896526525223246E-3</v>
      </c>
      <c r="F415" s="14">
        <v>-4.7224262776786041E-3</v>
      </c>
      <c r="G415" s="14">
        <v>-2.2009386480489335E-3</v>
      </c>
      <c r="H415" s="14">
        <v>-2.191845477889798E-3</v>
      </c>
    </row>
    <row r="416" spans="2:8" x14ac:dyDescent="0.25">
      <c r="B416" s="29">
        <v>408</v>
      </c>
      <c r="C416" s="30">
        <v>0.29651162790697677</v>
      </c>
      <c r="D416" s="28">
        <v>35871</v>
      </c>
      <c r="E416" s="14">
        <v>-4.4778849070706839E-3</v>
      </c>
      <c r="F416" s="14">
        <v>-4.7115469825420586E-3</v>
      </c>
      <c r="G416" s="14">
        <v>-2.187366623986442E-3</v>
      </c>
      <c r="H416" s="14">
        <v>-2.1860036538331245E-3</v>
      </c>
    </row>
    <row r="417" spans="2:8" x14ac:dyDescent="0.25">
      <c r="B417" s="29">
        <v>409</v>
      </c>
      <c r="C417" s="30">
        <v>0.29723837209302323</v>
      </c>
      <c r="D417" s="28">
        <v>35872</v>
      </c>
      <c r="E417" s="14">
        <v>-4.4721825176819996E-3</v>
      </c>
      <c r="F417" s="14">
        <v>-4.7010430439252682E-3</v>
      </c>
      <c r="G417" s="14">
        <v>-2.1759980914071164E-3</v>
      </c>
      <c r="H417" s="14">
        <v>-2.1810212939790356E-3</v>
      </c>
    </row>
    <row r="418" spans="2:8" x14ac:dyDescent="0.25">
      <c r="B418" s="29">
        <v>410</v>
      </c>
      <c r="C418" s="30">
        <v>0.29796511627906974</v>
      </c>
      <c r="D418" s="28">
        <v>35873</v>
      </c>
      <c r="E418" s="14">
        <v>-4.4677698140088706E-3</v>
      </c>
      <c r="F418" s="14">
        <v>-4.6996743208145286E-3</v>
      </c>
      <c r="G418" s="14">
        <v>-2.1759637101912421E-3</v>
      </c>
      <c r="H418" s="14">
        <v>-2.1787599539697662E-3</v>
      </c>
    </row>
    <row r="419" spans="2:8" x14ac:dyDescent="0.25">
      <c r="B419" s="29">
        <v>411</v>
      </c>
      <c r="C419" s="30">
        <v>0.29869186046511625</v>
      </c>
      <c r="D419" s="28">
        <v>35874</v>
      </c>
      <c r="E419" s="14">
        <v>-4.4597846316906109E-3</v>
      </c>
      <c r="F419" s="14">
        <v>-4.6763535947927926E-3</v>
      </c>
      <c r="G419" s="14">
        <v>-2.1487429576821926E-3</v>
      </c>
      <c r="H419" s="14">
        <v>-2.1266185744028389E-3</v>
      </c>
    </row>
    <row r="420" spans="2:8" x14ac:dyDescent="0.25">
      <c r="B420" s="29">
        <v>412</v>
      </c>
      <c r="C420" s="30">
        <v>0.29941860465116277</v>
      </c>
      <c r="D420" s="28">
        <v>35877</v>
      </c>
      <c r="E420" s="14">
        <v>-4.4334946311848089E-3</v>
      </c>
      <c r="F420" s="14">
        <v>-4.6651116294568196E-3</v>
      </c>
      <c r="G420" s="14">
        <v>-2.1473895072918747E-3</v>
      </c>
      <c r="H420" s="14">
        <v>-2.1152442040534235E-3</v>
      </c>
    </row>
    <row r="421" spans="2:8" x14ac:dyDescent="0.25">
      <c r="B421" s="29">
        <v>413</v>
      </c>
      <c r="C421" s="30">
        <v>0.30014534883720928</v>
      </c>
      <c r="D421" s="28">
        <v>35878</v>
      </c>
      <c r="E421" s="14">
        <v>-4.3955181413237732E-3</v>
      </c>
      <c r="F421" s="14">
        <v>-4.6552083205723127E-3</v>
      </c>
      <c r="G421" s="14">
        <v>-2.1164915465404777E-3</v>
      </c>
      <c r="H421" s="14">
        <v>-2.1069907229587462E-3</v>
      </c>
    </row>
    <row r="422" spans="2:8" x14ac:dyDescent="0.25">
      <c r="B422" s="29">
        <v>414</v>
      </c>
      <c r="C422" s="30">
        <v>0.30087209302325579</v>
      </c>
      <c r="D422" s="28">
        <v>35879</v>
      </c>
      <c r="E422" s="14">
        <v>-4.3125731212171337E-3</v>
      </c>
      <c r="F422" s="14">
        <v>-4.647714320493046E-3</v>
      </c>
      <c r="G422" s="14">
        <v>-2.1032163760861255E-3</v>
      </c>
      <c r="H422" s="14">
        <v>-2.0942956869618003E-3</v>
      </c>
    </row>
    <row r="423" spans="2:8" x14ac:dyDescent="0.25">
      <c r="B423" s="29">
        <v>415</v>
      </c>
      <c r="C423" s="30">
        <v>0.30159883720930231</v>
      </c>
      <c r="D423" s="28">
        <v>35880</v>
      </c>
      <c r="E423" s="14">
        <v>-4.3118316660918365E-3</v>
      </c>
      <c r="F423" s="14">
        <v>-4.6302317717138441E-3</v>
      </c>
      <c r="G423" s="14">
        <v>-2.0906524748158795E-3</v>
      </c>
      <c r="H423" s="14">
        <v>-2.0807068422297849E-3</v>
      </c>
    </row>
    <row r="424" spans="2:8" x14ac:dyDescent="0.25">
      <c r="B424" s="29">
        <v>416</v>
      </c>
      <c r="C424" s="30">
        <v>0.30232558139534882</v>
      </c>
      <c r="D424" s="28">
        <v>35881</v>
      </c>
      <c r="E424" s="14">
        <v>-4.2975206611569616E-3</v>
      </c>
      <c r="F424" s="14">
        <v>-4.6206945129252386E-3</v>
      </c>
      <c r="G424" s="14">
        <v>-2.0882607822885202E-3</v>
      </c>
      <c r="H424" s="14">
        <v>-2.0539640870010922E-3</v>
      </c>
    </row>
    <row r="425" spans="2:8" x14ac:dyDescent="0.25">
      <c r="B425" s="29">
        <v>417</v>
      </c>
      <c r="C425" s="30">
        <v>0.30305232558139533</v>
      </c>
      <c r="D425" s="28">
        <v>35884</v>
      </c>
      <c r="E425" s="14">
        <v>-4.2616623871123416E-3</v>
      </c>
      <c r="F425" s="14">
        <v>-4.6062307296060867E-3</v>
      </c>
      <c r="G425" s="14">
        <v>-2.0567902645260983E-3</v>
      </c>
      <c r="H425" s="14">
        <v>-2.0061656933028083E-3</v>
      </c>
    </row>
    <row r="426" spans="2:8" x14ac:dyDescent="0.25">
      <c r="B426" s="29">
        <v>418</v>
      </c>
      <c r="C426" s="30">
        <v>0.30377906976744184</v>
      </c>
      <c r="D426" s="28">
        <v>35885</v>
      </c>
      <c r="E426" s="14">
        <v>-4.2506954715613166E-3</v>
      </c>
      <c r="F426" s="14">
        <v>-4.5168747489486849E-3</v>
      </c>
      <c r="G426" s="14">
        <v>-2.0368903474030642E-3</v>
      </c>
      <c r="H426" s="14">
        <v>-2.0027489330430642E-3</v>
      </c>
    </row>
    <row r="427" spans="2:8" x14ac:dyDescent="0.25">
      <c r="B427" s="29">
        <v>419</v>
      </c>
      <c r="C427" s="30">
        <v>0.30450581395348836</v>
      </c>
      <c r="D427" s="28">
        <v>35886</v>
      </c>
      <c r="E427" s="14">
        <v>-4.2471911572578014E-3</v>
      </c>
      <c r="F427" s="14">
        <v>-4.5136222982249397E-3</v>
      </c>
      <c r="G427" s="14">
        <v>-2.0356101052586562E-3</v>
      </c>
      <c r="H427" s="14">
        <v>-1.9958084195369043E-3</v>
      </c>
    </row>
    <row r="428" spans="2:8" x14ac:dyDescent="0.25">
      <c r="B428" s="29">
        <v>420</v>
      </c>
      <c r="C428" s="30">
        <v>0.30523255813953487</v>
      </c>
      <c r="D428" s="28">
        <v>35887</v>
      </c>
      <c r="E428" s="14">
        <v>-4.2412275920683529E-3</v>
      </c>
      <c r="F428" s="14">
        <v>-4.4877894069140778E-3</v>
      </c>
      <c r="G428" s="14">
        <v>-2.0216886727514316E-3</v>
      </c>
      <c r="H428" s="14">
        <v>-1.9939137986109139E-3</v>
      </c>
    </row>
    <row r="429" spans="2:8" x14ac:dyDescent="0.25">
      <c r="B429" s="29">
        <v>421</v>
      </c>
      <c r="C429" s="30">
        <v>0.30595930232558138</v>
      </c>
      <c r="D429" s="28">
        <v>35888</v>
      </c>
      <c r="E429" s="14">
        <v>-4.2408821034773947E-3</v>
      </c>
      <c r="F429" s="14">
        <v>-4.4809559372666063E-3</v>
      </c>
      <c r="G429" s="14">
        <v>-2.0166551544774647E-3</v>
      </c>
      <c r="H429" s="14">
        <v>-1.9932004753548506E-3</v>
      </c>
    </row>
    <row r="430" spans="2:8" x14ac:dyDescent="0.25">
      <c r="B430" s="29">
        <v>422</v>
      </c>
      <c r="C430" s="30">
        <v>0.3066860465116279</v>
      </c>
      <c r="D430" s="28">
        <v>35891</v>
      </c>
      <c r="E430" s="14">
        <v>-4.2309181729091039E-3</v>
      </c>
      <c r="F430" s="14">
        <v>-4.4580901503774584E-3</v>
      </c>
      <c r="G430" s="14">
        <v>-1.9916817995430103E-3</v>
      </c>
      <c r="H430" s="14">
        <v>-1.9712074424243836E-3</v>
      </c>
    </row>
    <row r="431" spans="2:8" x14ac:dyDescent="0.25">
      <c r="B431" s="29">
        <v>423</v>
      </c>
      <c r="C431" s="30">
        <v>0.30741279069767441</v>
      </c>
      <c r="D431" s="28">
        <v>35892</v>
      </c>
      <c r="E431" s="14">
        <v>-4.2208340368057318E-3</v>
      </c>
      <c r="F431" s="14">
        <v>-4.4503822197055065E-3</v>
      </c>
      <c r="G431" s="14">
        <v>-1.9866878817424993E-3</v>
      </c>
      <c r="H431" s="14">
        <v>-1.9643163115086182E-3</v>
      </c>
    </row>
    <row r="432" spans="2:8" x14ac:dyDescent="0.25">
      <c r="B432" s="29">
        <v>424</v>
      </c>
      <c r="C432" s="30">
        <v>0.30813953488372092</v>
      </c>
      <c r="D432" s="28">
        <v>35893</v>
      </c>
      <c r="E432" s="14">
        <v>-4.2159883249553998E-3</v>
      </c>
      <c r="F432" s="14">
        <v>-4.4280180532357827E-3</v>
      </c>
      <c r="G432" s="14">
        <v>-1.9828693953070076E-3</v>
      </c>
      <c r="H432" s="14">
        <v>-1.9556427376454357E-3</v>
      </c>
    </row>
    <row r="433" spans="2:8" x14ac:dyDescent="0.25">
      <c r="B433" s="29">
        <v>425</v>
      </c>
      <c r="C433" s="30">
        <v>0.30886627906976744</v>
      </c>
      <c r="D433" s="28">
        <v>35894</v>
      </c>
      <c r="E433" s="14">
        <v>-4.2075736325386526E-3</v>
      </c>
      <c r="F433" s="14">
        <v>-4.4200143066901454E-3</v>
      </c>
      <c r="G433" s="14">
        <v>-1.976729794635923E-3</v>
      </c>
      <c r="H433" s="14">
        <v>-1.9548938771426719E-3</v>
      </c>
    </row>
    <row r="434" spans="2:8" x14ac:dyDescent="0.25">
      <c r="B434" s="29">
        <v>426</v>
      </c>
      <c r="C434" s="30">
        <v>0.30959302325581395</v>
      </c>
      <c r="D434" s="28">
        <v>35895</v>
      </c>
      <c r="E434" s="14">
        <v>-4.2031274717735378E-3</v>
      </c>
      <c r="F434" s="14">
        <v>-4.3962590099482224E-3</v>
      </c>
      <c r="G434" s="14">
        <v>-1.9755838103440171E-3</v>
      </c>
      <c r="H434" s="14">
        <v>-1.9232389288500904E-3</v>
      </c>
    </row>
    <row r="435" spans="2:8" x14ac:dyDescent="0.25">
      <c r="B435" s="29">
        <v>427</v>
      </c>
      <c r="C435" s="30">
        <v>0.31031976744186046</v>
      </c>
      <c r="D435" s="28">
        <v>35898</v>
      </c>
      <c r="E435" s="14">
        <v>-4.1920393682032264E-3</v>
      </c>
      <c r="F435" s="14">
        <v>-4.3931628247532162E-3</v>
      </c>
      <c r="G435" s="14">
        <v>-1.9560945129094565E-3</v>
      </c>
      <c r="H435" s="14">
        <v>-1.9231959902118682E-3</v>
      </c>
    </row>
    <row r="436" spans="2:8" x14ac:dyDescent="0.25">
      <c r="B436" s="29">
        <v>428</v>
      </c>
      <c r="C436" s="30">
        <v>0.31104651162790697</v>
      </c>
      <c r="D436" s="28">
        <v>35899</v>
      </c>
      <c r="E436" s="14">
        <v>-4.1828503137137929E-3</v>
      </c>
      <c r="F436" s="14">
        <v>-4.3863307752196601E-3</v>
      </c>
      <c r="G436" s="14">
        <v>-1.9523835348989049E-3</v>
      </c>
      <c r="H436" s="14">
        <v>-1.9184615785402316E-3</v>
      </c>
    </row>
    <row r="437" spans="2:8" x14ac:dyDescent="0.25">
      <c r="B437" s="29">
        <v>429</v>
      </c>
      <c r="C437" s="30">
        <v>0.31177325581395349</v>
      </c>
      <c r="D437" s="28">
        <v>35900</v>
      </c>
      <c r="E437" s="14">
        <v>-4.1768869366338723E-3</v>
      </c>
      <c r="F437" s="14">
        <v>-4.2768613074977146E-3</v>
      </c>
      <c r="G437" s="14">
        <v>-1.9464544861792499E-3</v>
      </c>
      <c r="H437" s="14">
        <v>-1.9086053413308159E-3</v>
      </c>
    </row>
    <row r="438" spans="2:8" x14ac:dyDescent="0.25">
      <c r="B438" s="29">
        <v>430</v>
      </c>
      <c r="C438" s="30">
        <v>0.3125</v>
      </c>
      <c r="D438" s="28">
        <v>35901</v>
      </c>
      <c r="E438" s="14">
        <v>-4.1500664010625243E-3</v>
      </c>
      <c r="F438" s="14">
        <v>-4.2497460843533563E-3</v>
      </c>
      <c r="G438" s="14">
        <v>-1.9402824188853307E-3</v>
      </c>
      <c r="H438" s="14">
        <v>-1.9020050410506252E-3</v>
      </c>
    </row>
    <row r="439" spans="2:8" x14ac:dyDescent="0.25">
      <c r="B439" s="29">
        <v>431</v>
      </c>
      <c r="C439" s="30">
        <v>0.31322674418604651</v>
      </c>
      <c r="D439" s="28">
        <v>35902</v>
      </c>
      <c r="E439" s="14">
        <v>-4.1450143228566327E-3</v>
      </c>
      <c r="F439" s="14">
        <v>-4.2126763260356137E-3</v>
      </c>
      <c r="G439" s="14">
        <v>-1.9253345855836379E-3</v>
      </c>
      <c r="H439" s="14">
        <v>-1.8997165972143735E-3</v>
      </c>
    </row>
    <row r="440" spans="2:8" x14ac:dyDescent="0.25">
      <c r="B440" s="29">
        <v>432</v>
      </c>
      <c r="C440" s="30">
        <v>0.31395348837209303</v>
      </c>
      <c r="D440" s="28">
        <v>35905</v>
      </c>
      <c r="E440" s="14">
        <v>-4.1425341116302361E-3</v>
      </c>
      <c r="F440" s="14">
        <v>-4.2004155249767416E-3</v>
      </c>
      <c r="G440" s="14">
        <v>-1.9170784582649425E-3</v>
      </c>
      <c r="H440" s="14">
        <v>-1.8658526894096191E-3</v>
      </c>
    </row>
    <row r="441" spans="2:8" x14ac:dyDescent="0.25">
      <c r="B441" s="29">
        <v>433</v>
      </c>
      <c r="C441" s="30">
        <v>0.31468023255813954</v>
      </c>
      <c r="D441" s="28">
        <v>35906</v>
      </c>
      <c r="E441" s="14">
        <v>-4.1385434695061507E-3</v>
      </c>
      <c r="F441" s="14">
        <v>-4.1225968326192852E-3</v>
      </c>
      <c r="G441" s="14">
        <v>-1.9118243438964733E-3</v>
      </c>
      <c r="H441" s="14">
        <v>-1.8410697427467149E-3</v>
      </c>
    </row>
    <row r="442" spans="2:8" x14ac:dyDescent="0.25">
      <c r="B442" s="29">
        <v>434</v>
      </c>
      <c r="C442" s="30">
        <v>0.31540697674418605</v>
      </c>
      <c r="D442" s="28">
        <v>35907</v>
      </c>
      <c r="E442" s="14">
        <v>-4.1284403669725744E-3</v>
      </c>
      <c r="F442" s="14">
        <v>-4.1142125101624183E-3</v>
      </c>
      <c r="G442" s="14">
        <v>-1.9023477514885645E-3</v>
      </c>
      <c r="H442" s="14">
        <v>-1.833847358763041E-3</v>
      </c>
    </row>
    <row r="443" spans="2:8" x14ac:dyDescent="0.25">
      <c r="B443" s="29">
        <v>435</v>
      </c>
      <c r="C443" s="30">
        <v>0.31613372093023256</v>
      </c>
      <c r="D443" s="28">
        <v>35908</v>
      </c>
      <c r="E443" s="14">
        <v>-4.121329856313305E-3</v>
      </c>
      <c r="F443" s="14">
        <v>-4.0843573505258135E-3</v>
      </c>
      <c r="G443" s="14">
        <v>-1.8961455227543E-3</v>
      </c>
      <c r="H443" s="14">
        <v>-1.8262861960281818E-3</v>
      </c>
    </row>
    <row r="444" spans="2:8" x14ac:dyDescent="0.25">
      <c r="B444" s="29">
        <v>436</v>
      </c>
      <c r="C444" s="30">
        <v>0.31686046511627908</v>
      </c>
      <c r="D444" s="28">
        <v>35909</v>
      </c>
      <c r="E444" s="14">
        <v>-4.1066322086289464E-3</v>
      </c>
      <c r="F444" s="14">
        <v>-4.0636640704370119E-3</v>
      </c>
      <c r="G444" s="14">
        <v>-1.8904450524204197E-3</v>
      </c>
      <c r="H444" s="14">
        <v>-1.8261342524220408E-3</v>
      </c>
    </row>
    <row r="445" spans="2:8" x14ac:dyDescent="0.25">
      <c r="B445" s="29">
        <v>437</v>
      </c>
      <c r="C445" s="30">
        <v>0.31758720930232559</v>
      </c>
      <c r="D445" s="28">
        <v>35912</v>
      </c>
      <c r="E445" s="14">
        <v>-4.1000359837274347E-3</v>
      </c>
      <c r="F445" s="14">
        <v>-4.0421171648645782E-3</v>
      </c>
      <c r="G445" s="14">
        <v>-1.8822238691861282E-3</v>
      </c>
      <c r="H445" s="14">
        <v>-1.8013986900007773E-3</v>
      </c>
    </row>
    <row r="446" spans="2:8" x14ac:dyDescent="0.25">
      <c r="B446" s="29">
        <v>438</v>
      </c>
      <c r="C446" s="30">
        <v>0.3183139534883721</v>
      </c>
      <c r="D446" s="28">
        <v>35913</v>
      </c>
      <c r="E446" s="14">
        <v>-4.084790749166789E-3</v>
      </c>
      <c r="F446" s="14">
        <v>-4.0282795611178424E-3</v>
      </c>
      <c r="G446" s="14">
        <v>-1.868841318382608E-3</v>
      </c>
      <c r="H446" s="14">
        <v>-1.7955942450351035E-3</v>
      </c>
    </row>
    <row r="447" spans="2:8" x14ac:dyDescent="0.25">
      <c r="B447" s="29">
        <v>439</v>
      </c>
      <c r="C447" s="30">
        <v>0.31904069767441862</v>
      </c>
      <c r="D447" s="28">
        <v>35914</v>
      </c>
      <c r="E447" s="14">
        <v>-4.0806847588084061E-3</v>
      </c>
      <c r="F447" s="14">
        <v>-4.0171696807839163E-3</v>
      </c>
      <c r="G447" s="14">
        <v>-1.8624014022786683E-3</v>
      </c>
      <c r="H447" s="14">
        <v>-1.7791780246575683E-3</v>
      </c>
    </row>
    <row r="448" spans="2:8" x14ac:dyDescent="0.25">
      <c r="B448" s="29">
        <v>440</v>
      </c>
      <c r="C448" s="30">
        <v>0.31976744186046513</v>
      </c>
      <c r="D448" s="28">
        <v>35915</v>
      </c>
      <c r="E448" s="14">
        <v>-4.0785529294206091E-3</v>
      </c>
      <c r="F448" s="14">
        <v>-4.0159423808366901E-3</v>
      </c>
      <c r="G448" s="14">
        <v>-1.8542917093641309E-3</v>
      </c>
      <c r="H448" s="14">
        <v>-1.7773872067454958E-3</v>
      </c>
    </row>
    <row r="449" spans="2:8" x14ac:dyDescent="0.25">
      <c r="B449" s="29">
        <v>441</v>
      </c>
      <c r="C449" s="30">
        <v>0.32049418604651164</v>
      </c>
      <c r="D449" s="28">
        <v>35916</v>
      </c>
      <c r="E449" s="14">
        <v>-4.0632054176070742E-3</v>
      </c>
      <c r="F449" s="14">
        <v>-3.9706275373201372E-3</v>
      </c>
      <c r="G449" s="14">
        <v>-1.8268765783676644E-3</v>
      </c>
      <c r="H449" s="14">
        <v>-1.7611655915901858E-3</v>
      </c>
    </row>
    <row r="450" spans="2:8" x14ac:dyDescent="0.25">
      <c r="B450" s="29">
        <v>442</v>
      </c>
      <c r="C450" s="30">
        <v>0.32122093023255816</v>
      </c>
      <c r="D450" s="28">
        <v>35919</v>
      </c>
      <c r="E450" s="14">
        <v>-4.0450692001301469E-3</v>
      </c>
      <c r="F450" s="14">
        <v>-3.9596883710957265E-3</v>
      </c>
      <c r="G450" s="14">
        <v>-1.8252273918319961E-3</v>
      </c>
      <c r="H450" s="14">
        <v>-1.7539117858269559E-3</v>
      </c>
    </row>
    <row r="451" spans="2:8" x14ac:dyDescent="0.25">
      <c r="B451" s="29">
        <v>443</v>
      </c>
      <c r="C451" s="30">
        <v>0.32194767441860467</v>
      </c>
      <c r="D451" s="28">
        <v>35920</v>
      </c>
      <c r="E451" s="14">
        <v>-4.0444854005181607E-3</v>
      </c>
      <c r="F451" s="14">
        <v>-3.9545374655809429E-3</v>
      </c>
      <c r="G451" s="14">
        <v>-1.8216243209642213E-3</v>
      </c>
      <c r="H451" s="14">
        <v>-1.750324590372987E-3</v>
      </c>
    </row>
    <row r="452" spans="2:8" x14ac:dyDescent="0.25">
      <c r="B452" s="29">
        <v>444</v>
      </c>
      <c r="C452" s="30">
        <v>0.32267441860465118</v>
      </c>
      <c r="D452" s="28">
        <v>35921</v>
      </c>
      <c r="E452" s="14">
        <v>-4.0203312865280116E-3</v>
      </c>
      <c r="F452" s="14">
        <v>-3.9497435347521925E-3</v>
      </c>
      <c r="G452" s="14">
        <v>-1.8117237844296197E-3</v>
      </c>
      <c r="H452" s="14">
        <v>-1.7202175121130872E-3</v>
      </c>
    </row>
    <row r="453" spans="2:8" x14ac:dyDescent="0.25">
      <c r="B453" s="29">
        <v>445</v>
      </c>
      <c r="C453" s="30">
        <v>0.32340116279069769</v>
      </c>
      <c r="D453" s="28">
        <v>35922</v>
      </c>
      <c r="E453" s="14">
        <v>-4.0195738873629594E-3</v>
      </c>
      <c r="F453" s="14">
        <v>-3.938493971184176E-3</v>
      </c>
      <c r="G453" s="14">
        <v>-1.8086537123774837E-3</v>
      </c>
      <c r="H453" s="14">
        <v>-1.7089103701156019E-3</v>
      </c>
    </row>
    <row r="454" spans="2:8" x14ac:dyDescent="0.25">
      <c r="B454" s="29">
        <v>446</v>
      </c>
      <c r="C454" s="30">
        <v>0.32412790697674421</v>
      </c>
      <c r="D454" s="28">
        <v>35923</v>
      </c>
      <c r="E454" s="14">
        <v>-4.0147171871893761E-3</v>
      </c>
      <c r="F454" s="14">
        <v>-3.8980540585016321E-3</v>
      </c>
      <c r="G454" s="14">
        <v>-1.8067831178124605E-3</v>
      </c>
      <c r="H454" s="14">
        <v>-1.6804674696111021E-3</v>
      </c>
    </row>
    <row r="455" spans="2:8" x14ac:dyDescent="0.25">
      <c r="B455" s="29">
        <v>447</v>
      </c>
      <c r="C455" s="30">
        <v>0.32485465116279072</v>
      </c>
      <c r="D455" s="28">
        <v>35926</v>
      </c>
      <c r="E455" s="14">
        <v>-4.0030925178248244E-3</v>
      </c>
      <c r="F455" s="14">
        <v>-3.8848293449965654E-3</v>
      </c>
      <c r="G455" s="14">
        <v>-1.8018018018017834E-3</v>
      </c>
      <c r="H455" s="14">
        <v>-1.6683027214058567E-3</v>
      </c>
    </row>
    <row r="456" spans="2:8" x14ac:dyDescent="0.25">
      <c r="B456" s="29">
        <v>448</v>
      </c>
      <c r="C456" s="30">
        <v>0.32558139534883723</v>
      </c>
      <c r="D456" s="28">
        <v>35927</v>
      </c>
      <c r="E456" s="14">
        <v>-3.9789753100867298E-3</v>
      </c>
      <c r="F456" s="14">
        <v>-3.8388261722638317E-3</v>
      </c>
      <c r="G456" s="14">
        <v>-1.7540910096677242E-3</v>
      </c>
      <c r="H456" s="14">
        <v>-1.6648338827928383E-3</v>
      </c>
    </row>
    <row r="457" spans="2:8" x14ac:dyDescent="0.25">
      <c r="B457" s="29">
        <v>449</v>
      </c>
      <c r="C457" s="30">
        <v>0.32630813953488375</v>
      </c>
      <c r="D457" s="28">
        <v>35928</v>
      </c>
      <c r="E457" s="14">
        <v>-3.9741864057003529E-3</v>
      </c>
      <c r="F457" s="14">
        <v>-3.8277833273173689E-3</v>
      </c>
      <c r="G457" s="14">
        <v>-1.7341957795681262E-3</v>
      </c>
      <c r="H457" s="14">
        <v>-1.6512731171797856E-3</v>
      </c>
    </row>
    <row r="458" spans="2:8" x14ac:dyDescent="0.25">
      <c r="B458" s="29">
        <v>450</v>
      </c>
      <c r="C458" s="30">
        <v>0.32703488372093026</v>
      </c>
      <c r="D458" s="28">
        <v>35929</v>
      </c>
      <c r="E458" s="14">
        <v>-3.9478953850868859E-3</v>
      </c>
      <c r="F458" s="14">
        <v>-3.8118801923038292E-3</v>
      </c>
      <c r="G458" s="14">
        <v>-1.7255000687106392E-3</v>
      </c>
      <c r="H458" s="14">
        <v>-1.6508027130838433E-3</v>
      </c>
    </row>
    <row r="459" spans="2:8" x14ac:dyDescent="0.25">
      <c r="B459" s="29">
        <v>451</v>
      </c>
      <c r="C459" s="30">
        <v>0.32776162790697677</v>
      </c>
      <c r="D459" s="28">
        <v>35930</v>
      </c>
      <c r="E459" s="14">
        <v>-3.9377553105587326E-3</v>
      </c>
      <c r="F459" s="14">
        <v>-3.7572816527943198E-3</v>
      </c>
      <c r="G459" s="14">
        <v>-1.7053581252064465E-3</v>
      </c>
      <c r="H459" s="14">
        <v>-1.6489180976992702E-3</v>
      </c>
    </row>
    <row r="460" spans="2:8" x14ac:dyDescent="0.25">
      <c r="B460" s="29">
        <v>452</v>
      </c>
      <c r="C460" s="30">
        <v>0.32848837209302323</v>
      </c>
      <c r="D460" s="28">
        <v>35933</v>
      </c>
      <c r="E460" s="14">
        <v>-3.920374528984194E-3</v>
      </c>
      <c r="F460" s="14">
        <v>-3.753982840963066E-3</v>
      </c>
      <c r="G460" s="14">
        <v>-1.6923317676464933E-3</v>
      </c>
      <c r="H460" s="14">
        <v>-1.6431361062319019E-3</v>
      </c>
    </row>
    <row r="461" spans="2:8" x14ac:dyDescent="0.25">
      <c r="B461" s="29">
        <v>453</v>
      </c>
      <c r="C461" s="30">
        <v>0.32921511627906974</v>
      </c>
      <c r="D461" s="28">
        <v>35934</v>
      </c>
      <c r="E461" s="14">
        <v>-3.9007645498515542E-3</v>
      </c>
      <c r="F461" s="14">
        <v>-3.7501802971297016E-3</v>
      </c>
      <c r="G461" s="14">
        <v>-1.6817867343686954E-3</v>
      </c>
      <c r="H461" s="14">
        <v>-1.6252664253353375E-3</v>
      </c>
    </row>
    <row r="462" spans="2:8" x14ac:dyDescent="0.25">
      <c r="B462" s="29">
        <v>454</v>
      </c>
      <c r="C462" s="30">
        <v>0.32994186046511625</v>
      </c>
      <c r="D462" s="28">
        <v>35935</v>
      </c>
      <c r="E462" s="14">
        <v>-3.899669319624155E-3</v>
      </c>
      <c r="F462" s="14">
        <v>-3.7411182085695938E-3</v>
      </c>
      <c r="G462" s="14">
        <v>-1.6772458720757388E-3</v>
      </c>
      <c r="H462" s="14">
        <v>-1.6097672504283627E-3</v>
      </c>
    </row>
    <row r="463" spans="2:8" x14ac:dyDescent="0.25">
      <c r="B463" s="29">
        <v>455</v>
      </c>
      <c r="C463" s="30">
        <v>0.33066860465116277</v>
      </c>
      <c r="D463" s="28">
        <v>35936</v>
      </c>
      <c r="E463" s="14">
        <v>-3.8421129613731564E-3</v>
      </c>
      <c r="F463" s="14">
        <v>-3.6944795269177044E-3</v>
      </c>
      <c r="G463" s="14">
        <v>-1.6758840288252363E-3</v>
      </c>
      <c r="H463" s="14">
        <v>-1.5941233128866641E-3</v>
      </c>
    </row>
    <row r="464" spans="2:8" x14ac:dyDescent="0.25">
      <c r="B464" s="29">
        <v>456</v>
      </c>
      <c r="C464" s="30">
        <v>0.33139534883720928</v>
      </c>
      <c r="D464" s="28">
        <v>35937</v>
      </c>
      <c r="E464" s="14">
        <v>-3.8314141195077145E-3</v>
      </c>
      <c r="F464" s="14">
        <v>-3.6818851251840812E-3</v>
      </c>
      <c r="G464" s="14">
        <v>-1.6552647779267682E-3</v>
      </c>
      <c r="H464" s="14">
        <v>-1.5931868672171225E-3</v>
      </c>
    </row>
    <row r="465" spans="2:8" x14ac:dyDescent="0.25">
      <c r="B465" s="29">
        <v>457</v>
      </c>
      <c r="C465" s="30">
        <v>0.33212209302325579</v>
      </c>
      <c r="D465" s="28">
        <v>35940</v>
      </c>
      <c r="E465" s="14">
        <v>-3.7749706214197376E-3</v>
      </c>
      <c r="F465" s="14">
        <v>-3.6706188078609037E-3</v>
      </c>
      <c r="G465" s="14">
        <v>-1.6516445660893497E-3</v>
      </c>
      <c r="H465" s="14">
        <v>-1.5868331108483289E-3</v>
      </c>
    </row>
    <row r="466" spans="2:8" x14ac:dyDescent="0.25">
      <c r="B466" s="29">
        <v>458</v>
      </c>
      <c r="C466" s="30">
        <v>0.33284883720930231</v>
      </c>
      <c r="D466" s="28">
        <v>35941</v>
      </c>
      <c r="E466" s="14">
        <v>-3.7680798469762466E-3</v>
      </c>
      <c r="F466" s="14">
        <v>-3.6632720345812775E-3</v>
      </c>
      <c r="G466" s="14">
        <v>-1.6276664163062948E-3</v>
      </c>
      <c r="H466" s="14">
        <v>-1.5833559076128046E-3</v>
      </c>
    </row>
    <row r="467" spans="2:8" x14ac:dyDescent="0.25">
      <c r="B467" s="29">
        <v>459</v>
      </c>
      <c r="C467" s="30">
        <v>0.33357558139534882</v>
      </c>
      <c r="D467" s="28">
        <v>35942</v>
      </c>
      <c r="E467" s="14">
        <v>-3.7601871800930775E-3</v>
      </c>
      <c r="F467" s="14">
        <v>-3.5066264007788117E-3</v>
      </c>
      <c r="G467" s="14">
        <v>-1.6225098430548979E-3</v>
      </c>
      <c r="H467" s="14">
        <v>-1.5776432610156378E-3</v>
      </c>
    </row>
    <row r="468" spans="2:8" x14ac:dyDescent="0.25">
      <c r="B468" s="29">
        <v>460</v>
      </c>
      <c r="C468" s="30">
        <v>0.33430232558139533</v>
      </c>
      <c r="D468" s="28">
        <v>35943</v>
      </c>
      <c r="E468" s="14">
        <v>-3.7532637075717856E-3</v>
      </c>
      <c r="F468" s="14">
        <v>-3.5061893609903416E-3</v>
      </c>
      <c r="G468" s="14">
        <v>-1.6105224937462692E-3</v>
      </c>
      <c r="H468" s="14">
        <v>-1.5712660583780294E-3</v>
      </c>
    </row>
    <row r="469" spans="2:8" x14ac:dyDescent="0.25">
      <c r="B469" s="29">
        <v>461</v>
      </c>
      <c r="C469" s="30">
        <v>0.33502906976744184</v>
      </c>
      <c r="D469" s="28">
        <v>35944</v>
      </c>
      <c r="E469" s="14">
        <v>-3.7476534652319815E-3</v>
      </c>
      <c r="F469" s="14">
        <v>-3.4944237918216325E-3</v>
      </c>
      <c r="G469" s="14">
        <v>-1.598060285446512E-3</v>
      </c>
      <c r="H469" s="14">
        <v>-1.5551177617974421E-3</v>
      </c>
    </row>
    <row r="470" spans="2:8" x14ac:dyDescent="0.25">
      <c r="B470" s="29">
        <v>462</v>
      </c>
      <c r="C470" s="30">
        <v>0.33575581395348836</v>
      </c>
      <c r="D470" s="28">
        <v>35947</v>
      </c>
      <c r="E470" s="14">
        <v>-3.6777766168635262E-3</v>
      </c>
      <c r="F470" s="14">
        <v>-3.432042270909208E-3</v>
      </c>
      <c r="G470" s="14">
        <v>-1.5895566700786512E-3</v>
      </c>
      <c r="H470" s="14">
        <v>-1.5516249466157371E-3</v>
      </c>
    </row>
    <row r="471" spans="2:8" x14ac:dyDescent="0.25">
      <c r="B471" s="29">
        <v>463</v>
      </c>
      <c r="C471" s="30">
        <v>0.33648255813953487</v>
      </c>
      <c r="D471" s="28">
        <v>35948</v>
      </c>
      <c r="E471" s="14">
        <v>-3.6436423336965174E-3</v>
      </c>
      <c r="F471" s="14">
        <v>-3.4289701177591114E-3</v>
      </c>
      <c r="G471" s="14">
        <v>-1.5855783787663835E-3</v>
      </c>
      <c r="H471" s="14">
        <v>-1.5269939663905331E-3</v>
      </c>
    </row>
    <row r="472" spans="2:8" x14ac:dyDescent="0.25">
      <c r="B472" s="29">
        <v>464</v>
      </c>
      <c r="C472" s="30">
        <v>0.33720930232558138</v>
      </c>
      <c r="D472" s="28">
        <v>35949</v>
      </c>
      <c r="E472" s="14">
        <v>-3.6224384185469249E-3</v>
      </c>
      <c r="F472" s="14">
        <v>-3.3645366978700686E-3</v>
      </c>
      <c r="G472" s="14">
        <v>-1.5740829832575631E-3</v>
      </c>
      <c r="H472" s="14">
        <v>-1.5159811191456376E-3</v>
      </c>
    </row>
    <row r="473" spans="2:8" x14ac:dyDescent="0.25">
      <c r="B473" s="29">
        <v>465</v>
      </c>
      <c r="C473" s="30">
        <v>0.3379360465116279</v>
      </c>
      <c r="D473" s="28">
        <v>35950</v>
      </c>
      <c r="E473" s="14">
        <v>-3.6068352484380783E-3</v>
      </c>
      <c r="F473" s="14">
        <v>-3.352012300427698E-3</v>
      </c>
      <c r="G473" s="14">
        <v>-1.5708633930650029E-3</v>
      </c>
      <c r="H473" s="14">
        <v>-1.5154074247515582E-3</v>
      </c>
    </row>
    <row r="474" spans="2:8" x14ac:dyDescent="0.25">
      <c r="B474" s="29">
        <v>466</v>
      </c>
      <c r="C474" s="30">
        <v>0.33866279069767441</v>
      </c>
      <c r="D474" s="28">
        <v>35951</v>
      </c>
      <c r="E474" s="14">
        <v>-3.5934291581107836E-3</v>
      </c>
      <c r="F474" s="14">
        <v>-3.3369748733736992E-3</v>
      </c>
      <c r="G474" s="14">
        <v>-1.5470076480079697E-3</v>
      </c>
      <c r="H474" s="14">
        <v>-1.5046872309564694E-3</v>
      </c>
    </row>
    <row r="475" spans="2:8" x14ac:dyDescent="0.25">
      <c r="B475" s="29">
        <v>467</v>
      </c>
      <c r="C475" s="30">
        <v>0.33938953488372092</v>
      </c>
      <c r="D475" s="28">
        <v>35954</v>
      </c>
      <c r="E475" s="14">
        <v>-3.56318377998599E-3</v>
      </c>
      <c r="F475" s="14">
        <v>-3.3064979873490552E-3</v>
      </c>
      <c r="G475" s="14">
        <v>-1.5352188951516244E-3</v>
      </c>
      <c r="H475" s="14">
        <v>-1.4715338842162138E-3</v>
      </c>
    </row>
    <row r="476" spans="2:8" x14ac:dyDescent="0.25">
      <c r="B476" s="29">
        <v>468</v>
      </c>
      <c r="C476" s="30">
        <v>0.34011627906976744</v>
      </c>
      <c r="D476" s="28">
        <v>35955</v>
      </c>
      <c r="E476" s="14">
        <v>-3.5377358490564781E-3</v>
      </c>
      <c r="F476" s="14">
        <v>-3.2843262127444373E-3</v>
      </c>
      <c r="G476" s="14">
        <v>-1.5047291487532144E-3</v>
      </c>
      <c r="H476" s="14">
        <v>-1.4684135986281709E-3</v>
      </c>
    </row>
    <row r="477" spans="2:8" x14ac:dyDescent="0.25">
      <c r="B477" s="29">
        <v>469</v>
      </c>
      <c r="C477" s="30">
        <v>0.34084302325581395</v>
      </c>
      <c r="D477" s="28">
        <v>35956</v>
      </c>
      <c r="E477" s="14">
        <v>-3.5311767791686988E-3</v>
      </c>
      <c r="F477" s="14">
        <v>-3.270780795844197E-3</v>
      </c>
      <c r="G477" s="14">
        <v>-1.5033407572384583E-3</v>
      </c>
      <c r="H477" s="14">
        <v>-1.4247376446345772E-3</v>
      </c>
    </row>
    <row r="478" spans="2:8" x14ac:dyDescent="0.25">
      <c r="B478" s="29">
        <v>470</v>
      </c>
      <c r="C478" s="30">
        <v>0.34156976744186046</v>
      </c>
      <c r="D478" s="28">
        <v>35957</v>
      </c>
      <c r="E478" s="14">
        <v>-3.5300050428643814E-3</v>
      </c>
      <c r="F478" s="14">
        <v>-3.2291830577353409E-3</v>
      </c>
      <c r="G478" s="14">
        <v>-1.4840872863189913E-3</v>
      </c>
      <c r="H478" s="14">
        <v>-1.4149693402391696E-3</v>
      </c>
    </row>
    <row r="479" spans="2:8" x14ac:dyDescent="0.25">
      <c r="B479" s="29">
        <v>471</v>
      </c>
      <c r="C479" s="30">
        <v>0.34229651162790697</v>
      </c>
      <c r="D479" s="28">
        <v>35958</v>
      </c>
      <c r="E479" s="14">
        <v>-3.4912219421245894E-3</v>
      </c>
      <c r="F479" s="14">
        <v>-3.2277144064215557E-3</v>
      </c>
      <c r="G479" s="14">
        <v>-1.4708477966699496E-3</v>
      </c>
      <c r="H479" s="14">
        <v>-1.4103027268733024E-3</v>
      </c>
    </row>
    <row r="480" spans="2:8" x14ac:dyDescent="0.25">
      <c r="B480" s="29">
        <v>472</v>
      </c>
      <c r="C480" s="30">
        <v>0.34302325581395349</v>
      </c>
      <c r="D480" s="28">
        <v>35961</v>
      </c>
      <c r="E480" s="14">
        <v>-3.4785435630688699E-3</v>
      </c>
      <c r="F480" s="14">
        <v>-3.2016974680068033E-3</v>
      </c>
      <c r="G480" s="14">
        <v>-1.4470590574610087E-3</v>
      </c>
      <c r="H480" s="14">
        <v>-1.4052946349976999E-3</v>
      </c>
    </row>
    <row r="481" spans="2:8" x14ac:dyDescent="0.25">
      <c r="B481" s="29">
        <v>473</v>
      </c>
      <c r="C481" s="30">
        <v>0.34375</v>
      </c>
      <c r="D481" s="28">
        <v>35962</v>
      </c>
      <c r="E481" s="14">
        <v>-3.4746523816625574E-3</v>
      </c>
      <c r="F481" s="14">
        <v>-3.1797735380797443E-3</v>
      </c>
      <c r="G481" s="14">
        <v>-1.4360193468215821E-3</v>
      </c>
      <c r="H481" s="14">
        <v>-1.4037971835616058E-3</v>
      </c>
    </row>
    <row r="482" spans="2:8" x14ac:dyDescent="0.25">
      <c r="B482" s="29">
        <v>474</v>
      </c>
      <c r="C482" s="30">
        <v>0.34447674418604651</v>
      </c>
      <c r="D482" s="28">
        <v>35963</v>
      </c>
      <c r="E482" s="14">
        <v>-3.4428794992175105E-3</v>
      </c>
      <c r="F482" s="14">
        <v>-3.1777416849093632E-3</v>
      </c>
      <c r="G482" s="14">
        <v>-1.4354965176174295E-3</v>
      </c>
      <c r="H482" s="14">
        <v>-1.3925790123483941E-3</v>
      </c>
    </row>
    <row r="483" spans="2:8" x14ac:dyDescent="0.25">
      <c r="B483" s="29">
        <v>475</v>
      </c>
      <c r="C483" s="30">
        <v>0.34520348837209303</v>
      </c>
      <c r="D483" s="28">
        <v>35964</v>
      </c>
      <c r="E483" s="14">
        <v>-3.4417631454725095E-3</v>
      </c>
      <c r="F483" s="14">
        <v>-3.1699785590447727E-3</v>
      </c>
      <c r="G483" s="14">
        <v>-1.4336207938714374E-3</v>
      </c>
      <c r="H483" s="14">
        <v>-1.3830258727087763E-3</v>
      </c>
    </row>
    <row r="484" spans="2:8" x14ac:dyDescent="0.25">
      <c r="B484" s="29">
        <v>476</v>
      </c>
      <c r="C484" s="30">
        <v>0.34593023255813954</v>
      </c>
      <c r="D484" s="28">
        <v>35965</v>
      </c>
      <c r="E484" s="14">
        <v>-3.426257592275328E-3</v>
      </c>
      <c r="F484" s="14">
        <v>-3.1650864472951845E-3</v>
      </c>
      <c r="G484" s="14">
        <v>-1.4334348683031628E-3</v>
      </c>
      <c r="H484" s="14">
        <v>-1.3818356431070766E-3</v>
      </c>
    </row>
    <row r="485" spans="2:8" x14ac:dyDescent="0.25">
      <c r="B485" s="29">
        <v>477</v>
      </c>
      <c r="C485" s="30">
        <v>0.34665697674418605</v>
      </c>
      <c r="D485" s="28">
        <v>35968</v>
      </c>
      <c r="E485" s="14">
        <v>-3.4058936768844861E-3</v>
      </c>
      <c r="F485" s="14">
        <v>-3.1562982496892156E-3</v>
      </c>
      <c r="G485" s="14">
        <v>-1.4316789298806087E-3</v>
      </c>
      <c r="H485" s="14">
        <v>-1.3776964048756836E-3</v>
      </c>
    </row>
    <row r="486" spans="2:8" x14ac:dyDescent="0.25">
      <c r="B486" s="29">
        <v>478</v>
      </c>
      <c r="C486" s="30">
        <v>0.34738372093023256</v>
      </c>
      <c r="D486" s="28">
        <v>35969</v>
      </c>
      <c r="E486" s="14">
        <v>-3.3797925613555657E-3</v>
      </c>
      <c r="F486" s="14">
        <v>-3.1429471914833362E-3</v>
      </c>
      <c r="G486" s="14">
        <v>-1.4141150689594983E-3</v>
      </c>
      <c r="H486" s="14">
        <v>-1.3656882594109908E-3</v>
      </c>
    </row>
    <row r="487" spans="2:8" x14ac:dyDescent="0.25">
      <c r="B487" s="29">
        <v>479</v>
      </c>
      <c r="C487" s="30">
        <v>0.34811046511627908</v>
      </c>
      <c r="D487" s="28">
        <v>35970</v>
      </c>
      <c r="E487" s="14">
        <v>-3.2786885245901232E-3</v>
      </c>
      <c r="F487" s="14">
        <v>-3.0853593635268295E-3</v>
      </c>
      <c r="G487" s="14">
        <v>-1.4028948793236573E-3</v>
      </c>
      <c r="H487" s="14">
        <v>-1.3649994745134288E-3</v>
      </c>
    </row>
    <row r="488" spans="2:8" x14ac:dyDescent="0.25">
      <c r="B488" s="29">
        <v>480</v>
      </c>
      <c r="C488" s="30">
        <v>0.34883720930232559</v>
      </c>
      <c r="D488" s="28">
        <v>35971</v>
      </c>
      <c r="E488" s="14">
        <v>-3.2748785125713553E-3</v>
      </c>
      <c r="F488" s="14">
        <v>-3.057094468524868E-3</v>
      </c>
      <c r="G488" s="14">
        <v>-1.3886231336430743E-3</v>
      </c>
      <c r="H488" s="14">
        <v>-1.3526529949227761E-3</v>
      </c>
    </row>
    <row r="489" spans="2:8" x14ac:dyDescent="0.25">
      <c r="B489" s="29">
        <v>481</v>
      </c>
      <c r="C489" s="30">
        <v>0.3495639534883721</v>
      </c>
      <c r="D489" s="28">
        <v>35972</v>
      </c>
      <c r="E489" s="14">
        <v>-3.2334072889256271E-3</v>
      </c>
      <c r="F489" s="14">
        <v>-2.9870880709192971E-3</v>
      </c>
      <c r="G489" s="14">
        <v>-1.3718512291850393E-3</v>
      </c>
      <c r="H489" s="14">
        <v>-1.3487893263567142E-3</v>
      </c>
    </row>
    <row r="490" spans="2:8" x14ac:dyDescent="0.25">
      <c r="B490" s="29">
        <v>482</v>
      </c>
      <c r="C490" s="30">
        <v>0.35029069767441862</v>
      </c>
      <c r="D490" s="28">
        <v>35975</v>
      </c>
      <c r="E490" s="14">
        <v>-3.2205130315524633E-3</v>
      </c>
      <c r="F490" s="14">
        <v>-2.9787355338920518E-3</v>
      </c>
      <c r="G490" s="14">
        <v>-1.3585536628696326E-3</v>
      </c>
      <c r="H490" s="14">
        <v>-1.3298273037631422E-3</v>
      </c>
    </row>
    <row r="491" spans="2:8" x14ac:dyDescent="0.25">
      <c r="B491" s="29">
        <v>483</v>
      </c>
      <c r="C491" s="30">
        <v>0.35101744186046513</v>
      </c>
      <c r="D491" s="28">
        <v>35976</v>
      </c>
      <c r="E491" s="14">
        <v>-3.2040677522078287E-3</v>
      </c>
      <c r="F491" s="14">
        <v>-2.9713384170391155E-3</v>
      </c>
      <c r="G491" s="14">
        <v>-1.3567720622935653E-3</v>
      </c>
      <c r="H491" s="14">
        <v>-1.3244973844418252E-3</v>
      </c>
    </row>
    <row r="492" spans="2:8" x14ac:dyDescent="0.25">
      <c r="B492" s="29">
        <v>484</v>
      </c>
      <c r="C492" s="30">
        <v>0.35174418604651164</v>
      </c>
      <c r="D492" s="28">
        <v>35977</v>
      </c>
      <c r="E492" s="14">
        <v>-3.1692282935696925E-3</v>
      </c>
      <c r="F492" s="14">
        <v>-2.9611233164581474E-3</v>
      </c>
      <c r="G492" s="14">
        <v>-1.3517365008888227E-3</v>
      </c>
      <c r="H492" s="14">
        <v>-1.3144529641966551E-3</v>
      </c>
    </row>
    <row r="493" spans="2:8" x14ac:dyDescent="0.25">
      <c r="B493" s="29">
        <v>485</v>
      </c>
      <c r="C493" s="30">
        <v>0.35247093023255816</v>
      </c>
      <c r="D493" s="28">
        <v>35978</v>
      </c>
      <c r="E493" s="14">
        <v>-3.1565676759196526E-3</v>
      </c>
      <c r="F493" s="14">
        <v>-2.9609475032010835E-3</v>
      </c>
      <c r="G493" s="14">
        <v>-1.3424874934663267E-3</v>
      </c>
      <c r="H493" s="14">
        <v>-1.3105697882401567E-3</v>
      </c>
    </row>
    <row r="494" spans="2:8" x14ac:dyDescent="0.25">
      <c r="B494" s="29">
        <v>486</v>
      </c>
      <c r="C494" s="30">
        <v>0.35319767441860467</v>
      </c>
      <c r="D494" s="28">
        <v>35979</v>
      </c>
      <c r="E494" s="14">
        <v>-3.1294182745545962E-3</v>
      </c>
      <c r="F494" s="14">
        <v>-2.9421802732697566E-3</v>
      </c>
      <c r="G494" s="14">
        <v>-1.3336382545529046E-3</v>
      </c>
      <c r="H494" s="14">
        <v>-1.3063754073441959E-3</v>
      </c>
    </row>
    <row r="495" spans="2:8" x14ac:dyDescent="0.25">
      <c r="B495" s="29">
        <v>487</v>
      </c>
      <c r="C495" s="30">
        <v>0.35392441860465118</v>
      </c>
      <c r="D495" s="28">
        <v>35982</v>
      </c>
      <c r="E495" s="14">
        <v>-3.1013443729496215E-3</v>
      </c>
      <c r="F495" s="14">
        <v>-2.9260372712918148E-3</v>
      </c>
      <c r="G495" s="14">
        <v>-1.3314307709302309E-3</v>
      </c>
      <c r="H495" s="14">
        <v>-1.306044135531881E-3</v>
      </c>
    </row>
    <row r="496" spans="2:8" x14ac:dyDescent="0.25">
      <c r="B496" s="29">
        <v>488</v>
      </c>
      <c r="C496" s="30">
        <v>0.35465116279069769</v>
      </c>
      <c r="D496" s="28">
        <v>35983</v>
      </c>
      <c r="E496" s="14">
        <v>-3.0970406056436417E-3</v>
      </c>
      <c r="F496" s="14">
        <v>-2.9180452351250663E-3</v>
      </c>
      <c r="G496" s="14">
        <v>-1.3049645390070808E-3</v>
      </c>
      <c r="H496" s="14">
        <v>-1.3055850706378271E-3</v>
      </c>
    </row>
    <row r="497" spans="2:8" x14ac:dyDescent="0.25">
      <c r="B497" s="29">
        <v>489</v>
      </c>
      <c r="C497" s="30">
        <v>0.35537790697674421</v>
      </c>
      <c r="D497" s="28">
        <v>35984</v>
      </c>
      <c r="E497" s="14">
        <v>-3.0566780644493141E-3</v>
      </c>
      <c r="F497" s="14">
        <v>-2.9179202636711032E-3</v>
      </c>
      <c r="G497" s="14">
        <v>-1.3007290217482703E-3</v>
      </c>
      <c r="H497" s="14">
        <v>-1.3032915896983078E-3</v>
      </c>
    </row>
    <row r="498" spans="2:8" x14ac:dyDescent="0.25">
      <c r="B498" s="29">
        <v>490</v>
      </c>
      <c r="C498" s="30">
        <v>0.35610465116279072</v>
      </c>
      <c r="D498" s="28">
        <v>35985</v>
      </c>
      <c r="E498" s="14">
        <v>-3.0412053886432755E-3</v>
      </c>
      <c r="F498" s="14">
        <v>-2.91667919535743E-3</v>
      </c>
      <c r="G498" s="14">
        <v>-1.2871453354973417E-3</v>
      </c>
      <c r="H498" s="14">
        <v>-1.2859606676775661E-3</v>
      </c>
    </row>
    <row r="499" spans="2:8" x14ac:dyDescent="0.25">
      <c r="B499" s="29">
        <v>491</v>
      </c>
      <c r="C499" s="30">
        <v>0.35683139534883723</v>
      </c>
      <c r="D499" s="28">
        <v>35986</v>
      </c>
      <c r="E499" s="14">
        <v>-3.0307200603443274E-3</v>
      </c>
      <c r="F499" s="14">
        <v>-2.9123459950054498E-3</v>
      </c>
      <c r="G499" s="14">
        <v>-1.2603774245761867E-3</v>
      </c>
      <c r="H499" s="14">
        <v>-1.2750004488359505E-3</v>
      </c>
    </row>
    <row r="500" spans="2:8" x14ac:dyDescent="0.25">
      <c r="B500" s="29">
        <v>492</v>
      </c>
      <c r="C500" s="30">
        <v>0.35755813953488375</v>
      </c>
      <c r="D500" s="28">
        <v>35989</v>
      </c>
      <c r="E500" s="14">
        <v>-3.0285084078510716E-3</v>
      </c>
      <c r="F500" s="14">
        <v>-2.9076179590526996E-3</v>
      </c>
      <c r="G500" s="14">
        <v>-1.2351397251814111E-3</v>
      </c>
      <c r="H500" s="14">
        <v>-1.2734907632248049E-3</v>
      </c>
    </row>
    <row r="501" spans="2:8" x14ac:dyDescent="0.25">
      <c r="B501" s="29">
        <v>493</v>
      </c>
      <c r="C501" s="30">
        <v>0.35828488372093026</v>
      </c>
      <c r="D501" s="28">
        <v>35990</v>
      </c>
      <c r="E501" s="14">
        <v>-3.0226700251887451E-3</v>
      </c>
      <c r="F501" s="14">
        <v>-2.9011441895776535E-3</v>
      </c>
      <c r="G501" s="14">
        <v>-1.233111730645442E-3</v>
      </c>
      <c r="H501" s="14">
        <v>-1.2718004567467303E-3</v>
      </c>
    </row>
    <row r="502" spans="2:8" x14ac:dyDescent="0.25">
      <c r="B502" s="29">
        <v>494</v>
      </c>
      <c r="C502" s="30">
        <v>0.35901162790697677</v>
      </c>
      <c r="D502" s="28">
        <v>35991</v>
      </c>
      <c r="E502" s="14">
        <v>-3.0093406482972762E-3</v>
      </c>
      <c r="F502" s="14">
        <v>-2.8957009977494952E-3</v>
      </c>
      <c r="G502" s="14">
        <v>-1.198048888477965E-3</v>
      </c>
      <c r="H502" s="14">
        <v>-1.2590910825790666E-3</v>
      </c>
    </row>
    <row r="503" spans="2:8" x14ac:dyDescent="0.25">
      <c r="B503" s="29">
        <v>495</v>
      </c>
      <c r="C503" s="30">
        <v>0.35973837209302323</v>
      </c>
      <c r="D503" s="28">
        <v>35992</v>
      </c>
      <c r="E503" s="14">
        <v>-3.0053046652819271E-3</v>
      </c>
      <c r="F503" s="14">
        <v>-2.8650093771197538E-3</v>
      </c>
      <c r="G503" s="14">
        <v>-1.1977868601057429E-3</v>
      </c>
      <c r="H503" s="14">
        <v>-1.2273082172186145E-3</v>
      </c>
    </row>
    <row r="504" spans="2:8" x14ac:dyDescent="0.25">
      <c r="B504" s="29">
        <v>496</v>
      </c>
      <c r="C504" s="30">
        <v>0.36046511627906974</v>
      </c>
      <c r="D504" s="28">
        <v>35993</v>
      </c>
      <c r="E504" s="14">
        <v>-2.9934222937754162E-3</v>
      </c>
      <c r="F504" s="14">
        <v>-2.8514347984018862E-3</v>
      </c>
      <c r="G504" s="14">
        <v>-1.1616255650891416E-3</v>
      </c>
      <c r="H504" s="14">
        <v>-1.2229766776968632E-3</v>
      </c>
    </row>
    <row r="505" spans="2:8" x14ac:dyDescent="0.25">
      <c r="B505" s="29">
        <v>497</v>
      </c>
      <c r="C505" s="30">
        <v>0.36119186046511625</v>
      </c>
      <c r="D505" s="28">
        <v>35996</v>
      </c>
      <c r="E505" s="14">
        <v>-2.9932504965688445E-3</v>
      </c>
      <c r="F505" s="14">
        <v>-2.839058563264274E-3</v>
      </c>
      <c r="G505" s="14">
        <v>-1.159532321963419E-3</v>
      </c>
      <c r="H505" s="14">
        <v>-1.214233231715567E-3</v>
      </c>
    </row>
    <row r="506" spans="2:8" x14ac:dyDescent="0.25">
      <c r="B506" s="29">
        <v>498</v>
      </c>
      <c r="C506" s="30">
        <v>0.36191860465116277</v>
      </c>
      <c r="D506" s="28">
        <v>35997</v>
      </c>
      <c r="E506" s="14">
        <v>-2.9575757575758255E-3</v>
      </c>
      <c r="F506" s="14">
        <v>-2.7917600778308849E-3</v>
      </c>
      <c r="G506" s="14">
        <v>-1.1512261558669357E-3</v>
      </c>
      <c r="H506" s="14">
        <v>-1.2055314149608254E-3</v>
      </c>
    </row>
    <row r="507" spans="2:8" x14ac:dyDescent="0.25">
      <c r="B507" s="29">
        <v>499</v>
      </c>
      <c r="C507" s="30">
        <v>0.36264534883720928</v>
      </c>
      <c r="D507" s="28">
        <v>35998</v>
      </c>
      <c r="E507" s="14">
        <v>-2.9333657334283947E-3</v>
      </c>
      <c r="F507" s="14">
        <v>-2.7632132222327188E-3</v>
      </c>
      <c r="G507" s="14">
        <v>-1.1461915181828486E-3</v>
      </c>
      <c r="H507" s="14">
        <v>-1.204281491971271E-3</v>
      </c>
    </row>
    <row r="508" spans="2:8" x14ac:dyDescent="0.25">
      <c r="B508" s="29">
        <v>500</v>
      </c>
      <c r="C508" s="30">
        <v>0.36337209302325579</v>
      </c>
      <c r="D508" s="28">
        <v>35999</v>
      </c>
      <c r="E508" s="14">
        <v>-2.930504073421103E-3</v>
      </c>
      <c r="F508" s="14">
        <v>-2.74457619466284E-3</v>
      </c>
      <c r="G508" s="14">
        <v>-1.1346054667354943E-3</v>
      </c>
      <c r="H508" s="14">
        <v>-1.1881750281150349E-3</v>
      </c>
    </row>
    <row r="509" spans="2:8" x14ac:dyDescent="0.25">
      <c r="B509" s="29">
        <v>501</v>
      </c>
      <c r="C509" s="30">
        <v>0.36409883720930231</v>
      </c>
      <c r="D509" s="28">
        <v>36000</v>
      </c>
      <c r="E509" s="14">
        <v>-2.9199110122358762E-3</v>
      </c>
      <c r="F509" s="14">
        <v>-2.7351466342501185E-3</v>
      </c>
      <c r="G509" s="14">
        <v>-1.1296542254147779E-3</v>
      </c>
      <c r="H509" s="14">
        <v>-1.1746198169448438E-3</v>
      </c>
    </row>
    <row r="510" spans="2:8" x14ac:dyDescent="0.25">
      <c r="B510" s="29">
        <v>502</v>
      </c>
      <c r="C510" s="30">
        <v>0.36482558139534882</v>
      </c>
      <c r="D510" s="28">
        <v>36003</v>
      </c>
      <c r="E510" s="14">
        <v>-2.9194848945929275E-3</v>
      </c>
      <c r="F510" s="14">
        <v>-2.7265449162399147E-3</v>
      </c>
      <c r="G510" s="14">
        <v>-1.1278725504015874E-3</v>
      </c>
      <c r="H510" s="14">
        <v>-1.1704149085167259E-3</v>
      </c>
    </row>
    <row r="511" spans="2:8" x14ac:dyDescent="0.25">
      <c r="B511" s="29">
        <v>503</v>
      </c>
      <c r="C511" s="30">
        <v>0.36555232558139533</v>
      </c>
      <c r="D511" s="28">
        <v>36004</v>
      </c>
      <c r="E511" s="14">
        <v>-2.9057219011129343E-3</v>
      </c>
      <c r="F511" s="14">
        <v>-2.7207036116668748E-3</v>
      </c>
      <c r="G511" s="14">
        <v>-1.1188811188812542E-3</v>
      </c>
      <c r="H511" s="14">
        <v>-1.1583605859162959E-3</v>
      </c>
    </row>
    <row r="512" spans="2:8" x14ac:dyDescent="0.25">
      <c r="B512" s="29">
        <v>504</v>
      </c>
      <c r="C512" s="30">
        <v>0.36627906976744184</v>
      </c>
      <c r="D512" s="28">
        <v>36005</v>
      </c>
      <c r="E512" s="14">
        <v>-2.8877187022251505E-3</v>
      </c>
      <c r="F512" s="14">
        <v>-2.6692048252602296E-3</v>
      </c>
      <c r="G512" s="14">
        <v>-1.1182180940713105E-3</v>
      </c>
      <c r="H512" s="14">
        <v>-1.1337490131251736E-3</v>
      </c>
    </row>
    <row r="513" spans="2:8" x14ac:dyDescent="0.25">
      <c r="B513" s="29">
        <v>505</v>
      </c>
      <c r="C513" s="30">
        <v>0.36700581395348836</v>
      </c>
      <c r="D513" s="28">
        <v>36006</v>
      </c>
      <c r="E513" s="14">
        <v>-2.8771458712956166E-3</v>
      </c>
      <c r="F513" s="14">
        <v>-2.6279106967389554E-3</v>
      </c>
      <c r="G513" s="14">
        <v>-1.1180054782268245E-3</v>
      </c>
      <c r="H513" s="14">
        <v>-1.1258724858424609E-3</v>
      </c>
    </row>
    <row r="514" spans="2:8" x14ac:dyDescent="0.25">
      <c r="B514" s="29">
        <v>506</v>
      </c>
      <c r="C514" s="30">
        <v>0.36773255813953487</v>
      </c>
      <c r="D514" s="28">
        <v>36007</v>
      </c>
      <c r="E514" s="14">
        <v>-2.8579416607125152E-3</v>
      </c>
      <c r="F514" s="14">
        <v>-2.6246245704545368E-3</v>
      </c>
      <c r="G514" s="14">
        <v>-1.106154101517598E-3</v>
      </c>
      <c r="H514" s="14">
        <v>-1.1221635951308209E-3</v>
      </c>
    </row>
    <row r="515" spans="2:8" x14ac:dyDescent="0.25">
      <c r="B515" s="29">
        <v>507</v>
      </c>
      <c r="C515" s="30">
        <v>0.36845930232558138</v>
      </c>
      <c r="D515" s="28">
        <v>36010</v>
      </c>
      <c r="E515" s="14">
        <v>-2.8229728956453704E-3</v>
      </c>
      <c r="F515" s="14">
        <v>-2.6039232443548777E-3</v>
      </c>
      <c r="G515" s="14">
        <v>-1.0771992830918009E-3</v>
      </c>
      <c r="H515" s="14">
        <v>-1.1188056930005797E-3</v>
      </c>
    </row>
    <row r="516" spans="2:8" x14ac:dyDescent="0.25">
      <c r="B516" s="29">
        <v>508</v>
      </c>
      <c r="C516" s="30">
        <v>0.3691860465116279</v>
      </c>
      <c r="D516" s="28">
        <v>36011</v>
      </c>
      <c r="E516" s="14">
        <v>-2.7911825534276957E-3</v>
      </c>
      <c r="F516" s="14">
        <v>-2.5825379116565239E-3</v>
      </c>
      <c r="G516" s="14">
        <v>-1.0752780655349792E-3</v>
      </c>
      <c r="H516" s="14">
        <v>-1.1080426766803876E-3</v>
      </c>
    </row>
    <row r="517" spans="2:8" x14ac:dyDescent="0.25">
      <c r="B517" s="29">
        <v>509</v>
      </c>
      <c r="C517" s="30">
        <v>0.36991279069767441</v>
      </c>
      <c r="D517" s="28">
        <v>36012</v>
      </c>
      <c r="E517" s="14">
        <v>-2.7891968150017821E-3</v>
      </c>
      <c r="F517" s="14">
        <v>-2.5783895990384442E-3</v>
      </c>
      <c r="G517" s="14">
        <v>-1.0612894667020312E-3</v>
      </c>
      <c r="H517" s="14">
        <v>-1.1067605518087608E-3</v>
      </c>
    </row>
    <row r="518" spans="2:8" x14ac:dyDescent="0.25">
      <c r="B518" s="29">
        <v>510</v>
      </c>
      <c r="C518" s="30">
        <v>0.37063953488372092</v>
      </c>
      <c r="D518" s="28">
        <v>36013</v>
      </c>
      <c r="E518" s="14">
        <v>-2.7835902555143344E-3</v>
      </c>
      <c r="F518" s="14">
        <v>-2.572351541416884E-3</v>
      </c>
      <c r="G518" s="14">
        <v>-1.0367529073306292E-3</v>
      </c>
      <c r="H518" s="14">
        <v>-1.1010936908216972E-3</v>
      </c>
    </row>
    <row r="519" spans="2:8" x14ac:dyDescent="0.25">
      <c r="B519" s="29">
        <v>511</v>
      </c>
      <c r="C519" s="30">
        <v>0.37136627906976744</v>
      </c>
      <c r="D519" s="28">
        <v>36014</v>
      </c>
      <c r="E519" s="14">
        <v>-2.7425638173106393E-3</v>
      </c>
      <c r="F519" s="14">
        <v>-2.5334414268342043E-3</v>
      </c>
      <c r="G519" s="14">
        <v>-1.0358769182703398E-3</v>
      </c>
      <c r="H519" s="14">
        <v>-1.081285039807645E-3</v>
      </c>
    </row>
    <row r="520" spans="2:8" x14ac:dyDescent="0.25">
      <c r="B520" s="29">
        <v>512</v>
      </c>
      <c r="C520" s="30">
        <v>0.37209302325581395</v>
      </c>
      <c r="D520" s="28">
        <v>36017</v>
      </c>
      <c r="E520" s="14">
        <v>-2.7405859042296532E-3</v>
      </c>
      <c r="F520" s="14">
        <v>-2.4925702233725699E-3</v>
      </c>
      <c r="G520" s="14">
        <v>-1.0330578512396382E-3</v>
      </c>
      <c r="H520" s="14">
        <v>-1.0588400129033727E-3</v>
      </c>
    </row>
    <row r="521" spans="2:8" x14ac:dyDescent="0.25">
      <c r="B521" s="29">
        <v>513</v>
      </c>
      <c r="C521" s="30">
        <v>0.37281976744186046</v>
      </c>
      <c r="D521" s="28">
        <v>36018</v>
      </c>
      <c r="E521" s="14">
        <v>-2.7401318225579452E-3</v>
      </c>
      <c r="F521" s="14">
        <v>-2.4911850375594069E-3</v>
      </c>
      <c r="G521" s="14">
        <v>-1.0145601075901567E-3</v>
      </c>
      <c r="H521" s="14">
        <v>-1.0529676851734229E-3</v>
      </c>
    </row>
    <row r="522" spans="2:8" x14ac:dyDescent="0.25">
      <c r="B522" s="29">
        <v>514</v>
      </c>
      <c r="C522" s="30">
        <v>0.37354651162790697</v>
      </c>
      <c r="D522" s="28">
        <v>36019</v>
      </c>
      <c r="E522" s="14">
        <v>-2.7049873203720542E-3</v>
      </c>
      <c r="F522" s="14">
        <v>-2.4824779983388945E-3</v>
      </c>
      <c r="G522" s="14">
        <v>-1.0133493248469794E-3</v>
      </c>
      <c r="H522" s="14">
        <v>-1.0424419747913527E-3</v>
      </c>
    </row>
    <row r="523" spans="2:8" x14ac:dyDescent="0.25">
      <c r="B523" s="29">
        <v>515</v>
      </c>
      <c r="C523" s="30">
        <v>0.37427325581395349</v>
      </c>
      <c r="D523" s="28">
        <v>36020</v>
      </c>
      <c r="E523" s="14">
        <v>-2.702336384909243E-3</v>
      </c>
      <c r="F523" s="14">
        <v>-2.4474779134855407E-3</v>
      </c>
      <c r="G523" s="14">
        <v>-1.0023787176541843E-3</v>
      </c>
      <c r="H523" s="14">
        <v>-1.0387122057463837E-3</v>
      </c>
    </row>
    <row r="524" spans="2:8" x14ac:dyDescent="0.25">
      <c r="B524" s="29">
        <v>516</v>
      </c>
      <c r="C524" s="30">
        <v>0.375</v>
      </c>
      <c r="D524" s="28">
        <v>36021</v>
      </c>
      <c r="E524" s="14">
        <v>-2.6773387055796238E-3</v>
      </c>
      <c r="F524" s="14">
        <v>-2.4448952404019231E-3</v>
      </c>
      <c r="G524" s="14">
        <v>-9.948501872660831E-4</v>
      </c>
      <c r="H524" s="14">
        <v>-1.0214344103122164E-3</v>
      </c>
    </row>
    <row r="525" spans="2:8" x14ac:dyDescent="0.25">
      <c r="B525" s="29">
        <v>517</v>
      </c>
      <c r="C525" s="30">
        <v>0.37572674418604651</v>
      </c>
      <c r="D525" s="28">
        <v>36024</v>
      </c>
      <c r="E525" s="14">
        <v>-2.6766925774334149E-3</v>
      </c>
      <c r="F525" s="14">
        <v>-2.4343514031330837E-3</v>
      </c>
      <c r="G525" s="14">
        <v>-9.8979897936257721E-4</v>
      </c>
      <c r="H525" s="14">
        <v>-1.0075905949708643E-3</v>
      </c>
    </row>
    <row r="526" spans="2:8" x14ac:dyDescent="0.25">
      <c r="B526" s="29">
        <v>518</v>
      </c>
      <c r="C526" s="30">
        <v>0.37645348837209303</v>
      </c>
      <c r="D526" s="28">
        <v>36025</v>
      </c>
      <c r="E526" s="14">
        <v>-2.6616564897445905E-3</v>
      </c>
      <c r="F526" s="14">
        <v>-2.3859543817527085E-3</v>
      </c>
      <c r="G526" s="14">
        <v>-9.8925169828123494E-4</v>
      </c>
      <c r="H526" s="14">
        <v>-9.9511249135679773E-4</v>
      </c>
    </row>
    <row r="527" spans="2:8" x14ac:dyDescent="0.25">
      <c r="B527" s="29">
        <v>519</v>
      </c>
      <c r="C527" s="30">
        <v>0.37718023255813954</v>
      </c>
      <c r="D527" s="28">
        <v>36026</v>
      </c>
      <c r="E527" s="14">
        <v>-2.6509572901325384E-3</v>
      </c>
      <c r="F527" s="14">
        <v>-2.3820494997697228E-3</v>
      </c>
      <c r="G527" s="14">
        <v>-9.8873935731957907E-4</v>
      </c>
      <c r="H527" s="14">
        <v>-9.951026205488934E-4</v>
      </c>
    </row>
    <row r="528" spans="2:8" x14ac:dyDescent="0.25">
      <c r="B528" s="29">
        <v>520</v>
      </c>
      <c r="C528" s="30">
        <v>0.37790697674418605</v>
      </c>
      <c r="D528" s="28">
        <v>36027</v>
      </c>
      <c r="E528" s="14">
        <v>-2.6274628861657767E-3</v>
      </c>
      <c r="F528" s="14">
        <v>-2.3811725540966444E-3</v>
      </c>
      <c r="G528" s="14">
        <v>-9.8133128635291555E-4</v>
      </c>
      <c r="H528" s="14">
        <v>-9.9248438874588452E-4</v>
      </c>
    </row>
    <row r="529" spans="2:8" x14ac:dyDescent="0.25">
      <c r="B529" s="29">
        <v>521</v>
      </c>
      <c r="C529" s="30">
        <v>0.37863372093023256</v>
      </c>
      <c r="D529" s="28">
        <v>36028</v>
      </c>
      <c r="E529" s="14">
        <v>-2.5679615583863447E-3</v>
      </c>
      <c r="F529" s="14">
        <v>-2.3568538619670454E-3</v>
      </c>
      <c r="G529" s="14">
        <v>-9.8126718503810384E-4</v>
      </c>
      <c r="H529" s="14">
        <v>-9.7010930652956511E-4</v>
      </c>
    </row>
    <row r="530" spans="2:8" x14ac:dyDescent="0.25">
      <c r="B530" s="29">
        <v>522</v>
      </c>
      <c r="C530" s="30">
        <v>0.37936046511627908</v>
      </c>
      <c r="D530" s="28">
        <v>36031</v>
      </c>
      <c r="E530" s="14">
        <v>-2.5636560326741664E-3</v>
      </c>
      <c r="F530" s="14">
        <v>-2.3522817982641886E-3</v>
      </c>
      <c r="G530" s="14">
        <v>-9.4260058540462932E-4</v>
      </c>
      <c r="H530" s="14">
        <v>-9.6530542524861937E-4</v>
      </c>
    </row>
    <row r="531" spans="2:8" x14ac:dyDescent="0.25">
      <c r="B531" s="29">
        <v>523</v>
      </c>
      <c r="C531" s="30">
        <v>0.38008720930232559</v>
      </c>
      <c r="D531" s="28">
        <v>36032</v>
      </c>
      <c r="E531" s="14">
        <v>-2.5113092070250254E-3</v>
      </c>
      <c r="F531" s="14">
        <v>-2.3070342944534472E-3</v>
      </c>
      <c r="G531" s="14">
        <v>-9.1989898505662193E-4</v>
      </c>
      <c r="H531" s="14">
        <v>-9.582482716181675E-4</v>
      </c>
    </row>
    <row r="532" spans="2:8" x14ac:dyDescent="0.25">
      <c r="B532" s="29">
        <v>524</v>
      </c>
      <c r="C532" s="30">
        <v>0.3808139534883721</v>
      </c>
      <c r="D532" s="28">
        <v>36033</v>
      </c>
      <c r="E532" s="14">
        <v>-2.507774099708926E-3</v>
      </c>
      <c r="F532" s="14">
        <v>-2.305082969889849E-3</v>
      </c>
      <c r="G532" s="14">
        <v>-8.8801103738700427E-4</v>
      </c>
      <c r="H532" s="14">
        <v>-9.3054827990688435E-4</v>
      </c>
    </row>
    <row r="533" spans="2:8" x14ac:dyDescent="0.25">
      <c r="B533" s="29">
        <v>525</v>
      </c>
      <c r="C533" s="30">
        <v>0.38154069767441862</v>
      </c>
      <c r="D533" s="28">
        <v>36034</v>
      </c>
      <c r="E533" s="14">
        <v>-2.5015287320269142E-3</v>
      </c>
      <c r="F533" s="14">
        <v>-2.3012049716141236E-3</v>
      </c>
      <c r="G533" s="14">
        <v>-8.805884617925086E-4</v>
      </c>
      <c r="H533" s="14">
        <v>-9.2582380459873626E-4</v>
      </c>
    </row>
    <row r="534" spans="2:8" x14ac:dyDescent="0.25">
      <c r="B534" s="29">
        <v>526</v>
      </c>
      <c r="C534" s="30">
        <v>0.38226744186046513</v>
      </c>
      <c r="D534" s="28">
        <v>36035</v>
      </c>
      <c r="E534" s="14">
        <v>-2.4589204168455892E-3</v>
      </c>
      <c r="F534" s="14">
        <v>-2.2880875241547693E-3</v>
      </c>
      <c r="G534" s="14">
        <v>-8.5193919968196141E-4</v>
      </c>
      <c r="H534" s="14">
        <v>-9.1932902147631192E-4</v>
      </c>
    </row>
    <row r="535" spans="2:8" x14ac:dyDescent="0.25">
      <c r="B535" s="29">
        <v>527</v>
      </c>
      <c r="C535" s="30">
        <v>0.38299418604651164</v>
      </c>
      <c r="D535" s="28">
        <v>36038</v>
      </c>
      <c r="E535" s="14">
        <v>-2.3883539313064306E-3</v>
      </c>
      <c r="F535" s="14">
        <v>-2.2634035931531349E-3</v>
      </c>
      <c r="G535" s="14">
        <v>-8.4592826528306908E-4</v>
      </c>
      <c r="H535" s="14">
        <v>-8.9191590952009125E-4</v>
      </c>
    </row>
    <row r="536" spans="2:8" x14ac:dyDescent="0.25">
      <c r="B536" s="29">
        <v>528</v>
      </c>
      <c r="C536" s="30">
        <v>0.38372093023255816</v>
      </c>
      <c r="D536" s="28">
        <v>36039</v>
      </c>
      <c r="E536" s="14">
        <v>-2.3477295869581694E-3</v>
      </c>
      <c r="F536" s="14">
        <v>-2.2530072579577398E-3</v>
      </c>
      <c r="G536" s="14">
        <v>-8.3800838761505236E-4</v>
      </c>
      <c r="H536" s="14">
        <v>-8.9184140252855952E-4</v>
      </c>
    </row>
    <row r="537" spans="2:8" x14ac:dyDescent="0.25">
      <c r="B537" s="29">
        <v>529</v>
      </c>
      <c r="C537" s="30">
        <v>0.38444767441860467</v>
      </c>
      <c r="D537" s="28">
        <v>36040</v>
      </c>
      <c r="E537" s="14">
        <v>-2.3390278954286137E-3</v>
      </c>
      <c r="F537" s="14">
        <v>-2.2329892563724973E-3</v>
      </c>
      <c r="G537" s="14">
        <v>-8.2409020952511902E-4</v>
      </c>
      <c r="H537" s="14">
        <v>-8.910064193329958E-4</v>
      </c>
    </row>
    <row r="538" spans="2:8" x14ac:dyDescent="0.25">
      <c r="B538" s="29">
        <v>530</v>
      </c>
      <c r="C538" s="30">
        <v>0.38517441860465118</v>
      </c>
      <c r="D538" s="28">
        <v>36041</v>
      </c>
      <c r="E538" s="14">
        <v>-2.3361215262245327E-3</v>
      </c>
      <c r="F538" s="14">
        <v>-2.2282600882679304E-3</v>
      </c>
      <c r="G538" s="14">
        <v>-8.1219524731501735E-4</v>
      </c>
      <c r="H538" s="14">
        <v>-8.8387560841050048E-4</v>
      </c>
    </row>
    <row r="539" spans="2:8" x14ac:dyDescent="0.25">
      <c r="B539" s="29">
        <v>531</v>
      </c>
      <c r="C539" s="30">
        <v>0.38590116279069769</v>
      </c>
      <c r="D539" s="28">
        <v>36042</v>
      </c>
      <c r="E539" s="14">
        <v>-2.3309160870208512E-3</v>
      </c>
      <c r="F539" s="14">
        <v>-2.2178646291163284E-3</v>
      </c>
      <c r="G539" s="14">
        <v>-7.8131975976414303E-4</v>
      </c>
      <c r="H539" s="14">
        <v>-8.7612694190153384E-4</v>
      </c>
    </row>
    <row r="540" spans="2:8" x14ac:dyDescent="0.25">
      <c r="B540" s="29">
        <v>532</v>
      </c>
      <c r="C540" s="30">
        <v>0.38662790697674421</v>
      </c>
      <c r="D540" s="28">
        <v>36045</v>
      </c>
      <c r="E540" s="14">
        <v>-2.3297511788100689E-3</v>
      </c>
      <c r="F540" s="14">
        <v>-2.1916829689998529E-3</v>
      </c>
      <c r="G540" s="14">
        <v>-7.7840441081067357E-4</v>
      </c>
      <c r="H540" s="14">
        <v>-8.6366465632234943E-4</v>
      </c>
    </row>
    <row r="541" spans="2:8" x14ac:dyDescent="0.25">
      <c r="B541" s="29">
        <v>533</v>
      </c>
      <c r="C541" s="30">
        <v>0.38735465116279072</v>
      </c>
      <c r="D541" s="28">
        <v>36046</v>
      </c>
      <c r="E541" s="14">
        <v>-2.2964140611199113E-3</v>
      </c>
      <c r="F541" s="14">
        <v>-2.1840353085709197E-3</v>
      </c>
      <c r="G541" s="14">
        <v>-7.7604579415591068E-4</v>
      </c>
      <c r="H541" s="14">
        <v>-8.598494834059613E-4</v>
      </c>
    </row>
    <row r="542" spans="2:8" x14ac:dyDescent="0.25">
      <c r="B542" s="29">
        <v>534</v>
      </c>
      <c r="C542" s="30">
        <v>0.38808139534883723</v>
      </c>
      <c r="D542" s="28">
        <v>36047</v>
      </c>
      <c r="E542" s="14">
        <v>-2.2719384183078617E-3</v>
      </c>
      <c r="F542" s="14">
        <v>-2.1590406575968668E-3</v>
      </c>
      <c r="G542" s="14">
        <v>-7.7140912391138183E-4</v>
      </c>
      <c r="H542" s="14">
        <v>-8.5384275130464507E-4</v>
      </c>
    </row>
    <row r="543" spans="2:8" x14ac:dyDescent="0.25">
      <c r="B543" s="29">
        <v>535</v>
      </c>
      <c r="C543" s="30">
        <v>0.38880813953488375</v>
      </c>
      <c r="D543" s="28">
        <v>36048</v>
      </c>
      <c r="E543" s="14">
        <v>-2.2379086702978279E-3</v>
      </c>
      <c r="F543" s="14">
        <v>-2.1524584883005904E-3</v>
      </c>
      <c r="G543" s="14">
        <v>-7.4957046031864927E-4</v>
      </c>
      <c r="H543" s="14">
        <v>-8.43123198366369E-4</v>
      </c>
    </row>
    <row r="544" spans="2:8" x14ac:dyDescent="0.25">
      <c r="B544" s="29">
        <v>536</v>
      </c>
      <c r="C544" s="30">
        <v>0.38953488372093026</v>
      </c>
      <c r="D544" s="28">
        <v>36049</v>
      </c>
      <c r="E544" s="14">
        <v>-2.2311023029232269E-3</v>
      </c>
      <c r="F544" s="14">
        <v>-2.1311559595337259E-3</v>
      </c>
      <c r="G544" s="14">
        <v>-7.4387458590485789E-4</v>
      </c>
      <c r="H544" s="14">
        <v>-8.178649215394131E-4</v>
      </c>
    </row>
    <row r="545" spans="2:8" x14ac:dyDescent="0.25">
      <c r="B545" s="29">
        <v>537</v>
      </c>
      <c r="C545" s="30">
        <v>0.39026162790697677</v>
      </c>
      <c r="D545" s="28">
        <v>36052</v>
      </c>
      <c r="E545" s="14">
        <v>-2.1819431320332372E-3</v>
      </c>
      <c r="F545" s="14">
        <v>-2.1268450380704795E-3</v>
      </c>
      <c r="G545" s="14">
        <v>-7.246444512876149E-4</v>
      </c>
      <c r="H545" s="14">
        <v>-7.9563071485200265E-4</v>
      </c>
    </row>
    <row r="546" spans="2:8" x14ac:dyDescent="0.25">
      <c r="B546" s="29">
        <v>538</v>
      </c>
      <c r="C546" s="30">
        <v>0.39098837209302323</v>
      </c>
      <c r="D546" s="28">
        <v>36053</v>
      </c>
      <c r="E546" s="14">
        <v>-2.1813757009904178E-3</v>
      </c>
      <c r="F546" s="14">
        <v>-2.1109680510226214E-3</v>
      </c>
      <c r="G546" s="14">
        <v>-7.2062084257218384E-4</v>
      </c>
      <c r="H546" s="14">
        <v>-7.8948437700105973E-4</v>
      </c>
    </row>
    <row r="547" spans="2:8" x14ac:dyDescent="0.25">
      <c r="B547" s="29">
        <v>539</v>
      </c>
      <c r="C547" s="30">
        <v>0.39171511627906974</v>
      </c>
      <c r="D547" s="28">
        <v>36054</v>
      </c>
      <c r="E547" s="14">
        <v>-2.1742766348887832E-3</v>
      </c>
      <c r="F547" s="14">
        <v>-2.0689218383849184E-3</v>
      </c>
      <c r="G547" s="14">
        <v>-6.7416405713149885E-4</v>
      </c>
      <c r="H547" s="14">
        <v>-7.8264978011310937E-4</v>
      </c>
    </row>
    <row r="548" spans="2:8" x14ac:dyDescent="0.25">
      <c r="B548" s="29">
        <v>540</v>
      </c>
      <c r="C548" s="30">
        <v>0.39244186046511625</v>
      </c>
      <c r="D548" s="28">
        <v>36055</v>
      </c>
      <c r="E548" s="14">
        <v>-2.1631380831531599E-3</v>
      </c>
      <c r="F548" s="14">
        <v>-2.0632447682008559E-3</v>
      </c>
      <c r="G548" s="14">
        <v>-6.7239805965124688E-4</v>
      </c>
      <c r="H548" s="14">
        <v>-7.7555309689500982E-4</v>
      </c>
    </row>
    <row r="549" spans="2:8" x14ac:dyDescent="0.25">
      <c r="B549" s="29">
        <v>541</v>
      </c>
      <c r="C549" s="30">
        <v>0.39316860465116277</v>
      </c>
      <c r="D549" s="28">
        <v>36056</v>
      </c>
      <c r="E549" s="14">
        <v>-2.1533376733937626E-3</v>
      </c>
      <c r="F549" s="14">
        <v>-2.0513384787084199E-3</v>
      </c>
      <c r="G549" s="14">
        <v>-6.720806496779419E-4</v>
      </c>
      <c r="H549" s="14">
        <v>-7.5904191622808701E-4</v>
      </c>
    </row>
    <row r="550" spans="2:8" x14ac:dyDescent="0.25">
      <c r="B550" s="29">
        <v>542</v>
      </c>
      <c r="C550" s="30">
        <v>0.39389534883720928</v>
      </c>
      <c r="D550" s="28">
        <v>36059</v>
      </c>
      <c r="E550" s="14">
        <v>-2.1186440677964935E-3</v>
      </c>
      <c r="F550" s="14">
        <v>-2.034730748991298E-3</v>
      </c>
      <c r="G550" s="14">
        <v>-6.621784025654387E-4</v>
      </c>
      <c r="H550" s="14">
        <v>-7.5577001337132641E-4</v>
      </c>
    </row>
    <row r="551" spans="2:8" x14ac:dyDescent="0.25">
      <c r="B551" s="29">
        <v>543</v>
      </c>
      <c r="C551" s="30">
        <v>0.39462209302325579</v>
      </c>
      <c r="D551" s="28">
        <v>36060</v>
      </c>
      <c r="E551" s="14">
        <v>-2.0955110380090902E-3</v>
      </c>
      <c r="F551" s="14">
        <v>-1.9599563391839991E-3</v>
      </c>
      <c r="G551" s="14">
        <v>-6.5306726371838764E-4</v>
      </c>
      <c r="H551" s="14">
        <v>-7.4263606357911666E-4</v>
      </c>
    </row>
    <row r="552" spans="2:8" x14ac:dyDescent="0.25">
      <c r="B552" s="29">
        <v>544</v>
      </c>
      <c r="C552" s="30">
        <v>0.39534883720930231</v>
      </c>
      <c r="D552" s="28">
        <v>36061</v>
      </c>
      <c r="E552" s="14">
        <v>-2.0947470190139095E-3</v>
      </c>
      <c r="F552" s="14">
        <v>-1.9551602264549217E-3</v>
      </c>
      <c r="G552" s="14">
        <v>-6.4394852034732608E-4</v>
      </c>
      <c r="H552" s="14">
        <v>-7.4178561645250603E-4</v>
      </c>
    </row>
    <row r="553" spans="2:8" x14ac:dyDescent="0.25">
      <c r="B553" s="29">
        <v>545</v>
      </c>
      <c r="C553" s="30">
        <v>0.39607558139534882</v>
      </c>
      <c r="D553" s="28">
        <v>36062</v>
      </c>
      <c r="E553" s="14">
        <v>-2.0836593667885595E-3</v>
      </c>
      <c r="F553" s="14">
        <v>-1.950761081604524E-3</v>
      </c>
      <c r="G553" s="14">
        <v>-6.4305235517925219E-4</v>
      </c>
      <c r="H553" s="14">
        <v>-7.4016606851117221E-4</v>
      </c>
    </row>
    <row r="554" spans="2:8" x14ac:dyDescent="0.25">
      <c r="B554" s="29">
        <v>546</v>
      </c>
      <c r="C554" s="30">
        <v>0.39680232558139533</v>
      </c>
      <c r="D554" s="28">
        <v>36063</v>
      </c>
      <c r="E554" s="14">
        <v>-2.0791619745029744E-3</v>
      </c>
      <c r="F554" s="14">
        <v>-1.9278170226244562E-3</v>
      </c>
      <c r="G554" s="14">
        <v>-6.4030734752695828E-4</v>
      </c>
      <c r="H554" s="14">
        <v>-7.3252852908498609E-4</v>
      </c>
    </row>
    <row r="555" spans="2:8" x14ac:dyDescent="0.25">
      <c r="B555" s="29">
        <v>547</v>
      </c>
      <c r="C555" s="30">
        <v>0.39752906976744184</v>
      </c>
      <c r="D555" s="28">
        <v>36066</v>
      </c>
      <c r="E555" s="14">
        <v>-2.079018238298258E-3</v>
      </c>
      <c r="F555" s="14">
        <v>-1.9178187699773197E-3</v>
      </c>
      <c r="G555" s="14">
        <v>-6.3879887627926735E-4</v>
      </c>
      <c r="H555" s="14">
        <v>-7.1345571217214005E-4</v>
      </c>
    </row>
    <row r="556" spans="2:8" x14ac:dyDescent="0.25">
      <c r="B556" s="29">
        <v>548</v>
      </c>
      <c r="C556" s="30">
        <v>0.39825581395348836</v>
      </c>
      <c r="D556" s="28">
        <v>36067</v>
      </c>
      <c r="E556" s="14">
        <v>-2.0736237043783579E-3</v>
      </c>
      <c r="F556" s="14">
        <v>-1.9149574325727503E-3</v>
      </c>
      <c r="G556" s="14">
        <v>-6.2754941951659315E-4</v>
      </c>
      <c r="H556" s="14">
        <v>-6.9478911405469485E-4</v>
      </c>
    </row>
    <row r="557" spans="2:8" x14ac:dyDescent="0.25">
      <c r="B557" s="29">
        <v>549</v>
      </c>
      <c r="C557" s="30">
        <v>0.39898255813953487</v>
      </c>
      <c r="D557" s="28">
        <v>36068</v>
      </c>
      <c r="E557" s="14">
        <v>-2.0621827411165805E-3</v>
      </c>
      <c r="F557" s="14">
        <v>-1.8858056294244196E-3</v>
      </c>
      <c r="G557" s="14">
        <v>-6.2683212439573754E-4</v>
      </c>
      <c r="H557" s="14">
        <v>-6.8759786203123033E-4</v>
      </c>
    </row>
    <row r="558" spans="2:8" x14ac:dyDescent="0.25">
      <c r="B558" s="29">
        <v>550</v>
      </c>
      <c r="C558" s="30">
        <v>0.39970930232558138</v>
      </c>
      <c r="D558" s="28">
        <v>36069</v>
      </c>
      <c r="E558" s="14">
        <v>-1.9777363394924974E-3</v>
      </c>
      <c r="F558" s="14">
        <v>-1.8632026189314699E-3</v>
      </c>
      <c r="G558" s="14">
        <v>-6.164882587010867E-4</v>
      </c>
      <c r="H558" s="14">
        <v>-6.7110276972075504E-4</v>
      </c>
    </row>
    <row r="559" spans="2:8" x14ac:dyDescent="0.25">
      <c r="B559" s="29">
        <v>551</v>
      </c>
      <c r="C559" s="30">
        <v>0.4004360465116279</v>
      </c>
      <c r="D559" s="28">
        <v>36070</v>
      </c>
      <c r="E559" s="14">
        <v>-1.9540791402051783E-3</v>
      </c>
      <c r="F559" s="14">
        <v>-1.847721685903525E-3</v>
      </c>
      <c r="G559" s="14">
        <v>-5.7683987886358867E-4</v>
      </c>
      <c r="H559" s="14">
        <v>-6.6297026923300972E-4</v>
      </c>
    </row>
    <row r="560" spans="2:8" x14ac:dyDescent="0.25">
      <c r="B560" s="29">
        <v>552</v>
      </c>
      <c r="C560" s="30">
        <v>0.40116279069767441</v>
      </c>
      <c r="D560" s="28">
        <v>36073</v>
      </c>
      <c r="E560" s="14">
        <v>-1.9410406522384349E-3</v>
      </c>
      <c r="F560" s="14">
        <v>-1.8282403779945611E-3</v>
      </c>
      <c r="G560" s="14">
        <v>-5.6791271677081312E-4</v>
      </c>
      <c r="H560" s="14">
        <v>-6.4431109435403322E-4</v>
      </c>
    </row>
    <row r="561" spans="2:8" x14ac:dyDescent="0.25">
      <c r="B561" s="29">
        <v>553</v>
      </c>
      <c r="C561" s="30">
        <v>0.40188953488372092</v>
      </c>
      <c r="D561" s="28">
        <v>36074</v>
      </c>
      <c r="E561" s="14">
        <v>-1.9343065659065406E-3</v>
      </c>
      <c r="F561" s="14">
        <v>-1.8274292275473059E-3</v>
      </c>
      <c r="G561" s="14">
        <v>-5.50478916657271E-4</v>
      </c>
      <c r="H561" s="14">
        <v>-6.4425131805405638E-4</v>
      </c>
    </row>
    <row r="562" spans="2:8" x14ac:dyDescent="0.25">
      <c r="B562" s="29">
        <v>554</v>
      </c>
      <c r="C562" s="30">
        <v>0.40261627906976744</v>
      </c>
      <c r="D562" s="28">
        <v>36075</v>
      </c>
      <c r="E562" s="14">
        <v>-1.9342359767891004E-3</v>
      </c>
      <c r="F562" s="14">
        <v>-1.772308756358032E-3</v>
      </c>
      <c r="G562" s="14">
        <v>-5.4970101392248782E-4</v>
      </c>
      <c r="H562" s="14">
        <v>-6.3960193437260235E-4</v>
      </c>
    </row>
    <row r="563" spans="2:8" x14ac:dyDescent="0.25">
      <c r="B563" s="29">
        <v>555</v>
      </c>
      <c r="C563" s="30">
        <v>0.40334302325581395</v>
      </c>
      <c r="D563" s="28">
        <v>36076</v>
      </c>
      <c r="E563" s="14">
        <v>-1.9312188962342658E-3</v>
      </c>
      <c r="F563" s="14">
        <v>-1.7673679606537984E-3</v>
      </c>
      <c r="G563" s="14">
        <v>-5.3285440447536914E-4</v>
      </c>
      <c r="H563" s="14">
        <v>-6.2815081067260138E-4</v>
      </c>
    </row>
    <row r="564" spans="2:8" x14ac:dyDescent="0.25">
      <c r="B564" s="29">
        <v>556</v>
      </c>
      <c r="C564" s="30">
        <v>0.40406976744186046</v>
      </c>
      <c r="D564" s="28">
        <v>36077</v>
      </c>
      <c r="E564" s="14">
        <v>-1.9244014192699721E-3</v>
      </c>
      <c r="F564" s="14">
        <v>-1.7548045470987539E-3</v>
      </c>
      <c r="G564" s="14">
        <v>-5.3147513877405128E-4</v>
      </c>
      <c r="H564" s="14">
        <v>-6.2524472767266914E-4</v>
      </c>
    </row>
    <row r="565" spans="2:8" x14ac:dyDescent="0.25">
      <c r="B565" s="29">
        <v>557</v>
      </c>
      <c r="C565" s="30">
        <v>0.40479651162790697</v>
      </c>
      <c r="D565" s="28">
        <v>36080</v>
      </c>
      <c r="E565" s="14">
        <v>-1.9209250279745849E-3</v>
      </c>
      <c r="F565" s="14">
        <v>-1.7523600332705058E-3</v>
      </c>
      <c r="G565" s="14">
        <v>-5.0866526730741768E-4</v>
      </c>
      <c r="H565" s="14">
        <v>-6.2193452929739648E-4</v>
      </c>
    </row>
    <row r="566" spans="2:8" x14ac:dyDescent="0.25">
      <c r="B566" s="29">
        <v>558</v>
      </c>
      <c r="C566" s="30">
        <v>0.40552325581395349</v>
      </c>
      <c r="D566" s="28">
        <v>36081</v>
      </c>
      <c r="E566" s="14">
        <v>-1.9196638777210229E-3</v>
      </c>
      <c r="F566" s="14">
        <v>-1.7253341123202315E-3</v>
      </c>
      <c r="G566" s="14">
        <v>-5.0020809031203761E-4</v>
      </c>
      <c r="H566" s="14">
        <v>-6.0115201040344957E-4</v>
      </c>
    </row>
    <row r="567" spans="2:8" x14ac:dyDescent="0.25">
      <c r="B567" s="29">
        <v>559</v>
      </c>
      <c r="C567" s="30">
        <v>0.40625</v>
      </c>
      <c r="D567" s="28">
        <v>36082</v>
      </c>
      <c r="E567" s="14">
        <v>-1.903175924824474E-3</v>
      </c>
      <c r="F567" s="14">
        <v>-1.7165103521501468E-3</v>
      </c>
      <c r="G567" s="14">
        <v>-4.9042227694595653E-4</v>
      </c>
      <c r="H567" s="14">
        <v>-5.8715406551579363E-4</v>
      </c>
    </row>
    <row r="568" spans="2:8" x14ac:dyDescent="0.25">
      <c r="B568" s="29">
        <v>560</v>
      </c>
      <c r="C568" s="30">
        <v>0.40697674418604651</v>
      </c>
      <c r="D568" s="28">
        <v>36083</v>
      </c>
      <c r="E568" s="14">
        <v>-1.8788849087246762E-3</v>
      </c>
      <c r="F568" s="14">
        <v>-1.698832546470963E-3</v>
      </c>
      <c r="G568" s="14">
        <v>-4.8488379708511165E-4</v>
      </c>
      <c r="H568" s="14">
        <v>-5.8063250269317905E-4</v>
      </c>
    </row>
    <row r="569" spans="2:8" x14ac:dyDescent="0.25">
      <c r="B569" s="29">
        <v>561</v>
      </c>
      <c r="C569" s="30">
        <v>0.40770348837209303</v>
      </c>
      <c r="D569" s="28">
        <v>36084</v>
      </c>
      <c r="E569" s="14">
        <v>-1.8627590122056725E-3</v>
      </c>
      <c r="F569" s="14">
        <v>-1.6568783789038255E-3</v>
      </c>
      <c r="G569" s="14">
        <v>-4.7169811320735278E-4</v>
      </c>
      <c r="H569" s="14">
        <v>-5.7561883665338E-4</v>
      </c>
    </row>
    <row r="570" spans="2:8" x14ac:dyDescent="0.25">
      <c r="B570" s="29">
        <v>562</v>
      </c>
      <c r="C570" s="30">
        <v>0.40843023255813954</v>
      </c>
      <c r="D570" s="28">
        <v>36087</v>
      </c>
      <c r="E570" s="14">
        <v>-1.8494967043004573E-3</v>
      </c>
      <c r="F570" s="14">
        <v>-1.6361675289299216E-3</v>
      </c>
      <c r="G570" s="14">
        <v>-4.661691515254196E-4</v>
      </c>
      <c r="H570" s="14">
        <v>-5.6743839358810457E-4</v>
      </c>
    </row>
    <row r="571" spans="2:8" x14ac:dyDescent="0.25">
      <c r="B571" s="29">
        <v>563</v>
      </c>
      <c r="C571" s="30">
        <v>0.40915697674418605</v>
      </c>
      <c r="D571" s="28">
        <v>36088</v>
      </c>
      <c r="E571" s="14">
        <v>-1.8476396234562431E-3</v>
      </c>
      <c r="F571" s="14">
        <v>-1.6231386265106451E-3</v>
      </c>
      <c r="G571" s="14">
        <v>-4.6358456056172503E-4</v>
      </c>
      <c r="H571" s="14">
        <v>-5.5513525935588746E-4</v>
      </c>
    </row>
    <row r="572" spans="2:8" x14ac:dyDescent="0.25">
      <c r="B572" s="29">
        <v>564</v>
      </c>
      <c r="C572" s="30">
        <v>0.40988372093023256</v>
      </c>
      <c r="D572" s="28">
        <v>36089</v>
      </c>
      <c r="E572" s="14">
        <v>-1.8456534285659076E-3</v>
      </c>
      <c r="F572" s="14">
        <v>-1.6215339711367349E-3</v>
      </c>
      <c r="G572" s="14">
        <v>-4.5983769870072688E-4</v>
      </c>
      <c r="H572" s="14">
        <v>-5.5347780457923887E-4</v>
      </c>
    </row>
    <row r="573" spans="2:8" x14ac:dyDescent="0.25">
      <c r="B573" s="29">
        <v>565</v>
      </c>
      <c r="C573" s="30">
        <v>0.41061046511627908</v>
      </c>
      <c r="D573" s="28">
        <v>36090</v>
      </c>
      <c r="E573" s="14">
        <v>-1.8380187100878187E-3</v>
      </c>
      <c r="F573" s="14">
        <v>-1.6130116271255712E-3</v>
      </c>
      <c r="G573" s="14">
        <v>-4.5364633367450669E-4</v>
      </c>
      <c r="H573" s="14">
        <v>-5.4360977694276622E-4</v>
      </c>
    </row>
    <row r="574" spans="2:8" x14ac:dyDescent="0.25">
      <c r="B574" s="29">
        <v>566</v>
      </c>
      <c r="C574" s="30">
        <v>0.41133720930232559</v>
      </c>
      <c r="D574" s="28">
        <v>36091</v>
      </c>
      <c r="E574" s="14">
        <v>-1.800824893983588E-3</v>
      </c>
      <c r="F574" s="14">
        <v>-1.6058704668722168E-3</v>
      </c>
      <c r="G574" s="14">
        <v>-4.4691627768378428E-4</v>
      </c>
      <c r="H574" s="14">
        <v>-5.4182503268691568E-4</v>
      </c>
    </row>
    <row r="575" spans="2:8" x14ac:dyDescent="0.25">
      <c r="B575" s="29">
        <v>567</v>
      </c>
      <c r="C575" s="30">
        <v>0.4120639534883721</v>
      </c>
      <c r="D575" s="28">
        <v>36094</v>
      </c>
      <c r="E575" s="14">
        <v>-1.7958983845267618E-3</v>
      </c>
      <c r="F575" s="14">
        <v>-1.577852191767537E-3</v>
      </c>
      <c r="G575" s="14">
        <v>-4.4603033006229698E-4</v>
      </c>
      <c r="H575" s="14">
        <v>-5.2625996785518039E-4</v>
      </c>
    </row>
    <row r="576" spans="2:8" x14ac:dyDescent="0.25">
      <c r="B576" s="29">
        <v>568</v>
      </c>
      <c r="C576" s="30">
        <v>0.41279069767441862</v>
      </c>
      <c r="D576" s="28">
        <v>36095</v>
      </c>
      <c r="E576" s="14">
        <v>-1.7740635878675803E-3</v>
      </c>
      <c r="F576" s="14">
        <v>-1.5628871481120354E-3</v>
      </c>
      <c r="G576" s="14">
        <v>-4.3663355528866798E-4</v>
      </c>
      <c r="H576" s="14">
        <v>-5.2421367644650552E-4</v>
      </c>
    </row>
    <row r="577" spans="2:8" x14ac:dyDescent="0.25">
      <c r="B577" s="29">
        <v>569</v>
      </c>
      <c r="C577" s="30">
        <v>0.41351744186046513</v>
      </c>
      <c r="D577" s="28">
        <v>36096</v>
      </c>
      <c r="E577" s="14">
        <v>-1.7257278131512788E-3</v>
      </c>
      <c r="F577" s="14">
        <v>-1.5217630449927411E-3</v>
      </c>
      <c r="G577" s="14">
        <v>-4.1133339428589544E-4</v>
      </c>
      <c r="H577" s="14">
        <v>-5.0861835928208701E-4</v>
      </c>
    </row>
    <row r="578" spans="2:8" x14ac:dyDescent="0.25">
      <c r="B578" s="29">
        <v>570</v>
      </c>
      <c r="C578" s="30">
        <v>0.41424418604651164</v>
      </c>
      <c r="D578" s="28">
        <v>36097</v>
      </c>
      <c r="E578" s="14">
        <v>-1.7163478623363204E-3</v>
      </c>
      <c r="F578" s="14">
        <v>-1.5205122956810646E-3</v>
      </c>
      <c r="G578" s="14">
        <v>-4.0619741194236614E-4</v>
      </c>
      <c r="H578" s="14">
        <v>-4.9502246281032405E-4</v>
      </c>
    </row>
    <row r="579" spans="2:8" x14ac:dyDescent="0.25">
      <c r="B579" s="29">
        <v>571</v>
      </c>
      <c r="C579" s="30">
        <v>0.41497093023255816</v>
      </c>
      <c r="D579" s="28">
        <v>36098</v>
      </c>
      <c r="E579" s="14">
        <v>-1.6790144185362399E-3</v>
      </c>
      <c r="F579" s="14">
        <v>-1.5099294272115094E-3</v>
      </c>
      <c r="G579" s="14">
        <v>-4.0490231141299127E-4</v>
      </c>
      <c r="H579" s="14">
        <v>-4.7583890256017733E-4</v>
      </c>
    </row>
    <row r="580" spans="2:8" x14ac:dyDescent="0.25">
      <c r="B580" s="29">
        <v>572</v>
      </c>
      <c r="C580" s="30">
        <v>0.41569767441860467</v>
      </c>
      <c r="D580" s="28">
        <v>36101</v>
      </c>
      <c r="E580" s="14">
        <v>-1.6545004048179601E-3</v>
      </c>
      <c r="F580" s="14">
        <v>-1.5064578302576015E-3</v>
      </c>
      <c r="G580" s="14">
        <v>-3.9508668555543469E-4</v>
      </c>
      <c r="H580" s="14">
        <v>-4.7230445194752519E-4</v>
      </c>
    </row>
    <row r="581" spans="2:8" x14ac:dyDescent="0.25">
      <c r="B581" s="29">
        <v>573</v>
      </c>
      <c r="C581" s="30">
        <v>0.41642441860465118</v>
      </c>
      <c r="D581" s="28">
        <v>36102</v>
      </c>
      <c r="E581" s="14">
        <v>-1.6136518009726153E-3</v>
      </c>
      <c r="F581" s="14">
        <v>-1.5005708693526243E-3</v>
      </c>
      <c r="G581" s="14">
        <v>-3.8355426926217628E-4</v>
      </c>
      <c r="H581" s="14">
        <v>-4.6808584973092595E-4</v>
      </c>
    </row>
    <row r="582" spans="2:8" x14ac:dyDescent="0.25">
      <c r="B582" s="29">
        <v>574</v>
      </c>
      <c r="C582" s="30">
        <v>0.41715116279069769</v>
      </c>
      <c r="D582" s="28">
        <v>36103</v>
      </c>
      <c r="E582" s="14">
        <v>-1.6074668884438204E-3</v>
      </c>
      <c r="F582" s="14">
        <v>-1.4497873154648566E-3</v>
      </c>
      <c r="G582" s="14">
        <v>-3.7905109155733641E-4</v>
      </c>
      <c r="H582" s="14">
        <v>-4.4829330471543019E-4</v>
      </c>
    </row>
    <row r="583" spans="2:8" x14ac:dyDescent="0.25">
      <c r="B583" s="29">
        <v>575</v>
      </c>
      <c r="C583" s="30">
        <v>0.41787790697674421</v>
      </c>
      <c r="D583" s="28">
        <v>36104</v>
      </c>
      <c r="E583" s="14">
        <v>-1.5381942399905757E-3</v>
      </c>
      <c r="F583" s="14">
        <v>-1.4433974730378996E-3</v>
      </c>
      <c r="G583" s="14">
        <v>-3.7737629133438588E-4</v>
      </c>
      <c r="H583" s="14">
        <v>-4.4327074585148745E-4</v>
      </c>
    </row>
    <row r="584" spans="2:8" x14ac:dyDescent="0.25">
      <c r="B584" s="29">
        <v>576</v>
      </c>
      <c r="C584" s="30">
        <v>0.41860465116279072</v>
      </c>
      <c r="D584" s="28">
        <v>36105</v>
      </c>
      <c r="E584" s="14">
        <v>-1.5343005374267582E-3</v>
      </c>
      <c r="F584" s="14">
        <v>-1.4134182264903261E-3</v>
      </c>
      <c r="G584" s="14">
        <v>-3.7056643726818272E-4</v>
      </c>
      <c r="H584" s="14">
        <v>-4.4106536932688768E-4</v>
      </c>
    </row>
    <row r="585" spans="2:8" x14ac:dyDescent="0.25">
      <c r="B585" s="29">
        <v>577</v>
      </c>
      <c r="C585" s="30">
        <v>0.41933139534883723</v>
      </c>
      <c r="D585" s="28">
        <v>36108</v>
      </c>
      <c r="E585" s="14">
        <v>-1.5337225608029748E-3</v>
      </c>
      <c r="F585" s="14">
        <v>-1.3787417915114286E-3</v>
      </c>
      <c r="G585" s="14">
        <v>-3.6190361300425522E-4</v>
      </c>
      <c r="H585" s="14">
        <v>-4.4001683501697646E-4</v>
      </c>
    </row>
    <row r="586" spans="2:8" x14ac:dyDescent="0.25">
      <c r="B586" s="29">
        <v>578</v>
      </c>
      <c r="C586" s="30">
        <v>0.42005813953488375</v>
      </c>
      <c r="D586" s="28">
        <v>36109</v>
      </c>
      <c r="E586" s="14">
        <v>-1.5308725973803838E-3</v>
      </c>
      <c r="F586" s="14">
        <v>-1.3646211417799314E-3</v>
      </c>
      <c r="G586" s="14">
        <v>-3.3649262520318857E-4</v>
      </c>
      <c r="H586" s="14">
        <v>-4.3742214085837913E-4</v>
      </c>
    </row>
    <row r="587" spans="2:8" x14ac:dyDescent="0.25">
      <c r="B587" s="29">
        <v>579</v>
      </c>
      <c r="C587" s="30">
        <v>0.42078488372093026</v>
      </c>
      <c r="D587" s="28">
        <v>36110</v>
      </c>
      <c r="E587" s="14">
        <v>-1.5272709121180172E-3</v>
      </c>
      <c r="F587" s="14">
        <v>-1.3536195787535732E-3</v>
      </c>
      <c r="G587" s="14">
        <v>-3.3355428845560642E-4</v>
      </c>
      <c r="H587" s="14">
        <v>-4.2179876024017759E-4</v>
      </c>
    </row>
    <row r="588" spans="2:8" x14ac:dyDescent="0.25">
      <c r="B588" s="29">
        <v>580</v>
      </c>
      <c r="C588" s="30">
        <v>0.42151162790697677</v>
      </c>
      <c r="D588" s="28">
        <v>36111</v>
      </c>
      <c r="E588" s="14">
        <v>-1.5132045135518579E-3</v>
      </c>
      <c r="F588" s="14">
        <v>-1.3317126360760101E-3</v>
      </c>
      <c r="G588" s="14">
        <v>-2.9123149074916643E-4</v>
      </c>
      <c r="H588" s="14">
        <v>-3.9534595892718464E-4</v>
      </c>
    </row>
    <row r="589" spans="2:8" x14ac:dyDescent="0.25">
      <c r="B589" s="29">
        <v>581</v>
      </c>
      <c r="C589" s="30">
        <v>0.42223837209302323</v>
      </c>
      <c r="D589" s="28">
        <v>36112</v>
      </c>
      <c r="E589" s="14">
        <v>-1.5041817829465343E-3</v>
      </c>
      <c r="F589" s="14">
        <v>-1.3161043311797904E-3</v>
      </c>
      <c r="G589" s="14">
        <v>-2.8951711499292099E-4</v>
      </c>
      <c r="H589" s="14">
        <v>-3.9511676206880345E-4</v>
      </c>
    </row>
    <row r="590" spans="2:8" x14ac:dyDescent="0.25">
      <c r="B590" s="29">
        <v>582</v>
      </c>
      <c r="C590" s="30">
        <v>0.42296511627906974</v>
      </c>
      <c r="D590" s="28">
        <v>36115</v>
      </c>
      <c r="E590" s="14">
        <v>-1.483958330847357E-3</v>
      </c>
      <c r="F590" s="14">
        <v>-1.2843674137638095E-3</v>
      </c>
      <c r="G590" s="14">
        <v>-2.8877184810616185E-4</v>
      </c>
      <c r="H590" s="14">
        <v>-3.8805648377706616E-4</v>
      </c>
    </row>
    <row r="591" spans="2:8" x14ac:dyDescent="0.25">
      <c r="B591" s="29">
        <v>583</v>
      </c>
      <c r="C591" s="30">
        <v>0.42369186046511625</v>
      </c>
      <c r="D591" s="28">
        <v>36116</v>
      </c>
      <c r="E591" s="14">
        <v>-1.4808024539012532E-3</v>
      </c>
      <c r="F591" s="14">
        <v>-1.2830094668658809E-3</v>
      </c>
      <c r="G591" s="14">
        <v>-2.6727962794670379E-4</v>
      </c>
      <c r="H591" s="14">
        <v>-3.7829006813971927E-4</v>
      </c>
    </row>
    <row r="592" spans="2:8" x14ac:dyDescent="0.25">
      <c r="B592" s="29">
        <v>584</v>
      </c>
      <c r="C592" s="30">
        <v>0.42441860465116277</v>
      </c>
      <c r="D592" s="28">
        <v>36117</v>
      </c>
      <c r="E592" s="14">
        <v>-1.4780752176056788E-3</v>
      </c>
      <c r="F592" s="14">
        <v>-1.2699084607651345E-3</v>
      </c>
      <c r="G592" s="14">
        <v>-2.6400111852409314E-4</v>
      </c>
      <c r="H592" s="14">
        <v>-3.7182736284218092E-4</v>
      </c>
    </row>
    <row r="593" spans="2:8" x14ac:dyDescent="0.25">
      <c r="B593" s="29">
        <v>585</v>
      </c>
      <c r="C593" s="30">
        <v>0.42514534883720928</v>
      </c>
      <c r="D593" s="28">
        <v>36118</v>
      </c>
      <c r="E593" s="14">
        <v>-1.4665145836726401E-3</v>
      </c>
      <c r="F593" s="14">
        <v>-1.2673348094627279E-3</v>
      </c>
      <c r="G593" s="14">
        <v>-2.2997757718634659E-4</v>
      </c>
      <c r="H593" s="14">
        <v>-3.5863283324455436E-4</v>
      </c>
    </row>
    <row r="594" spans="2:8" x14ac:dyDescent="0.25">
      <c r="B594" s="29">
        <v>586</v>
      </c>
      <c r="C594" s="30">
        <v>0.42587209302325579</v>
      </c>
      <c r="D594" s="28">
        <v>36119</v>
      </c>
      <c r="E594" s="14">
        <v>-1.4601016547278745E-3</v>
      </c>
      <c r="F594" s="14">
        <v>-1.2522430642517568E-3</v>
      </c>
      <c r="G594" s="14">
        <v>-2.1634485369670386E-4</v>
      </c>
      <c r="H594" s="14">
        <v>-3.5038960775990468E-4</v>
      </c>
    </row>
    <row r="595" spans="2:8" x14ac:dyDescent="0.25">
      <c r="B595" s="29">
        <v>587</v>
      </c>
      <c r="C595" s="30">
        <v>0.42659883720930231</v>
      </c>
      <c r="D595" s="28">
        <v>36122</v>
      </c>
      <c r="E595" s="14">
        <v>-1.451841359773276E-3</v>
      </c>
      <c r="F595" s="14">
        <v>-1.2513884787896945E-3</v>
      </c>
      <c r="G595" s="14">
        <v>-1.9388697981226333E-4</v>
      </c>
      <c r="H595" s="14">
        <v>-3.4222019136860289E-4</v>
      </c>
    </row>
    <row r="596" spans="2:8" x14ac:dyDescent="0.25">
      <c r="B596" s="29">
        <v>588</v>
      </c>
      <c r="C596" s="30">
        <v>0.42732558139534882</v>
      </c>
      <c r="D596" s="28">
        <v>36123</v>
      </c>
      <c r="E596" s="14">
        <v>-1.4495691665994404E-3</v>
      </c>
      <c r="F596" s="14">
        <v>-1.2331682479065353E-3</v>
      </c>
      <c r="G596" s="14">
        <v>-1.9263025838534009E-4</v>
      </c>
      <c r="H596" s="14">
        <v>-3.4150186151071793E-4</v>
      </c>
    </row>
    <row r="597" spans="2:8" x14ac:dyDescent="0.25">
      <c r="B597" s="29">
        <v>589</v>
      </c>
      <c r="C597" s="30">
        <v>0.42805232558139533</v>
      </c>
      <c r="D597" s="28">
        <v>36124</v>
      </c>
      <c r="E597" s="14">
        <v>-1.4486578610991563E-3</v>
      </c>
      <c r="F597" s="14">
        <v>-1.2243906086437661E-3</v>
      </c>
      <c r="G597" s="14">
        <v>-1.9224299514597476E-4</v>
      </c>
      <c r="H597" s="14">
        <v>-3.1855985464721579E-4</v>
      </c>
    </row>
    <row r="598" spans="2:8" x14ac:dyDescent="0.25">
      <c r="B598" s="29">
        <v>590</v>
      </c>
      <c r="C598" s="30">
        <v>0.42877906976744184</v>
      </c>
      <c r="D598" s="28">
        <v>36125</v>
      </c>
      <c r="E598" s="14">
        <v>-1.4414235299964329E-3</v>
      </c>
      <c r="F598" s="14">
        <v>-1.1962236580088659E-3</v>
      </c>
      <c r="G598" s="14">
        <v>-1.7452440291398919E-4</v>
      </c>
      <c r="H598" s="14">
        <v>-3.1757721116183475E-4</v>
      </c>
    </row>
    <row r="599" spans="2:8" x14ac:dyDescent="0.25">
      <c r="B599" s="29">
        <v>591</v>
      </c>
      <c r="C599" s="30">
        <v>0.42950581395348836</v>
      </c>
      <c r="D599" s="28">
        <v>36126</v>
      </c>
      <c r="E599" s="14">
        <v>-1.4299332697805811E-3</v>
      </c>
      <c r="F599" s="14">
        <v>-1.1757370624386754E-3</v>
      </c>
      <c r="G599" s="14">
        <v>-1.710716265809209E-4</v>
      </c>
      <c r="H599" s="14">
        <v>-3.0887700306108127E-4</v>
      </c>
    </row>
    <row r="600" spans="2:8" x14ac:dyDescent="0.25">
      <c r="B600" s="29">
        <v>592</v>
      </c>
      <c r="C600" s="30">
        <v>0.43023255813953487</v>
      </c>
      <c r="D600" s="28">
        <v>36129</v>
      </c>
      <c r="E600" s="14">
        <v>-1.4088916718846267E-3</v>
      </c>
      <c r="F600" s="14">
        <v>-1.1482020835665852E-3</v>
      </c>
      <c r="G600" s="14">
        <v>-1.6908082939981472E-4</v>
      </c>
      <c r="H600" s="14">
        <v>-3.0381750254477869E-4</v>
      </c>
    </row>
    <row r="601" spans="2:8" x14ac:dyDescent="0.25">
      <c r="B601" s="29">
        <v>593</v>
      </c>
      <c r="C601" s="30">
        <v>0.43095930232558138</v>
      </c>
      <c r="D601" s="28">
        <v>36130</v>
      </c>
      <c r="E601" s="14">
        <v>-1.4023060143347754E-3</v>
      </c>
      <c r="F601" s="14">
        <v>-1.1341323041504925E-3</v>
      </c>
      <c r="G601" s="14">
        <v>-1.6322089227438497E-4</v>
      </c>
      <c r="H601" s="14">
        <v>-2.9642258248350215E-4</v>
      </c>
    </row>
    <row r="602" spans="2:8" x14ac:dyDescent="0.25">
      <c r="B602" s="29">
        <v>594</v>
      </c>
      <c r="C602" s="30">
        <v>0.4316860465116279</v>
      </c>
      <c r="D602" s="28">
        <v>36131</v>
      </c>
      <c r="E602" s="14">
        <v>-1.3971639178402828E-3</v>
      </c>
      <c r="F602" s="14">
        <v>-1.0781045263803524E-3</v>
      </c>
      <c r="G602" s="14">
        <v>-1.5963390624162965E-4</v>
      </c>
      <c r="H602" s="14">
        <v>-2.8787152346378977E-4</v>
      </c>
    </row>
    <row r="603" spans="2:8" x14ac:dyDescent="0.25">
      <c r="B603" s="29">
        <v>595</v>
      </c>
      <c r="C603" s="30">
        <v>0.43241279069767441</v>
      </c>
      <c r="D603" s="28">
        <v>36132</v>
      </c>
      <c r="E603" s="14">
        <v>-1.3951866062086316E-3</v>
      </c>
      <c r="F603" s="14">
        <v>-1.059191131039583E-3</v>
      </c>
      <c r="G603" s="14">
        <v>-1.5944724953509404E-4</v>
      </c>
      <c r="H603" s="14">
        <v>-2.866167508365435E-4</v>
      </c>
    </row>
    <row r="604" spans="2:8" x14ac:dyDescent="0.25">
      <c r="B604" s="29">
        <v>596</v>
      </c>
      <c r="C604" s="30">
        <v>0.43313953488372092</v>
      </c>
      <c r="D604" s="28">
        <v>36133</v>
      </c>
      <c r="E604" s="14">
        <v>-1.3840219880231208E-3</v>
      </c>
      <c r="F604" s="14">
        <v>-1.0397466798998112E-3</v>
      </c>
      <c r="G604" s="14">
        <v>-1.5249326488064874E-4</v>
      </c>
      <c r="H604" s="14">
        <v>-2.8608596654970935E-4</v>
      </c>
    </row>
    <row r="605" spans="2:8" x14ac:dyDescent="0.25">
      <c r="B605" s="29">
        <v>597</v>
      </c>
      <c r="C605" s="30">
        <v>0.43386627906976744</v>
      </c>
      <c r="D605" s="28">
        <v>36136</v>
      </c>
      <c r="E605" s="14">
        <v>-1.3736263736262577E-3</v>
      </c>
      <c r="F605" s="14">
        <v>-1.0316220824436728E-3</v>
      </c>
      <c r="G605" s="14">
        <v>-1.4666340747981899E-4</v>
      </c>
      <c r="H605" s="14">
        <v>-2.658185069027044E-4</v>
      </c>
    </row>
    <row r="606" spans="2:8" x14ac:dyDescent="0.25">
      <c r="B606" s="29">
        <v>598</v>
      </c>
      <c r="C606" s="30">
        <v>0.43459302325581395</v>
      </c>
      <c r="D606" s="28">
        <v>36137</v>
      </c>
      <c r="E606" s="14">
        <v>-1.3490725126475978E-3</v>
      </c>
      <c r="F606" s="14">
        <v>-1.0254734874266536E-3</v>
      </c>
      <c r="G606" s="14">
        <v>-1.4066676044433013E-4</v>
      </c>
      <c r="H606" s="14">
        <v>-2.5415603807221743E-4</v>
      </c>
    </row>
    <row r="607" spans="2:8" x14ac:dyDescent="0.25">
      <c r="B607" s="29">
        <v>599</v>
      </c>
      <c r="C607" s="30">
        <v>0.43531976744186046</v>
      </c>
      <c r="D607" s="28">
        <v>36138</v>
      </c>
      <c r="E607" s="14">
        <v>-1.2529256906398389E-3</v>
      </c>
      <c r="F607" s="14">
        <v>-9.6631324654417039E-4</v>
      </c>
      <c r="G607" s="14">
        <v>-1.3162985568071495E-4</v>
      </c>
      <c r="H607" s="14">
        <v>-2.4230818573971473E-4</v>
      </c>
    </row>
    <row r="608" spans="2:8" x14ac:dyDescent="0.25">
      <c r="B608" s="29">
        <v>600</v>
      </c>
      <c r="C608" s="30">
        <v>0.43604651162790697</v>
      </c>
      <c r="D608" s="28">
        <v>36139</v>
      </c>
      <c r="E608" s="14">
        <v>-1.2450319356759332E-3</v>
      </c>
      <c r="F608" s="14">
        <v>-9.4607379375599709E-4</v>
      </c>
      <c r="G608" s="14">
        <v>-1.2012058420607374E-4</v>
      </c>
      <c r="H608" s="14">
        <v>-2.3305111753759713E-4</v>
      </c>
    </row>
    <row r="609" spans="2:8" x14ac:dyDescent="0.25">
      <c r="B609" s="29">
        <v>601</v>
      </c>
      <c r="C609" s="30">
        <v>0.43677325581395349</v>
      </c>
      <c r="D609" s="28">
        <v>36140</v>
      </c>
      <c r="E609" s="14">
        <v>-1.2195121951219523E-3</v>
      </c>
      <c r="F609" s="14">
        <v>-9.1927466788155332E-4</v>
      </c>
      <c r="G609" s="14">
        <v>-1.1739136322364008E-4</v>
      </c>
      <c r="H609" s="14">
        <v>-2.2484084668401567E-4</v>
      </c>
    </row>
    <row r="610" spans="2:8" x14ac:dyDescent="0.25">
      <c r="B610" s="29">
        <v>602</v>
      </c>
      <c r="C610" s="30">
        <v>0.4375</v>
      </c>
      <c r="D610" s="28">
        <v>36143</v>
      </c>
      <c r="E610" s="14">
        <v>-1.2098377089130308E-3</v>
      </c>
      <c r="F610" s="14">
        <v>-9.003121081974097E-4</v>
      </c>
      <c r="G610" s="14">
        <v>-1.1083461312433318E-4</v>
      </c>
      <c r="H610" s="14">
        <v>-2.2264177051602995E-4</v>
      </c>
    </row>
    <row r="611" spans="2:8" x14ac:dyDescent="0.25">
      <c r="B611" s="29">
        <v>603</v>
      </c>
      <c r="C611" s="30">
        <v>0.43822674418604651</v>
      </c>
      <c r="D611" s="28">
        <v>36144</v>
      </c>
      <c r="E611" s="14">
        <v>-1.1968880909636326E-3</v>
      </c>
      <c r="F611" s="14">
        <v>-8.8235029306638069E-4</v>
      </c>
      <c r="G611" s="14">
        <v>-9.7016735386867836E-5</v>
      </c>
      <c r="H611" s="14">
        <v>-2.17843600817291E-4</v>
      </c>
    </row>
    <row r="612" spans="2:8" x14ac:dyDescent="0.25">
      <c r="B612" s="29">
        <v>604</v>
      </c>
      <c r="C612" s="30">
        <v>0.43895348837209303</v>
      </c>
      <c r="D612" s="28">
        <v>36145</v>
      </c>
      <c r="E612" s="14">
        <v>-1.172452970411797E-3</v>
      </c>
      <c r="F612" s="14">
        <v>-8.6495079131299057E-4</v>
      </c>
      <c r="G612" s="14">
        <v>-9.461633077867404E-5</v>
      </c>
      <c r="H612" s="14">
        <v>-2.1754529365582988E-4</v>
      </c>
    </row>
    <row r="613" spans="2:8" x14ac:dyDescent="0.25">
      <c r="B613" s="29">
        <v>605</v>
      </c>
      <c r="C613" s="30">
        <v>0.43968023255813954</v>
      </c>
      <c r="D613" s="28">
        <v>36146</v>
      </c>
      <c r="E613" s="14">
        <v>-1.1696579229942827E-3</v>
      </c>
      <c r="F613" s="14">
        <v>-8.5531004989314319E-4</v>
      </c>
      <c r="G613" s="14">
        <v>-9.3462311322900504E-5</v>
      </c>
      <c r="H613" s="14">
        <v>-2.1505561310699586E-4</v>
      </c>
    </row>
    <row r="614" spans="2:8" x14ac:dyDescent="0.25">
      <c r="B614" s="29">
        <v>606</v>
      </c>
      <c r="C614" s="30">
        <v>0.44040697674418605</v>
      </c>
      <c r="D614" s="28">
        <v>36147</v>
      </c>
      <c r="E614" s="14">
        <v>-1.1574286711616422E-3</v>
      </c>
      <c r="F614" s="14">
        <v>-8.5028182728308366E-4</v>
      </c>
      <c r="G614" s="14">
        <v>-8.979379367435314E-5</v>
      </c>
      <c r="H614" s="14">
        <v>-1.7734137857843284E-4</v>
      </c>
    </row>
    <row r="615" spans="2:8" x14ac:dyDescent="0.25">
      <c r="B615" s="29">
        <v>607</v>
      </c>
      <c r="C615" s="30">
        <v>0.44113372093023256</v>
      </c>
      <c r="D615" s="28">
        <v>36150</v>
      </c>
      <c r="E615" s="14">
        <v>-1.150965112549307E-3</v>
      </c>
      <c r="F615" s="14">
        <v>-8.4973435072566161E-4</v>
      </c>
      <c r="G615" s="14">
        <v>-8.5517617119612588E-5</v>
      </c>
      <c r="H615" s="14">
        <v>-1.7008402691494069E-4</v>
      </c>
    </row>
    <row r="616" spans="2:8" x14ac:dyDescent="0.25">
      <c r="B616" s="29">
        <v>608</v>
      </c>
      <c r="C616" s="30">
        <v>0.44186046511627908</v>
      </c>
      <c r="D616" s="28">
        <v>36151</v>
      </c>
      <c r="E616" s="14">
        <v>-1.1494181637577983E-3</v>
      </c>
      <c r="F616" s="14">
        <v>-8.2323969876596514E-4</v>
      </c>
      <c r="G616" s="14">
        <v>-5.8607776055707994E-5</v>
      </c>
      <c r="H616" s="14">
        <v>-1.6716102775697888E-4</v>
      </c>
    </row>
    <row r="617" spans="2:8" x14ac:dyDescent="0.25">
      <c r="B617" s="29">
        <v>609</v>
      </c>
      <c r="C617" s="30">
        <v>0.44258720930232559</v>
      </c>
      <c r="D617" s="28">
        <v>36152</v>
      </c>
      <c r="E617" s="14">
        <v>-1.1000715919606829E-3</v>
      </c>
      <c r="F617" s="14">
        <v>-8.1342696781538937E-4</v>
      </c>
      <c r="G617" s="14">
        <v>-5.7713015568339188E-5</v>
      </c>
      <c r="H617" s="14">
        <v>-1.5932794167845539E-4</v>
      </c>
    </row>
    <row r="618" spans="2:8" x14ac:dyDescent="0.25">
      <c r="B618" s="29">
        <v>610</v>
      </c>
      <c r="C618" s="30">
        <v>0.4433139534883721</v>
      </c>
      <c r="D618" s="28">
        <v>36153</v>
      </c>
      <c r="E618" s="14">
        <v>-1.0683047339253848E-3</v>
      </c>
      <c r="F618" s="14">
        <v>-8.0054728323353253E-4</v>
      </c>
      <c r="G618" s="14">
        <v>-5.6748115077054351E-5</v>
      </c>
      <c r="H618" s="14">
        <v>-1.5520915883118216E-4</v>
      </c>
    </row>
    <row r="619" spans="2:8" x14ac:dyDescent="0.25">
      <c r="B619" s="29">
        <v>611</v>
      </c>
      <c r="C619" s="30">
        <v>0.44404069767441862</v>
      </c>
      <c r="D619" s="28">
        <v>36154</v>
      </c>
      <c r="E619" s="14">
        <v>-1.056566970090933E-3</v>
      </c>
      <c r="F619" s="14">
        <v>-7.6537413035426827E-4</v>
      </c>
      <c r="G619" s="14">
        <v>-5.6242490190649974E-5</v>
      </c>
      <c r="H619" s="14">
        <v>-1.5286073232569926E-4</v>
      </c>
    </row>
    <row r="620" spans="2:8" x14ac:dyDescent="0.25">
      <c r="B620" s="29">
        <v>612</v>
      </c>
      <c r="C620" s="30">
        <v>0.44476744186046513</v>
      </c>
      <c r="D620" s="28">
        <v>36157</v>
      </c>
      <c r="E620" s="14">
        <v>-1.0492491310903906E-3</v>
      </c>
      <c r="F620" s="14">
        <v>-7.5463392393926298E-4</v>
      </c>
      <c r="G620" s="14">
        <v>-5.5427691862175443E-5</v>
      </c>
      <c r="H620" s="14">
        <v>-1.420573495514387E-4</v>
      </c>
    </row>
    <row r="621" spans="2:8" x14ac:dyDescent="0.25">
      <c r="B621" s="29">
        <v>613</v>
      </c>
      <c r="C621" s="30">
        <v>0.44549418604651164</v>
      </c>
      <c r="D621" s="28">
        <v>36158</v>
      </c>
      <c r="E621" s="14">
        <v>-1.0385015027101208E-3</v>
      </c>
      <c r="F621" s="14">
        <v>-7.4542897327700697E-4</v>
      </c>
      <c r="G621" s="14">
        <v>-5.4791518272812034E-5</v>
      </c>
      <c r="H621" s="14">
        <v>-1.4179192715668693E-4</v>
      </c>
    </row>
    <row r="622" spans="2:8" x14ac:dyDescent="0.25">
      <c r="B622" s="29">
        <v>614</v>
      </c>
      <c r="C622" s="30">
        <v>0.44622093023255816</v>
      </c>
      <c r="D622" s="28">
        <v>36159</v>
      </c>
      <c r="E622" s="14">
        <v>-1.0087385417754113E-3</v>
      </c>
      <c r="F622" s="14">
        <v>-6.8369917236410505E-4</v>
      </c>
      <c r="G622" s="14">
        <v>-5.4319999765128912E-5</v>
      </c>
      <c r="H622" s="14">
        <v>-1.2878970406946522E-4</v>
      </c>
    </row>
    <row r="623" spans="2:8" x14ac:dyDescent="0.25">
      <c r="B623" s="29">
        <v>615</v>
      </c>
      <c r="C623" s="30">
        <v>0.44694767441860467</v>
      </c>
      <c r="D623" s="28">
        <v>36160</v>
      </c>
      <c r="E623" s="14">
        <v>-9.4475392535608993E-4</v>
      </c>
      <c r="F623" s="14">
        <v>-6.7316371647563322E-4</v>
      </c>
      <c r="G623" s="14">
        <v>0</v>
      </c>
      <c r="H623" s="14">
        <v>-1.1912809176879425E-4</v>
      </c>
    </row>
    <row r="624" spans="2:8" x14ac:dyDescent="0.25">
      <c r="B624" s="29">
        <v>616</v>
      </c>
      <c r="C624" s="30">
        <v>0.44767441860465118</v>
      </c>
      <c r="D624" s="28">
        <v>36161</v>
      </c>
      <c r="E624" s="14">
        <v>-8.746353931966544E-4</v>
      </c>
      <c r="F624" s="14">
        <v>-6.684069333671161E-4</v>
      </c>
      <c r="G624" s="14">
        <v>0</v>
      </c>
      <c r="H624" s="14">
        <v>-1.164356227487675E-4</v>
      </c>
    </row>
    <row r="625" spans="2:8" x14ac:dyDescent="0.25">
      <c r="B625" s="29">
        <v>617</v>
      </c>
      <c r="C625" s="30">
        <v>0.44840116279069769</v>
      </c>
      <c r="D625" s="28">
        <v>36164</v>
      </c>
      <c r="E625" s="14">
        <v>-8.6205173629616549E-4</v>
      </c>
      <c r="F625" s="14">
        <v>-6.6834448981289984E-4</v>
      </c>
      <c r="G625" s="14">
        <v>0</v>
      </c>
      <c r="H625" s="14">
        <v>-1.0141600928150753E-4</v>
      </c>
    </row>
    <row r="626" spans="2:8" x14ac:dyDescent="0.25">
      <c r="B626" s="29">
        <v>618</v>
      </c>
      <c r="C626" s="30">
        <v>0.44912790697674421</v>
      </c>
      <c r="D626" s="28">
        <v>36165</v>
      </c>
      <c r="E626" s="14">
        <v>-8.2410113813602415E-4</v>
      </c>
      <c r="F626" s="14">
        <v>-6.3607525259523623E-4</v>
      </c>
      <c r="G626" s="14">
        <v>0</v>
      </c>
      <c r="H626" s="14">
        <v>-9.1278096303604227E-5</v>
      </c>
    </row>
    <row r="627" spans="2:8" x14ac:dyDescent="0.25">
      <c r="B627" s="29">
        <v>619</v>
      </c>
      <c r="C627" s="30">
        <v>0.44985465116279072</v>
      </c>
      <c r="D627" s="28">
        <v>36166</v>
      </c>
      <c r="E627" s="14">
        <v>-8.1106787714246842E-4</v>
      </c>
      <c r="F627" s="14">
        <v>-6.0764576893612698E-4</v>
      </c>
      <c r="G627" s="14">
        <v>0</v>
      </c>
      <c r="H627" s="14">
        <v>-8.400305802460647E-5</v>
      </c>
    </row>
    <row r="628" spans="2:8" x14ac:dyDescent="0.25">
      <c r="B628" s="29">
        <v>620</v>
      </c>
      <c r="C628" s="30">
        <v>0.45058139534883723</v>
      </c>
      <c r="D628" s="28">
        <v>36167</v>
      </c>
      <c r="E628" s="14">
        <v>-8.0474816278386374E-4</v>
      </c>
      <c r="F628" s="14">
        <v>-6.0627834912652112E-4</v>
      </c>
      <c r="G628" s="14">
        <v>0</v>
      </c>
      <c r="H628" s="14">
        <v>-7.6103731738230446E-5</v>
      </c>
    </row>
    <row r="629" spans="2:8" x14ac:dyDescent="0.25">
      <c r="B629" s="29">
        <v>621</v>
      </c>
      <c r="C629" s="30">
        <v>0.45130813953488375</v>
      </c>
      <c r="D629" s="28">
        <v>36168</v>
      </c>
      <c r="E629" s="14">
        <v>-8.0361627322966811E-4</v>
      </c>
      <c r="F629" s="14">
        <v>-5.6458300252282267E-4</v>
      </c>
      <c r="G629" s="14">
        <v>0</v>
      </c>
      <c r="H629" s="14">
        <v>-7.268637398074595E-5</v>
      </c>
    </row>
    <row r="630" spans="2:8" x14ac:dyDescent="0.25">
      <c r="B630" s="29">
        <v>622</v>
      </c>
      <c r="C630" s="30">
        <v>0.45203488372093026</v>
      </c>
      <c r="D630" s="28">
        <v>36171</v>
      </c>
      <c r="E630" s="14">
        <v>-7.9101972973660839E-4</v>
      </c>
      <c r="F630" s="14">
        <v>-5.0800101600201319E-4</v>
      </c>
      <c r="G630" s="14">
        <v>0</v>
      </c>
      <c r="H630" s="14">
        <v>-6.6590110615427623E-5</v>
      </c>
    </row>
    <row r="631" spans="2:8" x14ac:dyDescent="0.25">
      <c r="B631" s="29">
        <v>623</v>
      </c>
      <c r="C631" s="30">
        <v>0.45276162790697677</v>
      </c>
      <c r="D631" s="28">
        <v>36172</v>
      </c>
      <c r="E631" s="14">
        <v>-7.7794376617190686E-4</v>
      </c>
      <c r="F631" s="14">
        <v>-5.0424468661569577E-4</v>
      </c>
      <c r="G631" s="14">
        <v>0</v>
      </c>
      <c r="H631" s="14">
        <v>-6.0557003196648604E-5</v>
      </c>
    </row>
    <row r="632" spans="2:8" x14ac:dyDescent="0.25">
      <c r="B632" s="29">
        <v>624</v>
      </c>
      <c r="C632" s="30">
        <v>0.45348837209302323</v>
      </c>
      <c r="D632" s="28">
        <v>36173</v>
      </c>
      <c r="E632" s="14">
        <v>-7.7513763920256107E-4</v>
      </c>
      <c r="F632" s="14">
        <v>-4.4842735126582323E-4</v>
      </c>
      <c r="G632" s="14">
        <v>0</v>
      </c>
      <c r="H632" s="14">
        <v>-5.8387998033038722E-5</v>
      </c>
    </row>
    <row r="633" spans="2:8" x14ac:dyDescent="0.25">
      <c r="B633" s="29">
        <v>625</v>
      </c>
      <c r="C633" s="30">
        <v>0.45421511627906974</v>
      </c>
      <c r="D633" s="28">
        <v>36174</v>
      </c>
      <c r="E633" s="14">
        <v>-7.7060044534582595E-4</v>
      </c>
      <c r="F633" s="14">
        <v>-4.2231469655151788E-4</v>
      </c>
      <c r="G633" s="14">
        <v>0</v>
      </c>
      <c r="H633" s="14">
        <v>-3.9036903815814485E-5</v>
      </c>
    </row>
    <row r="634" spans="2:8" x14ac:dyDescent="0.25">
      <c r="B634" s="29">
        <v>626</v>
      </c>
      <c r="C634" s="30">
        <v>0.45494186046511625</v>
      </c>
      <c r="D634" s="28">
        <v>36175</v>
      </c>
      <c r="E634" s="14">
        <v>-7.4807949457600387E-4</v>
      </c>
      <c r="F634" s="14">
        <v>-4.2106149603160503E-4</v>
      </c>
      <c r="G634" s="14">
        <v>0</v>
      </c>
      <c r="H634" s="14">
        <v>-2.7806087764492516E-5</v>
      </c>
    </row>
    <row r="635" spans="2:8" x14ac:dyDescent="0.25">
      <c r="B635" s="29">
        <v>627</v>
      </c>
      <c r="C635" s="30">
        <v>0.45566860465116277</v>
      </c>
      <c r="D635" s="28">
        <v>36178</v>
      </c>
      <c r="E635" s="14">
        <v>-7.2825556035960304E-4</v>
      </c>
      <c r="F635" s="14">
        <v>-3.5720257185856141E-4</v>
      </c>
      <c r="G635" s="14">
        <v>0</v>
      </c>
      <c r="H635" s="14">
        <v>-2.2138356184431556E-5</v>
      </c>
    </row>
    <row r="636" spans="2:8" x14ac:dyDescent="0.25">
      <c r="B636" s="29">
        <v>628</v>
      </c>
      <c r="C636" s="30">
        <v>0.45639534883720928</v>
      </c>
      <c r="D636" s="28">
        <v>36179</v>
      </c>
      <c r="E636" s="14">
        <v>-7.2608152375808199E-4</v>
      </c>
      <c r="F636" s="14">
        <v>-3.3702349639896934E-4</v>
      </c>
      <c r="G636" s="14">
        <v>0</v>
      </c>
      <c r="H636" s="14">
        <v>-2.1554890297004105E-5</v>
      </c>
    </row>
    <row r="637" spans="2:8" x14ac:dyDescent="0.25">
      <c r="B637" s="29">
        <v>629</v>
      </c>
      <c r="C637" s="30">
        <v>0.45712209302325579</v>
      </c>
      <c r="D637" s="28">
        <v>36180</v>
      </c>
      <c r="E637" s="14">
        <v>-7.2205542012837576E-4</v>
      </c>
      <c r="F637" s="14">
        <v>-3.246111722697842E-4</v>
      </c>
      <c r="G637" s="14">
        <v>0</v>
      </c>
      <c r="H637" s="14">
        <v>0</v>
      </c>
    </row>
    <row r="638" spans="2:8" x14ac:dyDescent="0.25">
      <c r="B638" s="29">
        <v>630</v>
      </c>
      <c r="C638" s="30">
        <v>0.45784883720930231</v>
      </c>
      <c r="D638" s="28">
        <v>36181</v>
      </c>
      <c r="E638" s="14">
        <v>-7.1771115388385986E-4</v>
      </c>
      <c r="F638" s="14">
        <v>-2.8672921611405666E-4</v>
      </c>
      <c r="G638" s="14">
        <v>0</v>
      </c>
      <c r="H638" s="14">
        <v>0</v>
      </c>
    </row>
    <row r="639" spans="2:8" x14ac:dyDescent="0.25">
      <c r="B639" s="29">
        <v>631</v>
      </c>
      <c r="C639" s="30">
        <v>0.45857558139534882</v>
      </c>
      <c r="D639" s="28">
        <v>36182</v>
      </c>
      <c r="E639" s="14">
        <v>-7.1276755837779149E-4</v>
      </c>
      <c r="F639" s="14">
        <v>-2.2773541285669996E-4</v>
      </c>
      <c r="G639" s="14">
        <v>0</v>
      </c>
      <c r="H639" s="14">
        <v>0</v>
      </c>
    </row>
    <row r="640" spans="2:8" x14ac:dyDescent="0.25">
      <c r="B640" s="29">
        <v>632</v>
      </c>
      <c r="C640" s="30">
        <v>0.45930232558139533</v>
      </c>
      <c r="D640" s="28">
        <v>36185</v>
      </c>
      <c r="E640" s="14">
        <v>-7.1068057116230321E-4</v>
      </c>
      <c r="F640" s="14">
        <v>-2.2343404157276758E-4</v>
      </c>
      <c r="G640" s="14">
        <v>0</v>
      </c>
      <c r="H640" s="14">
        <v>0</v>
      </c>
    </row>
    <row r="641" spans="2:8" x14ac:dyDescent="0.25">
      <c r="B641" s="29">
        <v>633</v>
      </c>
      <c r="C641" s="30">
        <v>0.46002906976744184</v>
      </c>
      <c r="D641" s="28">
        <v>36186</v>
      </c>
      <c r="E641" s="14">
        <v>-7.0534297302071725E-4</v>
      </c>
      <c r="F641" s="14">
        <v>-1.9491684708072832E-4</v>
      </c>
      <c r="G641" s="14">
        <v>0</v>
      </c>
      <c r="H641" s="14">
        <v>0</v>
      </c>
    </row>
    <row r="642" spans="2:8" x14ac:dyDescent="0.25">
      <c r="B642" s="29">
        <v>634</v>
      </c>
      <c r="C642" s="30">
        <v>0.46075581395348836</v>
      </c>
      <c r="D642" s="28">
        <v>36187</v>
      </c>
      <c r="E642" s="14">
        <v>-6.8496349237578968E-4</v>
      </c>
      <c r="F642" s="14">
        <v>-1.7443403738959251E-4</v>
      </c>
      <c r="G642" s="14">
        <v>0</v>
      </c>
      <c r="H642" s="14">
        <v>0</v>
      </c>
    </row>
    <row r="643" spans="2:8" x14ac:dyDescent="0.25">
      <c r="B643" s="29">
        <v>635</v>
      </c>
      <c r="C643" s="30">
        <v>0.46148255813953487</v>
      </c>
      <c r="D643" s="28">
        <v>36188</v>
      </c>
      <c r="E643" s="14">
        <v>-6.7773636055579178E-4</v>
      </c>
      <c r="F643" s="14">
        <v>-1.6519368960110636E-4</v>
      </c>
      <c r="G643" s="14">
        <v>0</v>
      </c>
      <c r="H643" s="14">
        <v>0</v>
      </c>
    </row>
    <row r="644" spans="2:8" x14ac:dyDescent="0.25">
      <c r="B644" s="29">
        <v>636</v>
      </c>
      <c r="C644" s="30">
        <v>0.46220930232558138</v>
      </c>
      <c r="D644" s="28">
        <v>36189</v>
      </c>
      <c r="E644" s="14">
        <v>-6.7330739389881433E-4</v>
      </c>
      <c r="F644" s="14">
        <v>-1.1353315168038947E-4</v>
      </c>
      <c r="G644" s="14">
        <v>0</v>
      </c>
      <c r="H644" s="14">
        <v>0</v>
      </c>
    </row>
    <row r="645" spans="2:8" x14ac:dyDescent="0.25">
      <c r="B645" s="29">
        <v>637</v>
      </c>
      <c r="C645" s="30">
        <v>0.4629360465116279</v>
      </c>
      <c r="D645" s="28">
        <v>36192</v>
      </c>
      <c r="E645" s="14">
        <v>-6.621420294654623E-4</v>
      </c>
      <c r="F645" s="14">
        <v>-9.7592259539536208E-5</v>
      </c>
      <c r="G645" s="14">
        <v>0</v>
      </c>
      <c r="H645" s="14">
        <v>0</v>
      </c>
    </row>
    <row r="646" spans="2:8" x14ac:dyDescent="0.25">
      <c r="B646" s="29">
        <v>638</v>
      </c>
      <c r="C646" s="30">
        <v>0.46366279069767441</v>
      </c>
      <c r="D646" s="28">
        <v>36193</v>
      </c>
      <c r="E646" s="14">
        <v>-6.5428654326726843E-4</v>
      </c>
      <c r="F646" s="14">
        <v>-9.1268420424395202E-5</v>
      </c>
      <c r="G646" s="14">
        <v>0</v>
      </c>
      <c r="H646" s="14">
        <v>0</v>
      </c>
    </row>
    <row r="647" spans="2:8" x14ac:dyDescent="0.25">
      <c r="B647" s="29">
        <v>639</v>
      </c>
      <c r="C647" s="30">
        <v>0.46438953488372092</v>
      </c>
      <c r="D647" s="28">
        <v>36194</v>
      </c>
      <c r="E647" s="14">
        <v>-6.5411744928833837E-4</v>
      </c>
      <c r="F647" s="14">
        <v>-8.4492999754881559E-5</v>
      </c>
      <c r="G647" s="14">
        <v>5.3656704405158351E-5</v>
      </c>
      <c r="H647" s="14">
        <v>0</v>
      </c>
    </row>
    <row r="648" spans="2:8" x14ac:dyDescent="0.25">
      <c r="B648" s="29">
        <v>640</v>
      </c>
      <c r="C648" s="30">
        <v>0.46511627906976744</v>
      </c>
      <c r="D648" s="28">
        <v>36195</v>
      </c>
      <c r="E648" s="14">
        <v>-6.5008938729060883E-4</v>
      </c>
      <c r="F648" s="14">
        <v>0</v>
      </c>
      <c r="G648" s="14">
        <v>5.4764512595895098E-5</v>
      </c>
      <c r="H648" s="14">
        <v>0</v>
      </c>
    </row>
    <row r="649" spans="2:8" x14ac:dyDescent="0.25">
      <c r="B649" s="29">
        <v>641</v>
      </c>
      <c r="C649" s="30">
        <v>0.46584302325581395</v>
      </c>
      <c r="D649" s="28">
        <v>36196</v>
      </c>
      <c r="E649" s="14">
        <v>-6.4735394076720354E-4</v>
      </c>
      <c r="F649" s="14">
        <v>0</v>
      </c>
      <c r="G649" s="14">
        <v>5.6898544171790633E-5</v>
      </c>
      <c r="H649" s="14">
        <v>1.6572110168211295E-5</v>
      </c>
    </row>
    <row r="650" spans="2:8" x14ac:dyDescent="0.25">
      <c r="B650" s="29">
        <v>642</v>
      </c>
      <c r="C650" s="30">
        <v>0.46656976744186046</v>
      </c>
      <c r="D650" s="28">
        <v>36199</v>
      </c>
      <c r="E650" s="14">
        <v>-6.4609917622349133E-4</v>
      </c>
      <c r="F650" s="14">
        <v>0</v>
      </c>
      <c r="G650" s="14">
        <v>5.7551784784282134E-5</v>
      </c>
      <c r="H650" s="14">
        <v>1.9557234593370245E-5</v>
      </c>
    </row>
    <row r="651" spans="2:8" x14ac:dyDescent="0.25">
      <c r="B651" s="29">
        <v>643</v>
      </c>
      <c r="C651" s="30">
        <v>0.46729651162790697</v>
      </c>
      <c r="D651" s="28">
        <v>36200</v>
      </c>
      <c r="E651" s="14">
        <v>-6.1628531248036911E-4</v>
      </c>
      <c r="F651" s="14">
        <v>0</v>
      </c>
      <c r="G651" s="14">
        <v>5.7951291049240794E-5</v>
      </c>
      <c r="H651" s="14">
        <v>2.2492038852162306E-5</v>
      </c>
    </row>
    <row r="652" spans="2:8" x14ac:dyDescent="0.25">
      <c r="B652" s="29">
        <v>644</v>
      </c>
      <c r="C652" s="30">
        <v>0.46802325581395349</v>
      </c>
      <c r="D652" s="28">
        <v>36201</v>
      </c>
      <c r="E652" s="14">
        <v>-5.9170567039590338E-4</v>
      </c>
      <c r="F652" s="14">
        <v>0</v>
      </c>
      <c r="G652" s="14">
        <v>5.7976458925468322E-5</v>
      </c>
      <c r="H652" s="14">
        <v>2.3497382251891417E-5</v>
      </c>
    </row>
    <row r="653" spans="2:8" x14ac:dyDescent="0.25">
      <c r="B653" s="29">
        <v>645</v>
      </c>
      <c r="C653" s="30">
        <v>0.46875</v>
      </c>
      <c r="D653" s="28">
        <v>36202</v>
      </c>
      <c r="E653" s="14">
        <v>-5.9029267356347503E-4</v>
      </c>
      <c r="F653" s="14">
        <v>0</v>
      </c>
      <c r="G653" s="14">
        <v>6.5978408318567716E-5</v>
      </c>
      <c r="H653" s="14">
        <v>2.942618930843466E-5</v>
      </c>
    </row>
    <row r="654" spans="2:8" x14ac:dyDescent="0.25">
      <c r="B654" s="29">
        <v>646</v>
      </c>
      <c r="C654" s="30">
        <v>0.46947674418604651</v>
      </c>
      <c r="D654" s="28">
        <v>36203</v>
      </c>
      <c r="E654" s="14">
        <v>-5.8595398543925814E-4</v>
      </c>
      <c r="F654" s="14">
        <v>0</v>
      </c>
      <c r="G654" s="14">
        <v>9.7356763861133899E-5</v>
      </c>
      <c r="H654" s="14">
        <v>4.231329608539449E-5</v>
      </c>
    </row>
    <row r="655" spans="2:8" x14ac:dyDescent="0.25">
      <c r="B655" s="29">
        <v>647</v>
      </c>
      <c r="C655" s="30">
        <v>0.47020348837209303</v>
      </c>
      <c r="D655" s="28">
        <v>36206</v>
      </c>
      <c r="E655" s="14">
        <v>-5.2544162628131996E-4</v>
      </c>
      <c r="F655" s="14">
        <v>0</v>
      </c>
      <c r="G655" s="14">
        <v>1.0996865893231345E-4</v>
      </c>
      <c r="H655" s="14">
        <v>4.7358113369355695E-5</v>
      </c>
    </row>
    <row r="656" spans="2:8" x14ac:dyDescent="0.25">
      <c r="B656" s="29">
        <v>648</v>
      </c>
      <c r="C656" s="30">
        <v>0.47093023255813954</v>
      </c>
      <c r="D656" s="28">
        <v>36207</v>
      </c>
      <c r="E656" s="14">
        <v>-5.2368016234083381E-4</v>
      </c>
      <c r="F656" s="14">
        <v>0</v>
      </c>
      <c r="G656" s="14">
        <v>1.176293814948437E-4</v>
      </c>
      <c r="H656" s="14">
        <v>4.8490244744270496E-5</v>
      </c>
    </row>
    <row r="657" spans="2:8" x14ac:dyDescent="0.25">
      <c r="B657" s="29">
        <v>649</v>
      </c>
      <c r="C657" s="30">
        <v>0.47165697674418605</v>
      </c>
      <c r="D657" s="28">
        <v>36208</v>
      </c>
      <c r="E657" s="14">
        <v>-5.1506109318644189E-4</v>
      </c>
      <c r="F657" s="14">
        <v>0</v>
      </c>
      <c r="G657" s="14">
        <v>1.315601740605743E-4</v>
      </c>
      <c r="H657" s="14">
        <v>5.5574080248987916E-5</v>
      </c>
    </row>
    <row r="658" spans="2:8" x14ac:dyDescent="0.25">
      <c r="B658" s="29">
        <v>650</v>
      </c>
      <c r="C658" s="30">
        <v>0.47238372093023256</v>
      </c>
      <c r="D658" s="28">
        <v>36209</v>
      </c>
      <c r="E658" s="14">
        <v>-4.7949904644251085E-4</v>
      </c>
      <c r="F658" s="14">
        <v>0</v>
      </c>
      <c r="G658" s="14">
        <v>1.4713094654217329E-4</v>
      </c>
      <c r="H658" s="14">
        <v>6.1848709156331295E-5</v>
      </c>
    </row>
    <row r="659" spans="2:8" x14ac:dyDescent="0.25">
      <c r="B659" s="29">
        <v>651</v>
      </c>
      <c r="C659" s="30">
        <v>0.47311046511627908</v>
      </c>
      <c r="D659" s="28">
        <v>36210</v>
      </c>
      <c r="E659" s="14">
        <v>-4.7397011428673697E-4</v>
      </c>
      <c r="F659" s="14">
        <v>0</v>
      </c>
      <c r="G659" s="14">
        <v>1.6270537433227261E-4</v>
      </c>
      <c r="H659" s="14">
        <v>6.5487030664535288E-5</v>
      </c>
    </row>
    <row r="660" spans="2:8" x14ac:dyDescent="0.25">
      <c r="B660" s="29">
        <v>652</v>
      </c>
      <c r="C660" s="30">
        <v>0.47383720930232559</v>
      </c>
      <c r="D660" s="28">
        <v>36213</v>
      </c>
      <c r="E660" s="14">
        <v>-4.2989408440208265E-4</v>
      </c>
      <c r="F660" s="14">
        <v>0</v>
      </c>
      <c r="G660" s="14">
        <v>1.658701045077482E-4</v>
      </c>
      <c r="H660" s="14">
        <v>7.2544455886269831E-5</v>
      </c>
    </row>
    <row r="661" spans="2:8" x14ac:dyDescent="0.25">
      <c r="B661" s="29">
        <v>653</v>
      </c>
      <c r="C661" s="30">
        <v>0.4745639534883721</v>
      </c>
      <c r="D661" s="28">
        <v>36214</v>
      </c>
      <c r="E661" s="14">
        <v>-4.1642705586075746E-4</v>
      </c>
      <c r="F661" s="14">
        <v>0</v>
      </c>
      <c r="G661" s="14">
        <v>1.9130033853231865E-4</v>
      </c>
      <c r="H661" s="14">
        <v>7.3381548303030875E-5</v>
      </c>
    </row>
    <row r="662" spans="2:8" x14ac:dyDescent="0.25">
      <c r="B662" s="29">
        <v>654</v>
      </c>
      <c r="C662" s="30">
        <v>0.47529069767441862</v>
      </c>
      <c r="D662" s="28">
        <v>36215</v>
      </c>
      <c r="E662" s="14">
        <v>-3.9711805752540297E-4</v>
      </c>
      <c r="F662" s="14">
        <v>0</v>
      </c>
      <c r="G662" s="14">
        <v>2.2858449054230512E-4</v>
      </c>
      <c r="H662" s="14">
        <v>8.2046285647763262E-5</v>
      </c>
    </row>
    <row r="663" spans="2:8" x14ac:dyDescent="0.25">
      <c r="B663" s="29">
        <v>655</v>
      </c>
      <c r="C663" s="30">
        <v>0.47601744186046513</v>
      </c>
      <c r="D663" s="28">
        <v>36216</v>
      </c>
      <c r="E663" s="14">
        <v>-3.6557342803411608E-4</v>
      </c>
      <c r="F663" s="14">
        <v>0</v>
      </c>
      <c r="G663" s="14">
        <v>2.3376773590166877E-4</v>
      </c>
      <c r="H663" s="14">
        <v>8.4998250163570497E-5</v>
      </c>
    </row>
    <row r="664" spans="2:8" x14ac:dyDescent="0.25">
      <c r="B664" s="29">
        <v>656</v>
      </c>
      <c r="C664" s="30">
        <v>0.47674418604651164</v>
      </c>
      <c r="D664" s="28">
        <v>36217</v>
      </c>
      <c r="E664" s="14">
        <v>-3.6396408887662268E-4</v>
      </c>
      <c r="F664" s="14">
        <v>0</v>
      </c>
      <c r="G664" s="14">
        <v>2.3679056684677846E-4</v>
      </c>
      <c r="H664" s="14">
        <v>8.6541785507820976E-5</v>
      </c>
    </row>
    <row r="665" spans="2:8" x14ac:dyDescent="0.25">
      <c r="B665" s="29">
        <v>657</v>
      </c>
      <c r="C665" s="30">
        <v>0.47747093023255816</v>
      </c>
      <c r="D665" s="28">
        <v>36220</v>
      </c>
      <c r="E665" s="14">
        <v>-3.6090834299706831E-4</v>
      </c>
      <c r="F665" s="14">
        <v>0</v>
      </c>
      <c r="G665" s="14">
        <v>2.4695825170906183E-4</v>
      </c>
      <c r="H665" s="14">
        <v>8.7136579147450727E-5</v>
      </c>
    </row>
    <row r="666" spans="2:8" x14ac:dyDescent="0.25">
      <c r="B666" s="29">
        <v>658</v>
      </c>
      <c r="C666" s="30">
        <v>0.47819767441860467</v>
      </c>
      <c r="D666" s="28">
        <v>36221</v>
      </c>
      <c r="E666" s="14">
        <v>-3.6066362106290661E-4</v>
      </c>
      <c r="F666" s="14">
        <v>0</v>
      </c>
      <c r="G666" s="14">
        <v>2.7522430781101725E-4</v>
      </c>
      <c r="H666" s="14">
        <v>8.9580803518041186E-5</v>
      </c>
    </row>
    <row r="667" spans="2:8" x14ac:dyDescent="0.25">
      <c r="B667" s="29">
        <v>659</v>
      </c>
      <c r="C667" s="30">
        <v>0.47892441860465118</v>
      </c>
      <c r="D667" s="28">
        <v>36222</v>
      </c>
      <c r="E667" s="14">
        <v>-3.5164997871584003E-4</v>
      </c>
      <c r="F667" s="14">
        <v>0</v>
      </c>
      <c r="G667" s="14">
        <v>2.7787040124493956E-4</v>
      </c>
      <c r="H667" s="14">
        <v>9.5755516179929631E-5</v>
      </c>
    </row>
    <row r="668" spans="2:8" x14ac:dyDescent="0.25">
      <c r="B668" s="29">
        <v>660</v>
      </c>
      <c r="C668" s="30">
        <v>0.47965116279069769</v>
      </c>
      <c r="D668" s="28">
        <v>36223</v>
      </c>
      <c r="E668" s="14">
        <v>-3.3624841388490978E-4</v>
      </c>
      <c r="F668" s="14">
        <v>0</v>
      </c>
      <c r="G668" s="14">
        <v>2.8289649365964564E-4</v>
      </c>
      <c r="H668" s="14">
        <v>9.7266388266170964E-5</v>
      </c>
    </row>
    <row r="669" spans="2:8" x14ac:dyDescent="0.25">
      <c r="B669" s="29">
        <v>661</v>
      </c>
      <c r="C669" s="30">
        <v>0.48037790697674421</v>
      </c>
      <c r="D669" s="28">
        <v>36224</v>
      </c>
      <c r="E669" s="14">
        <v>-3.3321763978677588E-4</v>
      </c>
      <c r="F669" s="14">
        <v>0</v>
      </c>
      <c r="G669" s="14">
        <v>2.8332835358502173E-4</v>
      </c>
      <c r="H669" s="14">
        <v>9.8345857562698487E-5</v>
      </c>
    </row>
    <row r="670" spans="2:8" x14ac:dyDescent="0.25">
      <c r="B670" s="29">
        <v>662</v>
      </c>
      <c r="C670" s="30">
        <v>0.48110465116279072</v>
      </c>
      <c r="D670" s="28">
        <v>36227</v>
      </c>
      <c r="E670" s="14">
        <v>-3.1050765004148051E-4</v>
      </c>
      <c r="F670" s="14">
        <v>0</v>
      </c>
      <c r="G670" s="14">
        <v>3.1343049678755897E-4</v>
      </c>
      <c r="H670" s="14">
        <v>1.0926652762133227E-4</v>
      </c>
    </row>
    <row r="671" spans="2:8" x14ac:dyDescent="0.25">
      <c r="B671" s="29">
        <v>663</v>
      </c>
      <c r="C671" s="30">
        <v>0.48183139534883723</v>
      </c>
      <c r="D671" s="28">
        <v>36228</v>
      </c>
      <c r="E671" s="14">
        <v>-2.4873146950554759E-4</v>
      </c>
      <c r="F671" s="14">
        <v>0</v>
      </c>
      <c r="G671" s="14">
        <v>3.2804782634010543E-4</v>
      </c>
      <c r="H671" s="14">
        <v>1.4238792009759718E-4</v>
      </c>
    </row>
    <row r="672" spans="2:8" x14ac:dyDescent="0.25">
      <c r="B672" s="29">
        <v>664</v>
      </c>
      <c r="C672" s="30">
        <v>0.48255813953488375</v>
      </c>
      <c r="D672" s="28">
        <v>36229</v>
      </c>
      <c r="E672" s="14">
        <v>-1.7186936507873618E-4</v>
      </c>
      <c r="F672" s="14">
        <v>0</v>
      </c>
      <c r="G672" s="14">
        <v>3.3329369523382724E-4</v>
      </c>
      <c r="H672" s="14">
        <v>1.6162043776719588E-4</v>
      </c>
    </row>
    <row r="673" spans="2:8" x14ac:dyDescent="0.25">
      <c r="B673" s="29">
        <v>665</v>
      </c>
      <c r="C673" s="30">
        <v>0.48328488372093026</v>
      </c>
      <c r="D673" s="28">
        <v>36230</v>
      </c>
      <c r="E673" s="14">
        <v>-1.4836761329628523E-4</v>
      </c>
      <c r="F673" s="14">
        <v>0</v>
      </c>
      <c r="G673" s="14">
        <v>3.46689118914556E-4</v>
      </c>
      <c r="H673" s="14">
        <v>1.78916861564371E-4</v>
      </c>
    </row>
    <row r="674" spans="2:8" x14ac:dyDescent="0.25">
      <c r="B674" s="29">
        <v>666</v>
      </c>
      <c r="C674" s="30">
        <v>0.48401162790697677</v>
      </c>
      <c r="D674" s="28">
        <v>36231</v>
      </c>
      <c r="E674" s="14">
        <v>-1.1610356437929958E-4</v>
      </c>
      <c r="F674" s="14">
        <v>0</v>
      </c>
      <c r="G674" s="14">
        <v>3.5450516986723635E-4</v>
      </c>
      <c r="H674" s="14">
        <v>1.8419130766604834E-4</v>
      </c>
    </row>
    <row r="675" spans="2:8" x14ac:dyDescent="0.25">
      <c r="B675" s="29">
        <v>667</v>
      </c>
      <c r="C675" s="30">
        <v>0.48473837209302323</v>
      </c>
      <c r="D675" s="28">
        <v>36234</v>
      </c>
      <c r="E675" s="14">
        <v>0</v>
      </c>
      <c r="F675" s="14">
        <v>0</v>
      </c>
      <c r="G675" s="14">
        <v>3.5911537478106048E-4</v>
      </c>
      <c r="H675" s="14">
        <v>2.0718945778979152E-4</v>
      </c>
    </row>
    <row r="676" spans="2:8" x14ac:dyDescent="0.25">
      <c r="B676" s="29">
        <v>668</v>
      </c>
      <c r="C676" s="30">
        <v>0.48546511627906974</v>
      </c>
      <c r="D676" s="28">
        <v>36235</v>
      </c>
      <c r="E676" s="14">
        <v>0</v>
      </c>
      <c r="F676" s="14">
        <v>0</v>
      </c>
      <c r="G676" s="14">
        <v>3.8057180914319311E-4</v>
      </c>
      <c r="H676" s="14">
        <v>2.1102352843804795E-4</v>
      </c>
    </row>
    <row r="677" spans="2:8" x14ac:dyDescent="0.25">
      <c r="B677" s="29">
        <v>669</v>
      </c>
      <c r="C677" s="30">
        <v>0.48619186046511625</v>
      </c>
      <c r="D677" s="28">
        <v>36236</v>
      </c>
      <c r="E677" s="14">
        <v>0</v>
      </c>
      <c r="F677" s="14">
        <v>0</v>
      </c>
      <c r="G677" s="14">
        <v>3.8408779149512462E-4</v>
      </c>
      <c r="H677" s="14">
        <v>2.1370546989460935E-4</v>
      </c>
    </row>
    <row r="678" spans="2:8" x14ac:dyDescent="0.25">
      <c r="B678" s="29">
        <v>670</v>
      </c>
      <c r="C678" s="30">
        <v>0.48691860465116277</v>
      </c>
      <c r="D678" s="28">
        <v>36237</v>
      </c>
      <c r="E678" s="14">
        <v>0</v>
      </c>
      <c r="F678" s="14">
        <v>0</v>
      </c>
      <c r="G678" s="14">
        <v>3.9106938771826805E-4</v>
      </c>
      <c r="H678" s="14">
        <v>2.2203863983361041E-4</v>
      </c>
    </row>
    <row r="679" spans="2:8" x14ac:dyDescent="0.25">
      <c r="B679" s="29">
        <v>671</v>
      </c>
      <c r="C679" s="30">
        <v>0.48764534883720928</v>
      </c>
      <c r="D679" s="28">
        <v>36238</v>
      </c>
      <c r="E679" s="14">
        <v>0</v>
      </c>
      <c r="F679" s="14">
        <v>0</v>
      </c>
      <c r="G679" s="14">
        <v>3.9524284073944038E-4</v>
      </c>
      <c r="H679" s="14">
        <v>2.246526751403799E-4</v>
      </c>
    </row>
    <row r="680" spans="2:8" x14ac:dyDescent="0.25">
      <c r="B680" s="29">
        <v>672</v>
      </c>
      <c r="C680" s="30">
        <v>0.48837209302325579</v>
      </c>
      <c r="D680" s="28">
        <v>36241</v>
      </c>
      <c r="E680" s="14">
        <v>0</v>
      </c>
      <c r="F680" s="14">
        <v>0</v>
      </c>
      <c r="G680" s="14">
        <v>3.9932334047065865E-4</v>
      </c>
      <c r="H680" s="14">
        <v>2.2513552631759932E-4</v>
      </c>
    </row>
    <row r="681" spans="2:8" x14ac:dyDescent="0.25">
      <c r="B681" s="29">
        <v>673</v>
      </c>
      <c r="C681" s="30">
        <v>0.48909883720930231</v>
      </c>
      <c r="D681" s="28">
        <v>36242</v>
      </c>
      <c r="E681" s="14">
        <v>0</v>
      </c>
      <c r="F681" s="14">
        <v>0</v>
      </c>
      <c r="G681" s="14">
        <v>4.139631893822493E-4</v>
      </c>
      <c r="H681" s="14">
        <v>2.327307318351849E-4</v>
      </c>
    </row>
    <row r="682" spans="2:8" x14ac:dyDescent="0.25">
      <c r="B682" s="29">
        <v>674</v>
      </c>
      <c r="C682" s="30">
        <v>0.48982558139534882</v>
      </c>
      <c r="D682" s="28">
        <v>36243</v>
      </c>
      <c r="E682" s="14">
        <v>0</v>
      </c>
      <c r="F682" s="14">
        <v>0</v>
      </c>
      <c r="G682" s="14">
        <v>4.4182809010306912E-4</v>
      </c>
      <c r="H682" s="14">
        <v>2.3455305517618998E-4</v>
      </c>
    </row>
    <row r="683" spans="2:8" x14ac:dyDescent="0.25">
      <c r="B683" s="29">
        <v>675</v>
      </c>
      <c r="C683" s="30">
        <v>0.49055232558139533</v>
      </c>
      <c r="D683" s="28">
        <v>36244</v>
      </c>
      <c r="E683" s="14">
        <v>0</v>
      </c>
      <c r="F683" s="14">
        <v>0</v>
      </c>
      <c r="G683" s="14">
        <v>4.5220733706408112E-4</v>
      </c>
      <c r="H683" s="14">
        <v>2.4037232000386768E-4</v>
      </c>
    </row>
    <row r="684" spans="2:8" x14ac:dyDescent="0.25">
      <c r="B684" s="29">
        <v>676</v>
      </c>
      <c r="C684" s="30">
        <v>0.49127906976744184</v>
      </c>
      <c r="D684" s="28">
        <v>36245</v>
      </c>
      <c r="E684" s="14">
        <v>0</v>
      </c>
      <c r="F684" s="14">
        <v>0</v>
      </c>
      <c r="G684" s="14">
        <v>4.5319911377639244E-4</v>
      </c>
      <c r="H684" s="14">
        <v>2.4279058042875345E-4</v>
      </c>
    </row>
    <row r="685" spans="2:8" x14ac:dyDescent="0.25">
      <c r="B685" s="29">
        <v>677</v>
      </c>
      <c r="C685" s="30">
        <v>0.49200581395348836</v>
      </c>
      <c r="D685" s="28">
        <v>36248</v>
      </c>
      <c r="E685" s="14">
        <v>0</v>
      </c>
      <c r="F685" s="14">
        <v>0</v>
      </c>
      <c r="G685" s="14">
        <v>4.5643863753075387E-4</v>
      </c>
      <c r="H685" s="14">
        <v>2.5022927218167903E-4</v>
      </c>
    </row>
    <row r="686" spans="2:8" x14ac:dyDescent="0.25">
      <c r="B686" s="29">
        <v>678</v>
      </c>
      <c r="C686" s="30">
        <v>0.49273255813953487</v>
      </c>
      <c r="D686" s="28">
        <v>36249</v>
      </c>
      <c r="E686" s="14">
        <v>0</v>
      </c>
      <c r="F686" s="14">
        <v>0</v>
      </c>
      <c r="G686" s="14">
        <v>4.6004924668752167E-4</v>
      </c>
      <c r="H686" s="14">
        <v>2.6069116715856636E-4</v>
      </c>
    </row>
    <row r="687" spans="2:8" x14ac:dyDescent="0.25">
      <c r="B687" s="29">
        <v>679</v>
      </c>
      <c r="C687" s="30">
        <v>0.49345930232558138</v>
      </c>
      <c r="D687" s="28">
        <v>36250</v>
      </c>
      <c r="E687" s="14">
        <v>0</v>
      </c>
      <c r="F687" s="14">
        <v>0</v>
      </c>
      <c r="G687" s="14">
        <v>4.6943459211346017E-4</v>
      </c>
      <c r="H687" s="14">
        <v>2.7615162480194578E-4</v>
      </c>
    </row>
    <row r="688" spans="2:8" x14ac:dyDescent="0.25">
      <c r="B688" s="29">
        <v>680</v>
      </c>
      <c r="C688" s="30">
        <v>0.4941860465116279</v>
      </c>
      <c r="D688" s="28">
        <v>36251</v>
      </c>
      <c r="E688" s="14">
        <v>0</v>
      </c>
      <c r="F688" s="14">
        <v>0</v>
      </c>
      <c r="G688" s="14">
        <v>5.0994390617042917E-4</v>
      </c>
      <c r="H688" s="14">
        <v>2.9704120882720895E-4</v>
      </c>
    </row>
    <row r="689" spans="2:8" x14ac:dyDescent="0.25">
      <c r="B689" s="29">
        <v>681</v>
      </c>
      <c r="C689" s="30">
        <v>0.49491279069767441</v>
      </c>
      <c r="D689" s="28">
        <v>36252</v>
      </c>
      <c r="E689" s="14">
        <v>0</v>
      </c>
      <c r="F689" s="14">
        <v>0</v>
      </c>
      <c r="G689" s="14">
        <v>5.2015604681376892E-4</v>
      </c>
      <c r="H689" s="14">
        <v>3.0871270356542819E-4</v>
      </c>
    </row>
    <row r="690" spans="2:8" x14ac:dyDescent="0.25">
      <c r="B690" s="29">
        <v>682</v>
      </c>
      <c r="C690" s="30">
        <v>0.49563953488372092</v>
      </c>
      <c r="D690" s="28">
        <v>36255</v>
      </c>
      <c r="E690" s="14">
        <v>0</v>
      </c>
      <c r="F690" s="14">
        <v>0</v>
      </c>
      <c r="G690" s="14">
        <v>5.2326831746629665E-4</v>
      </c>
      <c r="H690" s="14">
        <v>3.1155704257890282E-4</v>
      </c>
    </row>
    <row r="691" spans="2:8" x14ac:dyDescent="0.25">
      <c r="B691" s="29">
        <v>683</v>
      </c>
      <c r="C691" s="30">
        <v>0.49636627906976744</v>
      </c>
      <c r="D691" s="28">
        <v>36256</v>
      </c>
      <c r="E691" s="14">
        <v>0</v>
      </c>
      <c r="F691" s="14">
        <v>0</v>
      </c>
      <c r="G691" s="14">
        <v>5.3127759227966642E-4</v>
      </c>
      <c r="H691" s="14">
        <v>3.2009941488500001E-4</v>
      </c>
    </row>
    <row r="692" spans="2:8" x14ac:dyDescent="0.25">
      <c r="B692" s="29">
        <v>684</v>
      </c>
      <c r="C692" s="30">
        <v>0.49709302325581395</v>
      </c>
      <c r="D692" s="28">
        <v>36257</v>
      </c>
      <c r="E692" s="14">
        <v>0</v>
      </c>
      <c r="F692" s="14">
        <v>0</v>
      </c>
      <c r="G692" s="14">
        <v>5.3742130022960133E-4</v>
      </c>
      <c r="H692" s="14">
        <v>3.7768790556422791E-4</v>
      </c>
    </row>
    <row r="693" spans="2:8" x14ac:dyDescent="0.25">
      <c r="B693" s="29">
        <v>685</v>
      </c>
      <c r="C693" s="30">
        <v>0.49781976744186046</v>
      </c>
      <c r="D693" s="28">
        <v>36258</v>
      </c>
      <c r="E693" s="14">
        <v>0</v>
      </c>
      <c r="F693" s="14">
        <v>0</v>
      </c>
      <c r="G693" s="14">
        <v>5.3960716598311365E-4</v>
      </c>
      <c r="H693" s="14">
        <v>3.8628848263473365E-4</v>
      </c>
    </row>
    <row r="694" spans="2:8" x14ac:dyDescent="0.25">
      <c r="B694" s="29">
        <v>686</v>
      </c>
      <c r="C694" s="30">
        <v>0.49854651162790697</v>
      </c>
      <c r="D694" s="28">
        <v>36259</v>
      </c>
      <c r="E694" s="14">
        <v>0</v>
      </c>
      <c r="F694" s="14">
        <v>7.5622944000208747E-6</v>
      </c>
      <c r="G694" s="14">
        <v>5.5072144509304977E-4</v>
      </c>
      <c r="H694" s="14">
        <v>3.9367828664866916E-4</v>
      </c>
    </row>
    <row r="695" spans="2:8" x14ac:dyDescent="0.25">
      <c r="B695" s="29">
        <v>687</v>
      </c>
      <c r="C695" s="30">
        <v>0.49927325581395349</v>
      </c>
      <c r="D695" s="28">
        <v>36262</v>
      </c>
      <c r="E695" s="14">
        <v>0</v>
      </c>
      <c r="F695" s="14">
        <v>1.3166556945387597E-5</v>
      </c>
      <c r="G695" s="14">
        <v>5.6435927060216606E-4</v>
      </c>
      <c r="H695" s="14">
        <v>4.0294781128422672E-4</v>
      </c>
    </row>
    <row r="696" spans="2:8" x14ac:dyDescent="0.25">
      <c r="B696" s="29">
        <v>688</v>
      </c>
      <c r="C696" s="30">
        <v>0.5</v>
      </c>
      <c r="D696" s="28">
        <v>36263</v>
      </c>
      <c r="E696" s="14">
        <v>0</v>
      </c>
      <c r="F696" s="14">
        <v>4.3742618433206815E-5</v>
      </c>
      <c r="G696" s="14">
        <v>5.7276750846124713E-4</v>
      </c>
      <c r="H696" s="14">
        <v>4.0559260970167692E-4</v>
      </c>
    </row>
    <row r="697" spans="2:8" x14ac:dyDescent="0.25">
      <c r="B697" s="29">
        <v>689</v>
      </c>
      <c r="C697" s="30">
        <v>0.50072674418604646</v>
      </c>
      <c r="D697" s="28">
        <v>36264</v>
      </c>
      <c r="E697" s="14">
        <v>0</v>
      </c>
      <c r="F697" s="14">
        <v>7.2020165646557999E-5</v>
      </c>
      <c r="G697" s="14">
        <v>5.7510325717569089E-4</v>
      </c>
      <c r="H697" s="14">
        <v>4.1759711392543844E-4</v>
      </c>
    </row>
    <row r="698" spans="2:8" x14ac:dyDescent="0.25">
      <c r="B698" s="29">
        <v>690</v>
      </c>
      <c r="C698" s="30">
        <v>0.50145348837209303</v>
      </c>
      <c r="D698" s="28">
        <v>36265</v>
      </c>
      <c r="E698" s="14">
        <v>0</v>
      </c>
      <c r="F698" s="14">
        <v>7.5328431963228581E-5</v>
      </c>
      <c r="G698" s="14">
        <v>5.8092250493757547E-4</v>
      </c>
      <c r="H698" s="14">
        <v>4.1784290602082664E-4</v>
      </c>
    </row>
    <row r="699" spans="2:8" x14ac:dyDescent="0.25">
      <c r="B699" s="29">
        <v>691</v>
      </c>
      <c r="C699" s="30">
        <v>0.50218023255813948</v>
      </c>
      <c r="D699" s="28">
        <v>36266</v>
      </c>
      <c r="E699" s="14">
        <v>0</v>
      </c>
      <c r="F699" s="14">
        <v>7.7959944180694407E-5</v>
      </c>
      <c r="G699" s="14">
        <v>5.9387680775513374E-4</v>
      </c>
      <c r="H699" s="14">
        <v>4.2187824969988066E-4</v>
      </c>
    </row>
    <row r="700" spans="2:8" x14ac:dyDescent="0.25">
      <c r="B700" s="29">
        <v>692</v>
      </c>
      <c r="C700" s="30">
        <v>0.50290697674418605</v>
      </c>
      <c r="D700" s="28">
        <v>36269</v>
      </c>
      <c r="E700" s="14">
        <v>0</v>
      </c>
      <c r="F700" s="14">
        <v>8.237108924524783E-5</v>
      </c>
      <c r="G700" s="14">
        <v>6.064950102000477E-4</v>
      </c>
      <c r="H700" s="14">
        <v>4.2598133758096072E-4</v>
      </c>
    </row>
    <row r="701" spans="2:8" x14ac:dyDescent="0.25">
      <c r="B701" s="29">
        <v>693</v>
      </c>
      <c r="C701" s="30">
        <v>0.50363372093023251</v>
      </c>
      <c r="D701" s="28">
        <v>36270</v>
      </c>
      <c r="E701" s="14">
        <v>0</v>
      </c>
      <c r="F701" s="14">
        <v>1.0757728275145872E-4</v>
      </c>
      <c r="G701" s="14">
        <v>6.2379987946847848E-4</v>
      </c>
      <c r="H701" s="14">
        <v>4.3027360988525667E-4</v>
      </c>
    </row>
    <row r="702" spans="2:8" x14ac:dyDescent="0.25">
      <c r="B702" s="29">
        <v>694</v>
      </c>
      <c r="C702" s="30">
        <v>0.50436046511627908</v>
      </c>
      <c r="D702" s="28">
        <v>36271</v>
      </c>
      <c r="E702" s="14">
        <v>0</v>
      </c>
      <c r="F702" s="14">
        <v>1.4667864542272646E-4</v>
      </c>
      <c r="G702" s="14">
        <v>6.5588041451314361E-4</v>
      </c>
      <c r="H702" s="14">
        <v>4.3610945748970861E-4</v>
      </c>
    </row>
    <row r="703" spans="2:8" x14ac:dyDescent="0.25">
      <c r="B703" s="29">
        <v>695</v>
      </c>
      <c r="C703" s="30">
        <v>0.50508720930232553</v>
      </c>
      <c r="D703" s="28">
        <v>36272</v>
      </c>
      <c r="E703" s="14">
        <v>0</v>
      </c>
      <c r="F703" s="14">
        <v>1.4972912639854563E-4</v>
      </c>
      <c r="G703" s="14">
        <v>6.5681153938101922E-4</v>
      </c>
      <c r="H703" s="14">
        <v>4.3665648198354422E-4</v>
      </c>
    </row>
    <row r="704" spans="2:8" x14ac:dyDescent="0.25">
      <c r="B704" s="29">
        <v>696</v>
      </c>
      <c r="C704" s="30">
        <v>0.5058139534883721</v>
      </c>
      <c r="D704" s="28">
        <v>36273</v>
      </c>
      <c r="E704" s="14">
        <v>0</v>
      </c>
      <c r="F704" s="14">
        <v>1.6730674170117865E-4</v>
      </c>
      <c r="G704" s="14">
        <v>6.7001675041855613E-4</v>
      </c>
      <c r="H704" s="14">
        <v>4.6164341628942554E-4</v>
      </c>
    </row>
    <row r="705" spans="2:8" x14ac:dyDescent="0.25">
      <c r="B705" s="29">
        <v>697</v>
      </c>
      <c r="C705" s="30">
        <v>0.50654069767441856</v>
      </c>
      <c r="D705" s="28">
        <v>36276</v>
      </c>
      <c r="E705" s="14">
        <v>0</v>
      </c>
      <c r="F705" s="14">
        <v>2.6814843505595931E-4</v>
      </c>
      <c r="G705" s="14">
        <v>6.8649421654587428E-4</v>
      </c>
      <c r="H705" s="14">
        <v>4.6484657718202081E-4</v>
      </c>
    </row>
    <row r="706" spans="2:8" x14ac:dyDescent="0.25">
      <c r="B706" s="29">
        <v>698</v>
      </c>
      <c r="C706" s="30">
        <v>0.50726744186046513</v>
      </c>
      <c r="D706" s="28">
        <v>36277</v>
      </c>
      <c r="E706" s="14">
        <v>0</v>
      </c>
      <c r="F706" s="14">
        <v>2.7828453047207269E-4</v>
      </c>
      <c r="G706" s="14">
        <v>7.0042512599344242E-4</v>
      </c>
      <c r="H706" s="14">
        <v>4.7267914539612655E-4</v>
      </c>
    </row>
    <row r="707" spans="2:8" x14ac:dyDescent="0.25">
      <c r="B707" s="29">
        <v>699</v>
      </c>
      <c r="C707" s="30">
        <v>0.50799418604651159</v>
      </c>
      <c r="D707" s="28">
        <v>36278</v>
      </c>
      <c r="E707" s="14">
        <v>0</v>
      </c>
      <c r="F707" s="14">
        <v>2.7995893935561789E-4</v>
      </c>
      <c r="G707" s="14">
        <v>7.0096967611243954E-4</v>
      </c>
      <c r="H707" s="14">
        <v>5.090009644985739E-4</v>
      </c>
    </row>
    <row r="708" spans="2:8" x14ac:dyDescent="0.25">
      <c r="B708" s="29">
        <v>700</v>
      </c>
      <c r="C708" s="30">
        <v>0.50872093023255816</v>
      </c>
      <c r="D708" s="28">
        <v>36279</v>
      </c>
      <c r="E708" s="14">
        <v>0</v>
      </c>
      <c r="F708" s="14">
        <v>3.0186075594551554E-4</v>
      </c>
      <c r="G708" s="14">
        <v>7.0815326155249103E-4</v>
      </c>
      <c r="H708" s="14">
        <v>5.1253209797108568E-4</v>
      </c>
    </row>
    <row r="709" spans="2:8" x14ac:dyDescent="0.25">
      <c r="B709" s="29">
        <v>701</v>
      </c>
      <c r="C709" s="30">
        <v>0.50944767441860461</v>
      </c>
      <c r="D709" s="28">
        <v>36280</v>
      </c>
      <c r="E709" s="14">
        <v>0</v>
      </c>
      <c r="F709" s="14">
        <v>3.1467831294285098E-4</v>
      </c>
      <c r="G709" s="14">
        <v>7.1088676141473073E-4</v>
      </c>
      <c r="H709" s="14">
        <v>5.190762345921307E-4</v>
      </c>
    </row>
    <row r="710" spans="2:8" x14ac:dyDescent="0.25">
      <c r="B710" s="29">
        <v>702</v>
      </c>
      <c r="C710" s="30">
        <v>0.51017441860465118</v>
      </c>
      <c r="D710" s="28">
        <v>36283</v>
      </c>
      <c r="E710" s="14">
        <v>0</v>
      </c>
      <c r="F710" s="14">
        <v>3.2088213415804034E-4</v>
      </c>
      <c r="G710" s="14">
        <v>7.1163227049186872E-4</v>
      </c>
      <c r="H710" s="14">
        <v>5.3266106299476633E-4</v>
      </c>
    </row>
    <row r="711" spans="2:8" x14ac:dyDescent="0.25">
      <c r="B711" s="29">
        <v>703</v>
      </c>
      <c r="C711" s="30">
        <v>0.51090116279069764</v>
      </c>
      <c r="D711" s="28">
        <v>36284</v>
      </c>
      <c r="E711" s="14">
        <v>0</v>
      </c>
      <c r="F711" s="14">
        <v>3.3474995633686611E-4</v>
      </c>
      <c r="G711" s="14">
        <v>7.2005348968784411E-4</v>
      </c>
      <c r="H711" s="14">
        <v>5.431627714675535E-4</v>
      </c>
    </row>
    <row r="712" spans="2:8" x14ac:dyDescent="0.25">
      <c r="B712" s="29">
        <v>704</v>
      </c>
      <c r="C712" s="30">
        <v>0.51162790697674421</v>
      </c>
      <c r="D712" s="28">
        <v>36285</v>
      </c>
      <c r="E712" s="14">
        <v>0</v>
      </c>
      <c r="F712" s="14">
        <v>3.3775281791803557E-4</v>
      </c>
      <c r="G712" s="14">
        <v>7.2565324456030922E-4</v>
      </c>
      <c r="H712" s="14">
        <v>5.5610376490369232E-4</v>
      </c>
    </row>
    <row r="713" spans="2:8" x14ac:dyDescent="0.25">
      <c r="B713" s="29">
        <v>705</v>
      </c>
      <c r="C713" s="30">
        <v>0.51235465116279066</v>
      </c>
      <c r="D713" s="28">
        <v>36286</v>
      </c>
      <c r="E713" s="14">
        <v>0</v>
      </c>
      <c r="F713" s="14">
        <v>3.7822878228799262E-4</v>
      </c>
      <c r="G713" s="14">
        <v>7.2831472301126965E-4</v>
      </c>
      <c r="H713" s="14">
        <v>5.5691841904428321E-4</v>
      </c>
    </row>
    <row r="714" spans="2:8" x14ac:dyDescent="0.25">
      <c r="B714" s="29">
        <v>706</v>
      </c>
      <c r="C714" s="30">
        <v>0.51308139534883723</v>
      </c>
      <c r="D714" s="28">
        <v>36287</v>
      </c>
      <c r="E714" s="14">
        <v>0</v>
      </c>
      <c r="F714" s="14">
        <v>3.8432502916774247E-4</v>
      </c>
      <c r="G714" s="14">
        <v>7.3176739493541199E-4</v>
      </c>
      <c r="H714" s="14">
        <v>5.5713714937422054E-4</v>
      </c>
    </row>
    <row r="715" spans="2:8" x14ac:dyDescent="0.25">
      <c r="B715" s="29">
        <v>707</v>
      </c>
      <c r="C715" s="30">
        <v>0.51380813953488369</v>
      </c>
      <c r="D715" s="28">
        <v>36290</v>
      </c>
      <c r="E715" s="14">
        <v>0</v>
      </c>
      <c r="F715" s="14">
        <v>3.8695873198935082E-4</v>
      </c>
      <c r="G715" s="14">
        <v>7.4798619102423025E-4</v>
      </c>
      <c r="H715" s="14">
        <v>5.6019217066181068E-4</v>
      </c>
    </row>
    <row r="716" spans="2:8" x14ac:dyDescent="0.25">
      <c r="B716" s="29">
        <v>708</v>
      </c>
      <c r="C716" s="30">
        <v>0.51453488372093026</v>
      </c>
      <c r="D716" s="28">
        <v>36291</v>
      </c>
      <c r="E716" s="14">
        <v>0</v>
      </c>
      <c r="F716" s="14">
        <v>4.1635973481080057E-4</v>
      </c>
      <c r="G716" s="14">
        <v>7.7245038787165932E-4</v>
      </c>
      <c r="H716" s="14">
        <v>5.6165795982483508E-4</v>
      </c>
    </row>
    <row r="717" spans="2:8" x14ac:dyDescent="0.25">
      <c r="B717" s="29">
        <v>709</v>
      </c>
      <c r="C717" s="30">
        <v>0.51526162790697672</v>
      </c>
      <c r="D717" s="28">
        <v>36292</v>
      </c>
      <c r="E717" s="14">
        <v>0</v>
      </c>
      <c r="F717" s="14">
        <v>4.1721716153264587E-4</v>
      </c>
      <c r="G717" s="14">
        <v>7.7975469589341984E-4</v>
      </c>
      <c r="H717" s="14">
        <v>5.6473858474035408E-4</v>
      </c>
    </row>
    <row r="718" spans="2:8" x14ac:dyDescent="0.25">
      <c r="B718" s="29">
        <v>710</v>
      </c>
      <c r="C718" s="30">
        <v>0.51598837209302328</v>
      </c>
      <c r="D718" s="28">
        <v>36293</v>
      </c>
      <c r="E718" s="14">
        <v>0</v>
      </c>
      <c r="F718" s="14">
        <v>4.2495325514191329E-4</v>
      </c>
      <c r="G718" s="14">
        <v>7.8646312139096786E-4</v>
      </c>
      <c r="H718" s="14">
        <v>6.0592325797323952E-4</v>
      </c>
    </row>
    <row r="719" spans="2:8" x14ac:dyDescent="0.25">
      <c r="B719" s="29">
        <v>711</v>
      </c>
      <c r="C719" s="30">
        <v>0.51671511627906974</v>
      </c>
      <c r="D719" s="28">
        <v>36294</v>
      </c>
      <c r="E719" s="14">
        <v>0</v>
      </c>
      <c r="F719" s="14">
        <v>4.2517313194045947E-4</v>
      </c>
      <c r="G719" s="14">
        <v>8.221400376013932E-4</v>
      </c>
      <c r="H719" s="14">
        <v>6.1081406751255533E-4</v>
      </c>
    </row>
    <row r="720" spans="2:8" x14ac:dyDescent="0.25">
      <c r="B720" s="29">
        <v>712</v>
      </c>
      <c r="C720" s="30">
        <v>0.51744186046511631</v>
      </c>
      <c r="D720" s="28">
        <v>36297</v>
      </c>
      <c r="E720" s="14">
        <v>0</v>
      </c>
      <c r="F720" s="14">
        <v>4.8114775610197391E-4</v>
      </c>
      <c r="G720" s="14">
        <v>8.2960013273591926E-4</v>
      </c>
      <c r="H720" s="14">
        <v>6.178414654859131E-4</v>
      </c>
    </row>
    <row r="721" spans="2:8" x14ac:dyDescent="0.25">
      <c r="B721" s="29">
        <v>713</v>
      </c>
      <c r="C721" s="30">
        <v>0.51816860465116277</v>
      </c>
      <c r="D721" s="28">
        <v>36298</v>
      </c>
      <c r="E721" s="14">
        <v>0</v>
      </c>
      <c r="F721" s="14">
        <v>5.2228651538688275E-4</v>
      </c>
      <c r="G721" s="14">
        <v>8.3608449660887985E-4</v>
      </c>
      <c r="H721" s="14">
        <v>6.5020792405006127E-4</v>
      </c>
    </row>
    <row r="722" spans="2:8" x14ac:dyDescent="0.25">
      <c r="B722" s="29">
        <v>714</v>
      </c>
      <c r="C722" s="30">
        <v>0.51889534883720934</v>
      </c>
      <c r="D722" s="28">
        <v>36299</v>
      </c>
      <c r="E722" s="14">
        <v>0</v>
      </c>
      <c r="F722" s="14">
        <v>5.2396649267438811E-4</v>
      </c>
      <c r="G722" s="14">
        <v>8.3708276655847236E-4</v>
      </c>
      <c r="H722" s="14">
        <v>6.8730522953530659E-4</v>
      </c>
    </row>
    <row r="723" spans="2:8" x14ac:dyDescent="0.25">
      <c r="B723" s="29">
        <v>715</v>
      </c>
      <c r="C723" s="30">
        <v>0.51962209302325579</v>
      </c>
      <c r="D723" s="28">
        <v>36300</v>
      </c>
      <c r="E723" s="14">
        <v>0</v>
      </c>
      <c r="F723" s="14">
        <v>5.8172055039706905E-4</v>
      </c>
      <c r="G723" s="14">
        <v>8.4275034770886492E-4</v>
      </c>
      <c r="H723" s="14">
        <v>7.0291289634871767E-4</v>
      </c>
    </row>
    <row r="724" spans="2:8" x14ac:dyDescent="0.25">
      <c r="B724" s="29">
        <v>716</v>
      </c>
      <c r="C724" s="30">
        <v>0.52034883720930236</v>
      </c>
      <c r="D724" s="28">
        <v>36301</v>
      </c>
      <c r="E724" s="14">
        <v>0</v>
      </c>
      <c r="F724" s="14">
        <v>6.0689701040872457E-4</v>
      </c>
      <c r="G724" s="14">
        <v>8.5057261294152475E-4</v>
      </c>
      <c r="H724" s="14">
        <v>7.2077011477853512E-4</v>
      </c>
    </row>
    <row r="725" spans="2:8" x14ac:dyDescent="0.25">
      <c r="B725" s="29">
        <v>717</v>
      </c>
      <c r="C725" s="30">
        <v>0.52107558139534882</v>
      </c>
      <c r="D725" s="28">
        <v>36304</v>
      </c>
      <c r="E725" s="14">
        <v>0</v>
      </c>
      <c r="F725" s="14">
        <v>6.3890451715020724E-4</v>
      </c>
      <c r="G725" s="14">
        <v>8.5134051692348223E-4</v>
      </c>
      <c r="H725" s="14">
        <v>7.2433713960791131E-4</v>
      </c>
    </row>
    <row r="726" spans="2:8" x14ac:dyDescent="0.25">
      <c r="B726" s="29">
        <v>718</v>
      </c>
      <c r="C726" s="30">
        <v>0.52180232558139539</v>
      </c>
      <c r="D726" s="28">
        <v>36305</v>
      </c>
      <c r="E726" s="14">
        <v>0</v>
      </c>
      <c r="F726" s="14">
        <v>6.8284009946295576E-4</v>
      </c>
      <c r="G726" s="14">
        <v>8.5504189705298828E-4</v>
      </c>
      <c r="H726" s="14">
        <v>7.3231666837858533E-4</v>
      </c>
    </row>
    <row r="727" spans="2:8" x14ac:dyDescent="0.25">
      <c r="B727" s="29">
        <v>719</v>
      </c>
      <c r="C727" s="30">
        <v>0.52252906976744184</v>
      </c>
      <c r="D727" s="28">
        <v>36306</v>
      </c>
      <c r="E727" s="14">
        <v>0</v>
      </c>
      <c r="F727" s="14">
        <v>6.9014527216326726E-4</v>
      </c>
      <c r="G727" s="14">
        <v>8.5786508736362954E-4</v>
      </c>
      <c r="H727" s="14">
        <v>7.3267444315499035E-4</v>
      </c>
    </row>
    <row r="728" spans="2:8" x14ac:dyDescent="0.25">
      <c r="B728" s="29">
        <v>720</v>
      </c>
      <c r="C728" s="30">
        <v>0.52325581395348841</v>
      </c>
      <c r="D728" s="28">
        <v>36307</v>
      </c>
      <c r="E728" s="14">
        <v>0</v>
      </c>
      <c r="F728" s="14">
        <v>7.0527388135732672E-4</v>
      </c>
      <c r="G728" s="14">
        <v>8.6789696993161414E-4</v>
      </c>
      <c r="H728" s="14">
        <v>7.4496640612942123E-4</v>
      </c>
    </row>
    <row r="729" spans="2:8" x14ac:dyDescent="0.25">
      <c r="B729" s="29">
        <v>721</v>
      </c>
      <c r="C729" s="30">
        <v>0.52398255813953487</v>
      </c>
      <c r="D729" s="28">
        <v>36308</v>
      </c>
      <c r="E729" s="14">
        <v>0</v>
      </c>
      <c r="F729" s="14">
        <v>7.2504324819377963E-4</v>
      </c>
      <c r="G729" s="14">
        <v>8.6918730986518256E-4</v>
      </c>
      <c r="H729" s="14">
        <v>7.4696444716244599E-4</v>
      </c>
    </row>
    <row r="730" spans="2:8" x14ac:dyDescent="0.25">
      <c r="B730" s="29">
        <v>722</v>
      </c>
      <c r="C730" s="30">
        <v>0.52470930232558144</v>
      </c>
      <c r="D730" s="28">
        <v>36311</v>
      </c>
      <c r="E730" s="14">
        <v>0</v>
      </c>
      <c r="F730" s="14">
        <v>7.3862221191589583E-4</v>
      </c>
      <c r="G730" s="14">
        <v>8.7126987584396076E-4</v>
      </c>
      <c r="H730" s="14">
        <v>7.5083918995491031E-4</v>
      </c>
    </row>
    <row r="731" spans="2:8" x14ac:dyDescent="0.25">
      <c r="B731" s="29">
        <v>723</v>
      </c>
      <c r="C731" s="30">
        <v>0.5254360465116279</v>
      </c>
      <c r="D731" s="28">
        <v>36312</v>
      </c>
      <c r="E731" s="14">
        <v>0</v>
      </c>
      <c r="F731" s="14">
        <v>7.4478105627484581E-4</v>
      </c>
      <c r="G731" s="14">
        <v>8.7535014005624134E-4</v>
      </c>
      <c r="H731" s="14">
        <v>7.6854835920010572E-4</v>
      </c>
    </row>
    <row r="732" spans="2:8" x14ac:dyDescent="0.25">
      <c r="B732" s="29">
        <v>724</v>
      </c>
      <c r="C732" s="30">
        <v>0.52616279069767447</v>
      </c>
      <c r="D732" s="28">
        <v>36313</v>
      </c>
      <c r="E732" s="14">
        <v>0</v>
      </c>
      <c r="F732" s="14">
        <v>7.4856411791923705E-4</v>
      </c>
      <c r="G732" s="14">
        <v>8.8071778499498876E-4</v>
      </c>
      <c r="H732" s="14">
        <v>7.756878620360124E-4</v>
      </c>
    </row>
    <row r="733" spans="2:8" x14ac:dyDescent="0.25">
      <c r="B733" s="29">
        <v>725</v>
      </c>
      <c r="C733" s="30">
        <v>0.52688953488372092</v>
      </c>
      <c r="D733" s="28">
        <v>36314</v>
      </c>
      <c r="E733" s="14">
        <v>0</v>
      </c>
      <c r="F733" s="14">
        <v>7.8171883389654973E-4</v>
      </c>
      <c r="G733" s="14">
        <v>8.8681392888978472E-4</v>
      </c>
      <c r="H733" s="14">
        <v>7.9735265343483508E-4</v>
      </c>
    </row>
    <row r="734" spans="2:8" x14ac:dyDescent="0.25">
      <c r="B734" s="29">
        <v>726</v>
      </c>
      <c r="C734" s="30">
        <v>0.52761627906976749</v>
      </c>
      <c r="D734" s="28">
        <v>36315</v>
      </c>
      <c r="E734" s="14">
        <v>0</v>
      </c>
      <c r="F734" s="14">
        <v>7.9065468435057795E-4</v>
      </c>
      <c r="G734" s="14">
        <v>8.9285714285702866E-4</v>
      </c>
      <c r="H734" s="14">
        <v>7.9889905622678717E-4</v>
      </c>
    </row>
    <row r="735" spans="2:8" x14ac:dyDescent="0.25">
      <c r="B735" s="29">
        <v>727</v>
      </c>
      <c r="C735" s="30">
        <v>0.52834302325581395</v>
      </c>
      <c r="D735" s="28">
        <v>36318</v>
      </c>
      <c r="E735" s="14">
        <v>0</v>
      </c>
      <c r="F735" s="14">
        <v>8.2195412965657688E-4</v>
      </c>
      <c r="G735" s="14">
        <v>9.0549492446267976E-4</v>
      </c>
      <c r="H735" s="14">
        <v>8.0333234156504396E-4</v>
      </c>
    </row>
    <row r="736" spans="2:8" x14ac:dyDescent="0.25">
      <c r="B736" s="29">
        <v>728</v>
      </c>
      <c r="C736" s="30">
        <v>0.52906976744186052</v>
      </c>
      <c r="D736" s="28">
        <v>36319</v>
      </c>
      <c r="E736" s="14">
        <v>0</v>
      </c>
      <c r="F736" s="14">
        <v>8.283454467721274E-4</v>
      </c>
      <c r="G736" s="14">
        <v>9.0738955367775098E-4</v>
      </c>
      <c r="H736" s="14">
        <v>8.3125630187144152E-4</v>
      </c>
    </row>
    <row r="737" spans="2:8" x14ac:dyDescent="0.25">
      <c r="B737" s="29">
        <v>729</v>
      </c>
      <c r="C737" s="30">
        <v>0.52979651162790697</v>
      </c>
      <c r="D737" s="28">
        <v>36320</v>
      </c>
      <c r="E737" s="14">
        <v>0</v>
      </c>
      <c r="F737" s="14">
        <v>8.6241349571936077E-4</v>
      </c>
      <c r="G737" s="14">
        <v>9.1361283118462921E-4</v>
      </c>
      <c r="H737" s="14">
        <v>8.4609168201432738E-4</v>
      </c>
    </row>
    <row r="738" spans="2:8" x14ac:dyDescent="0.25">
      <c r="B738" s="29">
        <v>730</v>
      </c>
      <c r="C738" s="30">
        <v>0.53052325581395354</v>
      </c>
      <c r="D738" s="28">
        <v>36321</v>
      </c>
      <c r="E738" s="14">
        <v>0</v>
      </c>
      <c r="F738" s="14">
        <v>8.9463220675933819E-4</v>
      </c>
      <c r="G738" s="14">
        <v>9.2144667127391777E-4</v>
      </c>
      <c r="H738" s="14">
        <v>8.4710471364717347E-4</v>
      </c>
    </row>
    <row r="739" spans="2:8" x14ac:dyDescent="0.25">
      <c r="B739" s="29">
        <v>731</v>
      </c>
      <c r="C739" s="30">
        <v>0.53125</v>
      </c>
      <c r="D739" s="28">
        <v>36322</v>
      </c>
      <c r="E739" s="14">
        <v>0</v>
      </c>
      <c r="F739" s="14">
        <v>9.0255080134249432E-4</v>
      </c>
      <c r="G739" s="14">
        <v>9.2886023385441163E-4</v>
      </c>
      <c r="H739" s="14">
        <v>8.471673505156211E-4</v>
      </c>
    </row>
    <row r="740" spans="2:8" x14ac:dyDescent="0.25">
      <c r="B740" s="29">
        <v>732</v>
      </c>
      <c r="C740" s="30">
        <v>0.53197674418604646</v>
      </c>
      <c r="D740" s="28">
        <v>36325</v>
      </c>
      <c r="E740" s="14">
        <v>0</v>
      </c>
      <c r="F740" s="14">
        <v>9.2125466110992704E-4</v>
      </c>
      <c r="G740" s="14">
        <v>9.2922774247372608E-4</v>
      </c>
      <c r="H740" s="14">
        <v>8.557951776617227E-4</v>
      </c>
    </row>
    <row r="741" spans="2:8" x14ac:dyDescent="0.25">
      <c r="B741" s="29">
        <v>733</v>
      </c>
      <c r="C741" s="30">
        <v>0.53270348837209303</v>
      </c>
      <c r="D741" s="28">
        <v>36326</v>
      </c>
      <c r="E741" s="14">
        <v>0</v>
      </c>
      <c r="F741" s="14">
        <v>9.4945217449748931E-4</v>
      </c>
      <c r="G741" s="14">
        <v>9.3720712277423068E-4</v>
      </c>
      <c r="H741" s="14">
        <v>8.6916816630391316E-4</v>
      </c>
    </row>
    <row r="742" spans="2:8" x14ac:dyDescent="0.25">
      <c r="B742" s="29">
        <v>734</v>
      </c>
      <c r="C742" s="30">
        <v>0.53343023255813948</v>
      </c>
      <c r="D742" s="28">
        <v>36327</v>
      </c>
      <c r="E742" s="14">
        <v>0</v>
      </c>
      <c r="F742" s="14">
        <v>9.5450490633353091E-4</v>
      </c>
      <c r="G742" s="14">
        <v>9.3823129613035405E-4</v>
      </c>
      <c r="H742" s="14">
        <v>8.7342459208319414E-4</v>
      </c>
    </row>
    <row r="743" spans="2:8" x14ac:dyDescent="0.25">
      <c r="B743" s="29">
        <v>735</v>
      </c>
      <c r="C743" s="30">
        <v>0.53415697674418605</v>
      </c>
      <c r="D743" s="28">
        <v>36328</v>
      </c>
      <c r="E743" s="14">
        <v>1.6530018513538636E-5</v>
      </c>
      <c r="F743" s="14">
        <v>9.5570247698129052E-4</v>
      </c>
      <c r="G743" s="14">
        <v>9.3935302060699222E-4</v>
      </c>
      <c r="H743" s="14">
        <v>8.7352265783915452E-4</v>
      </c>
    </row>
    <row r="744" spans="2:8" x14ac:dyDescent="0.25">
      <c r="B744" s="29">
        <v>736</v>
      </c>
      <c r="C744" s="30">
        <v>0.53488372093023251</v>
      </c>
      <c r="D744" s="28">
        <v>36329</v>
      </c>
      <c r="E744" s="14">
        <v>6.0879094119004051E-5</v>
      </c>
      <c r="F744" s="14">
        <v>9.8134463842347586E-4</v>
      </c>
      <c r="G744" s="14">
        <v>9.4068719675211021E-4</v>
      </c>
      <c r="H744" s="14">
        <v>8.9111470260037082E-4</v>
      </c>
    </row>
    <row r="745" spans="2:8" x14ac:dyDescent="0.25">
      <c r="B745" s="29">
        <v>737</v>
      </c>
      <c r="C745" s="30">
        <v>0.53561046511627908</v>
      </c>
      <c r="D745" s="28">
        <v>36332</v>
      </c>
      <c r="E745" s="14">
        <v>1.4966731774546105E-4</v>
      </c>
      <c r="F745" s="14">
        <v>9.907015582319989E-4</v>
      </c>
      <c r="G745" s="14">
        <v>9.5468184681357648E-4</v>
      </c>
      <c r="H745" s="14">
        <v>8.9926781649234404E-4</v>
      </c>
    </row>
    <row r="746" spans="2:8" x14ac:dyDescent="0.25">
      <c r="B746" s="29">
        <v>738</v>
      </c>
      <c r="C746" s="30">
        <v>0.53633720930232553</v>
      </c>
      <c r="D746" s="28">
        <v>36333</v>
      </c>
      <c r="E746" s="14">
        <v>1.5017395955418955E-4</v>
      </c>
      <c r="F746" s="14">
        <v>9.9443571466539815E-4</v>
      </c>
      <c r="G746" s="14">
        <v>9.6355356940702741E-4</v>
      </c>
      <c r="H746" s="14">
        <v>9.0572488746945015E-4</v>
      </c>
    </row>
    <row r="747" spans="2:8" x14ac:dyDescent="0.25">
      <c r="B747" s="29">
        <v>739</v>
      </c>
      <c r="C747" s="30">
        <v>0.5370639534883721</v>
      </c>
      <c r="D747" s="28">
        <v>36334</v>
      </c>
      <c r="E747" s="14">
        <v>1.5032479415588718E-4</v>
      </c>
      <c r="F747" s="14">
        <v>1.093331603769343E-3</v>
      </c>
      <c r="G747" s="14">
        <v>9.8457067860358016E-4</v>
      </c>
      <c r="H747" s="14">
        <v>9.1573937418398799E-4</v>
      </c>
    </row>
    <row r="748" spans="2:8" x14ac:dyDescent="0.25">
      <c r="B748" s="29">
        <v>740</v>
      </c>
      <c r="C748" s="30">
        <v>0.53779069767441856</v>
      </c>
      <c r="D748" s="28">
        <v>36335</v>
      </c>
      <c r="E748" s="14">
        <v>1.5044532732577665E-4</v>
      </c>
      <c r="F748" s="14">
        <v>1.1582452584335545E-3</v>
      </c>
      <c r="G748" s="14">
        <v>9.9162080420445164E-4</v>
      </c>
      <c r="H748" s="14">
        <v>9.2979398430872453E-4</v>
      </c>
    </row>
    <row r="749" spans="2:8" x14ac:dyDescent="0.25">
      <c r="B749" s="29">
        <v>741</v>
      </c>
      <c r="C749" s="30">
        <v>0.53851744186046513</v>
      </c>
      <c r="D749" s="28">
        <v>36336</v>
      </c>
      <c r="E749" s="14">
        <v>1.5769296503576058E-4</v>
      </c>
      <c r="F749" s="14">
        <v>1.1639123398623497E-3</v>
      </c>
      <c r="G749" s="14">
        <v>1.0081209745169684E-3</v>
      </c>
      <c r="H749" s="14">
        <v>9.3200898743370795E-4</v>
      </c>
    </row>
    <row r="750" spans="2:8" x14ac:dyDescent="0.25">
      <c r="B750" s="29">
        <v>742</v>
      </c>
      <c r="C750" s="30">
        <v>0.53924418604651159</v>
      </c>
      <c r="D750" s="28">
        <v>36339</v>
      </c>
      <c r="E750" s="14">
        <v>1.5924904903608095E-4</v>
      </c>
      <c r="F750" s="14">
        <v>1.1974049682492716E-3</v>
      </c>
      <c r="G750" s="14">
        <v>1.0178117048347257E-3</v>
      </c>
      <c r="H750" s="14">
        <v>9.3901344402476145E-4</v>
      </c>
    </row>
    <row r="751" spans="2:8" x14ac:dyDescent="0.25">
      <c r="B751" s="29">
        <v>743</v>
      </c>
      <c r="C751" s="30">
        <v>0.53997093023255816</v>
      </c>
      <c r="D751" s="28">
        <v>36340</v>
      </c>
      <c r="E751" s="14">
        <v>1.6153721735268078E-4</v>
      </c>
      <c r="F751" s="14">
        <v>1.2360302827418845E-3</v>
      </c>
      <c r="G751" s="14">
        <v>1.030343619597085E-3</v>
      </c>
      <c r="H751" s="14">
        <v>9.5130216276739798E-4</v>
      </c>
    </row>
    <row r="752" spans="2:8" x14ac:dyDescent="0.25">
      <c r="B752" s="29">
        <v>744</v>
      </c>
      <c r="C752" s="30">
        <v>0.54069767441860461</v>
      </c>
      <c r="D752" s="28">
        <v>36341</v>
      </c>
      <c r="E752" s="14">
        <v>1.6850148879465898E-4</v>
      </c>
      <c r="F752" s="14">
        <v>1.2632680520257011E-3</v>
      </c>
      <c r="G752" s="14">
        <v>1.0312236561256238E-3</v>
      </c>
      <c r="H752" s="14">
        <v>9.5312534713387674E-4</v>
      </c>
    </row>
    <row r="753" spans="2:8" x14ac:dyDescent="0.25">
      <c r="B753" s="29">
        <v>745</v>
      </c>
      <c r="C753" s="30">
        <v>0.54142441860465118</v>
      </c>
      <c r="D753" s="28">
        <v>36342</v>
      </c>
      <c r="E753" s="14">
        <v>1.755063546609037E-4</v>
      </c>
      <c r="F753" s="14">
        <v>1.2833743483897653E-3</v>
      </c>
      <c r="G753" s="14">
        <v>1.0340477564074746E-3</v>
      </c>
      <c r="H753" s="14">
        <v>9.6292892806477699E-4</v>
      </c>
    </row>
    <row r="754" spans="2:8" x14ac:dyDescent="0.25">
      <c r="B754" s="29">
        <v>746</v>
      </c>
      <c r="C754" s="30">
        <v>0.54215116279069764</v>
      </c>
      <c r="D754" s="28">
        <v>36343</v>
      </c>
      <c r="E754" s="14">
        <v>1.7572211466743148E-4</v>
      </c>
      <c r="F754" s="14">
        <v>1.3570806854661388E-3</v>
      </c>
      <c r="G754" s="14">
        <v>1.0381384021367346E-3</v>
      </c>
      <c r="H754" s="14">
        <v>9.7917826055666807E-4</v>
      </c>
    </row>
    <row r="755" spans="2:8" x14ac:dyDescent="0.25">
      <c r="B755" s="29">
        <v>747</v>
      </c>
      <c r="C755" s="30">
        <v>0.54287790697674421</v>
      </c>
      <c r="D755" s="28">
        <v>36346</v>
      </c>
      <c r="E755" s="14">
        <v>1.904986637812911E-4</v>
      </c>
      <c r="F755" s="14">
        <v>1.3593597262950841E-3</v>
      </c>
      <c r="G755" s="14">
        <v>1.0612706608852385E-3</v>
      </c>
      <c r="H755" s="14">
        <v>9.8620594893761271E-4</v>
      </c>
    </row>
    <row r="756" spans="2:8" x14ac:dyDescent="0.25">
      <c r="B756" s="29">
        <v>748</v>
      </c>
      <c r="C756" s="30">
        <v>0.54360465116279066</v>
      </c>
      <c r="D756" s="28">
        <v>36347</v>
      </c>
      <c r="E756" s="14">
        <v>2.8341363386297225E-4</v>
      </c>
      <c r="F756" s="14">
        <v>1.3665011991745857E-3</v>
      </c>
      <c r="G756" s="14">
        <v>1.0869065442404846E-3</v>
      </c>
      <c r="H756" s="14">
        <v>1.0160557736869525E-3</v>
      </c>
    </row>
    <row r="757" spans="2:8" x14ac:dyDescent="0.25">
      <c r="B757" s="29">
        <v>749</v>
      </c>
      <c r="C757" s="30">
        <v>0.54433139534883723</v>
      </c>
      <c r="D757" s="28">
        <v>36348</v>
      </c>
      <c r="E757" s="14">
        <v>2.867731497897541E-4</v>
      </c>
      <c r="F757" s="14">
        <v>1.4271963888612405E-3</v>
      </c>
      <c r="G757" s="14">
        <v>1.093428628807791E-3</v>
      </c>
      <c r="H757" s="14">
        <v>1.0291064548860088E-3</v>
      </c>
    </row>
    <row r="758" spans="2:8" x14ac:dyDescent="0.25">
      <c r="B758" s="29">
        <v>750</v>
      </c>
      <c r="C758" s="30">
        <v>0.54505813953488369</v>
      </c>
      <c r="D758" s="28">
        <v>36349</v>
      </c>
      <c r="E758" s="14">
        <v>2.9187990447732126E-4</v>
      </c>
      <c r="F758" s="14">
        <v>1.436742289482984E-3</v>
      </c>
      <c r="G758" s="14">
        <v>1.1030478955007528E-3</v>
      </c>
      <c r="H758" s="14">
        <v>1.0394035572382169E-3</v>
      </c>
    </row>
    <row r="759" spans="2:8" x14ac:dyDescent="0.25">
      <c r="B759" s="29">
        <v>751</v>
      </c>
      <c r="C759" s="30">
        <v>0.54578488372093026</v>
      </c>
      <c r="D759" s="28">
        <v>36350</v>
      </c>
      <c r="E759" s="14">
        <v>3.0454905823806833E-4</v>
      </c>
      <c r="F759" s="14">
        <v>1.4495618369900765E-3</v>
      </c>
      <c r="G759" s="14">
        <v>1.1103983052644928E-3</v>
      </c>
      <c r="H759" s="14">
        <v>1.0440428971004057E-3</v>
      </c>
    </row>
    <row r="760" spans="2:8" x14ac:dyDescent="0.25">
      <c r="B760" s="29">
        <v>752</v>
      </c>
      <c r="C760" s="30">
        <v>0.54651162790697672</v>
      </c>
      <c r="D760" s="28">
        <v>36353</v>
      </c>
      <c r="E760" s="14">
        <v>3.0840740051707449E-4</v>
      </c>
      <c r="F760" s="14">
        <v>1.5410910924933408E-3</v>
      </c>
      <c r="G760" s="14">
        <v>1.1122411859836312E-3</v>
      </c>
      <c r="H760" s="14">
        <v>1.0505878457816476E-3</v>
      </c>
    </row>
    <row r="761" spans="2:8" x14ac:dyDescent="0.25">
      <c r="B761" s="29">
        <v>753</v>
      </c>
      <c r="C761" s="30">
        <v>0.54723837209302328</v>
      </c>
      <c r="D761" s="28">
        <v>36354</v>
      </c>
      <c r="E761" s="14">
        <v>3.1089385993543495E-4</v>
      </c>
      <c r="F761" s="14">
        <v>1.5538158130639079E-3</v>
      </c>
      <c r="G761" s="14">
        <v>1.1159528111384098E-3</v>
      </c>
      <c r="H761" s="14">
        <v>1.0573999598554981E-3</v>
      </c>
    </row>
    <row r="762" spans="2:8" x14ac:dyDescent="0.25">
      <c r="B762" s="29">
        <v>754</v>
      </c>
      <c r="C762" s="30">
        <v>0.54796511627906974</v>
      </c>
      <c r="D762" s="28">
        <v>36355</v>
      </c>
      <c r="E762" s="14">
        <v>3.4488944367860874E-4</v>
      </c>
      <c r="F762" s="14">
        <v>1.567955515324071E-3</v>
      </c>
      <c r="G762" s="14">
        <v>1.1176157530601305E-3</v>
      </c>
      <c r="H762" s="14">
        <v>1.0585842005383038E-3</v>
      </c>
    </row>
    <row r="763" spans="2:8" x14ac:dyDescent="0.25">
      <c r="B763" s="29">
        <v>755</v>
      </c>
      <c r="C763" s="30">
        <v>0.54869186046511631</v>
      </c>
      <c r="D763" s="28">
        <v>36356</v>
      </c>
      <c r="E763" s="14">
        <v>3.4506801997413739E-4</v>
      </c>
      <c r="F763" s="14">
        <v>1.5824199402791894E-3</v>
      </c>
      <c r="G763" s="14">
        <v>1.1232633757018995E-3</v>
      </c>
      <c r="H763" s="14">
        <v>1.060451332459134E-3</v>
      </c>
    </row>
    <row r="764" spans="2:8" x14ac:dyDescent="0.25">
      <c r="B764" s="29">
        <v>756</v>
      </c>
      <c r="C764" s="30">
        <v>0.54941860465116277</v>
      </c>
      <c r="D764" s="28">
        <v>36357</v>
      </c>
      <c r="E764" s="14">
        <v>3.5069604770643359E-4</v>
      </c>
      <c r="F764" s="14">
        <v>1.5858695498949249E-3</v>
      </c>
      <c r="G764" s="14">
        <v>1.1312269933776431E-3</v>
      </c>
      <c r="H764" s="14">
        <v>1.072178176126792E-3</v>
      </c>
    </row>
    <row r="765" spans="2:8" x14ac:dyDescent="0.25">
      <c r="B765" s="29">
        <v>757</v>
      </c>
      <c r="C765" s="30">
        <v>0.55014534883720934</v>
      </c>
      <c r="D765" s="28">
        <v>36360</v>
      </c>
      <c r="E765" s="14">
        <v>3.5150002636252786E-4</v>
      </c>
      <c r="F765" s="14">
        <v>1.5902984532714104E-3</v>
      </c>
      <c r="G765" s="14">
        <v>1.1344605909997529E-3</v>
      </c>
      <c r="H765" s="14">
        <v>1.0726626084032632E-3</v>
      </c>
    </row>
    <row r="766" spans="2:8" x14ac:dyDescent="0.25">
      <c r="B766" s="29">
        <v>758</v>
      </c>
      <c r="C766" s="30">
        <v>0.55087209302325579</v>
      </c>
      <c r="D766" s="28">
        <v>36361</v>
      </c>
      <c r="E766" s="14">
        <v>3.5534027669714696E-4</v>
      </c>
      <c r="F766" s="14">
        <v>1.6322009938936066E-3</v>
      </c>
      <c r="G766" s="14">
        <v>1.1355198797169397E-3</v>
      </c>
      <c r="H766" s="14">
        <v>1.0726721403116586E-3</v>
      </c>
    </row>
    <row r="767" spans="2:8" x14ac:dyDescent="0.25">
      <c r="B767" s="29">
        <v>759</v>
      </c>
      <c r="C767" s="30">
        <v>0.55159883720930236</v>
      </c>
      <c r="D767" s="28">
        <v>36362</v>
      </c>
      <c r="E767" s="14">
        <v>3.6354193715903982E-4</v>
      </c>
      <c r="F767" s="14">
        <v>1.6372737053842457E-3</v>
      </c>
      <c r="G767" s="14">
        <v>1.1449835408616771E-3</v>
      </c>
      <c r="H767" s="14">
        <v>1.0749727324839587E-3</v>
      </c>
    </row>
    <row r="768" spans="2:8" x14ac:dyDescent="0.25">
      <c r="B768" s="29">
        <v>760</v>
      </c>
      <c r="C768" s="30">
        <v>0.55232558139534882</v>
      </c>
      <c r="D768" s="28">
        <v>36363</v>
      </c>
      <c r="E768" s="14">
        <v>4.6478868351318425E-4</v>
      </c>
      <c r="F768" s="14">
        <v>1.6698687447256333E-3</v>
      </c>
      <c r="G768" s="14">
        <v>1.1643320564065363E-3</v>
      </c>
      <c r="H768" s="14">
        <v>1.0890901043472123E-3</v>
      </c>
    </row>
    <row r="769" spans="2:8" x14ac:dyDescent="0.25">
      <c r="B769" s="29">
        <v>761</v>
      </c>
      <c r="C769" s="30">
        <v>0.55305232558139539</v>
      </c>
      <c r="D769" s="28">
        <v>36364</v>
      </c>
      <c r="E769" s="14">
        <v>4.6981380361943437E-4</v>
      </c>
      <c r="F769" s="14">
        <v>1.6836584824146961E-3</v>
      </c>
      <c r="G769" s="14">
        <v>1.1679514132210134E-3</v>
      </c>
      <c r="H769" s="14">
        <v>1.1150913419722742E-3</v>
      </c>
    </row>
    <row r="770" spans="2:8" x14ac:dyDescent="0.25">
      <c r="B770" s="29">
        <v>762</v>
      </c>
      <c r="C770" s="30">
        <v>0.55377906976744184</v>
      </c>
      <c r="D770" s="28">
        <v>36367</v>
      </c>
      <c r="E770" s="14">
        <v>5.1719762611002196E-4</v>
      </c>
      <c r="F770" s="14">
        <v>1.7860468265924467E-3</v>
      </c>
      <c r="G770" s="14">
        <v>1.181691374816829E-3</v>
      </c>
      <c r="H770" s="14">
        <v>1.1158157926115743E-3</v>
      </c>
    </row>
    <row r="771" spans="2:8" x14ac:dyDescent="0.25">
      <c r="B771" s="29">
        <v>763</v>
      </c>
      <c r="C771" s="30">
        <v>0.55450581395348841</v>
      </c>
      <c r="D771" s="28">
        <v>36368</v>
      </c>
      <c r="E771" s="14">
        <v>5.2673330079278102E-4</v>
      </c>
      <c r="F771" s="14">
        <v>1.7951856385149956E-3</v>
      </c>
      <c r="G771" s="14">
        <v>1.1942482856852621E-3</v>
      </c>
      <c r="H771" s="14">
        <v>1.1158555983941333E-3</v>
      </c>
    </row>
    <row r="772" spans="2:8" x14ac:dyDescent="0.25">
      <c r="B772" s="29">
        <v>764</v>
      </c>
      <c r="C772" s="30">
        <v>0.55523255813953487</v>
      </c>
      <c r="D772" s="28">
        <v>36369</v>
      </c>
      <c r="E772" s="14">
        <v>5.9888258556628493E-4</v>
      </c>
      <c r="F772" s="14">
        <v>1.8122600022811852E-3</v>
      </c>
      <c r="G772" s="14">
        <v>1.2099213551119981E-3</v>
      </c>
      <c r="H772" s="14">
        <v>1.1208892721613407E-3</v>
      </c>
    </row>
    <row r="773" spans="2:8" x14ac:dyDescent="0.25">
      <c r="B773" s="29">
        <v>765</v>
      </c>
      <c r="C773" s="30">
        <v>0.55595930232558144</v>
      </c>
      <c r="D773" s="28">
        <v>36370</v>
      </c>
      <c r="E773" s="14">
        <v>5.9979007347421565E-4</v>
      </c>
      <c r="F773" s="14">
        <v>1.8526799974445396E-3</v>
      </c>
      <c r="G773" s="14">
        <v>1.2121212121212199E-3</v>
      </c>
      <c r="H773" s="14">
        <v>1.126965586604367E-3</v>
      </c>
    </row>
    <row r="774" spans="2:8" x14ac:dyDescent="0.25">
      <c r="B774" s="29">
        <v>766</v>
      </c>
      <c r="C774" s="30">
        <v>0.5566860465116279</v>
      </c>
      <c r="D774" s="28">
        <v>36371</v>
      </c>
      <c r="E774" s="14">
        <v>6.0078101531990669E-4</v>
      </c>
      <c r="F774" s="14">
        <v>1.8545184797311709E-3</v>
      </c>
      <c r="G774" s="14">
        <v>1.2128268568378786E-3</v>
      </c>
      <c r="H774" s="14">
        <v>1.1313953958744355E-3</v>
      </c>
    </row>
    <row r="775" spans="2:8" x14ac:dyDescent="0.25">
      <c r="B775" s="29">
        <v>767</v>
      </c>
      <c r="C775" s="30">
        <v>0.55741279069767447</v>
      </c>
      <c r="D775" s="28">
        <v>36374</v>
      </c>
      <c r="E775" s="14">
        <v>6.2656641603986429E-4</v>
      </c>
      <c r="F775" s="14">
        <v>1.8611347654708954E-3</v>
      </c>
      <c r="G775" s="14">
        <v>1.2257633162469084E-3</v>
      </c>
      <c r="H775" s="14">
        <v>1.1341580032206533E-3</v>
      </c>
    </row>
    <row r="776" spans="2:8" x14ac:dyDescent="0.25">
      <c r="B776" s="29">
        <v>768</v>
      </c>
      <c r="C776" s="30">
        <v>0.55813953488372092</v>
      </c>
      <c r="D776" s="28">
        <v>36375</v>
      </c>
      <c r="E776" s="14">
        <v>6.4599483204119679E-4</v>
      </c>
      <c r="F776" s="14">
        <v>1.8634125827476922E-3</v>
      </c>
      <c r="G776" s="14">
        <v>1.2363823186101186E-3</v>
      </c>
      <c r="H776" s="14">
        <v>1.1370349618113008E-3</v>
      </c>
    </row>
    <row r="777" spans="2:8" x14ac:dyDescent="0.25">
      <c r="B777" s="29">
        <v>769</v>
      </c>
      <c r="C777" s="30">
        <v>0.55886627906976749</v>
      </c>
      <c r="D777" s="28">
        <v>36376</v>
      </c>
      <c r="E777" s="14">
        <v>6.4648828333391251E-4</v>
      </c>
      <c r="F777" s="14">
        <v>1.8784303366501387E-3</v>
      </c>
      <c r="G777" s="14">
        <v>1.2432047266914825E-3</v>
      </c>
      <c r="H777" s="14">
        <v>1.1427198321823484E-3</v>
      </c>
    </row>
    <row r="778" spans="2:8" x14ac:dyDescent="0.25">
      <c r="B778" s="29">
        <v>770</v>
      </c>
      <c r="C778" s="30">
        <v>0.55959302325581395</v>
      </c>
      <c r="D778" s="28">
        <v>36377</v>
      </c>
      <c r="E778" s="14">
        <v>6.6258075202929589E-4</v>
      </c>
      <c r="F778" s="14">
        <v>1.8835938971557553E-3</v>
      </c>
      <c r="G778" s="14">
        <v>1.2455415274867931E-3</v>
      </c>
      <c r="H778" s="14">
        <v>1.1466457255784324E-3</v>
      </c>
    </row>
    <row r="779" spans="2:8" x14ac:dyDescent="0.25">
      <c r="B779" s="29">
        <v>771</v>
      </c>
      <c r="C779" s="30">
        <v>0.56031976744186052</v>
      </c>
      <c r="D779" s="28">
        <v>36378</v>
      </c>
      <c r="E779" s="14">
        <v>6.6841650499682714E-4</v>
      </c>
      <c r="F779" s="14">
        <v>1.8850041001501339E-3</v>
      </c>
      <c r="G779" s="14">
        <v>1.2507477296208602E-3</v>
      </c>
      <c r="H779" s="14">
        <v>1.1510621021566525E-3</v>
      </c>
    </row>
    <row r="780" spans="2:8" x14ac:dyDescent="0.25">
      <c r="B780" s="29">
        <v>772</v>
      </c>
      <c r="C780" s="30">
        <v>0.56104651162790697</v>
      </c>
      <c r="D780" s="28">
        <v>36381</v>
      </c>
      <c r="E780" s="14">
        <v>6.84697021567926E-4</v>
      </c>
      <c r="F780" s="14">
        <v>1.9222249217532017E-3</v>
      </c>
      <c r="G780" s="14">
        <v>1.2551655392354366E-3</v>
      </c>
      <c r="H780" s="14">
        <v>1.1542855861990556E-3</v>
      </c>
    </row>
    <row r="781" spans="2:8" x14ac:dyDescent="0.25">
      <c r="B781" s="29">
        <v>773</v>
      </c>
      <c r="C781" s="30">
        <v>0.56177325581395354</v>
      </c>
      <c r="D781" s="28">
        <v>36382</v>
      </c>
      <c r="E781" s="14">
        <v>6.8909338816847132E-4</v>
      </c>
      <c r="F781" s="14">
        <v>1.9238194590274205E-3</v>
      </c>
      <c r="G781" s="14">
        <v>1.2566760917371855E-3</v>
      </c>
      <c r="H781" s="14">
        <v>1.1590851045522265E-3</v>
      </c>
    </row>
    <row r="782" spans="2:8" x14ac:dyDescent="0.25">
      <c r="B782" s="29">
        <v>774</v>
      </c>
      <c r="C782" s="30">
        <v>0.5625</v>
      </c>
      <c r="D782" s="28">
        <v>36383</v>
      </c>
      <c r="E782" s="14">
        <v>6.916161530350351E-4</v>
      </c>
      <c r="F782" s="14">
        <v>1.9468313641246571E-3</v>
      </c>
      <c r="G782" s="14">
        <v>1.2703789964005896E-3</v>
      </c>
      <c r="H782" s="14">
        <v>1.1649152976342058E-3</v>
      </c>
    </row>
    <row r="783" spans="2:8" x14ac:dyDescent="0.25">
      <c r="B783" s="29">
        <v>775</v>
      </c>
      <c r="C783" s="30">
        <v>0.56322674418604646</v>
      </c>
      <c r="D783" s="28">
        <v>36384</v>
      </c>
      <c r="E783" s="14">
        <v>6.958711644244886E-4</v>
      </c>
      <c r="F783" s="14">
        <v>1.9558985076224555E-3</v>
      </c>
      <c r="G783" s="14">
        <v>1.2719649502990205E-3</v>
      </c>
      <c r="H783" s="14">
        <v>1.2260808831950243E-3</v>
      </c>
    </row>
    <row r="784" spans="2:8" x14ac:dyDescent="0.25">
      <c r="B784" s="29">
        <v>776</v>
      </c>
      <c r="C784" s="30">
        <v>0.56395348837209303</v>
      </c>
      <c r="D784" s="28">
        <v>36385</v>
      </c>
      <c r="E784" s="14">
        <v>7.1058775758792159E-4</v>
      </c>
      <c r="F784" s="14">
        <v>1.9703236863946039E-3</v>
      </c>
      <c r="G784" s="14">
        <v>1.2780295108631989E-3</v>
      </c>
      <c r="H784" s="14">
        <v>1.22653801237953E-3</v>
      </c>
    </row>
    <row r="785" spans="2:8" x14ac:dyDescent="0.25">
      <c r="B785" s="29">
        <v>777</v>
      </c>
      <c r="C785" s="30">
        <v>0.56468023255813948</v>
      </c>
      <c r="D785" s="28">
        <v>36388</v>
      </c>
      <c r="E785" s="14">
        <v>7.1608560825153766E-4</v>
      </c>
      <c r="F785" s="14">
        <v>2.02935207788002E-3</v>
      </c>
      <c r="G785" s="14">
        <v>1.278695694004961E-3</v>
      </c>
      <c r="H785" s="14">
        <v>1.2270376410625783E-3</v>
      </c>
    </row>
    <row r="786" spans="2:8" x14ac:dyDescent="0.25">
      <c r="B786" s="29">
        <v>778</v>
      </c>
      <c r="C786" s="30">
        <v>0.56540697674418605</v>
      </c>
      <c r="D786" s="28">
        <v>36389</v>
      </c>
      <c r="E786" s="14">
        <v>7.1690108214572668E-4</v>
      </c>
      <c r="F786" s="14">
        <v>2.0329892150643403E-3</v>
      </c>
      <c r="G786" s="14">
        <v>1.3151096707526566E-3</v>
      </c>
      <c r="H786" s="14">
        <v>1.2280124115357615E-3</v>
      </c>
    </row>
    <row r="787" spans="2:8" x14ac:dyDescent="0.25">
      <c r="B787" s="29">
        <v>779</v>
      </c>
      <c r="C787" s="30">
        <v>0.56613372093023251</v>
      </c>
      <c r="D787" s="28">
        <v>36390</v>
      </c>
      <c r="E787" s="14">
        <v>7.2119613016718986E-4</v>
      </c>
      <c r="F787" s="14">
        <v>2.036002319329544E-3</v>
      </c>
      <c r="G787" s="14">
        <v>1.331494602691663E-3</v>
      </c>
      <c r="H787" s="14">
        <v>1.2317321261650972E-3</v>
      </c>
    </row>
    <row r="788" spans="2:8" x14ac:dyDescent="0.25">
      <c r="B788" s="29">
        <v>780</v>
      </c>
      <c r="C788" s="30">
        <v>0.56686046511627908</v>
      </c>
      <c r="D788" s="28">
        <v>36391</v>
      </c>
      <c r="E788" s="14">
        <v>7.2789248495408465E-4</v>
      </c>
      <c r="F788" s="14">
        <v>2.0531998753414715E-3</v>
      </c>
      <c r="G788" s="14">
        <v>1.3375254289906824E-3</v>
      </c>
      <c r="H788" s="14">
        <v>1.2345178549444391E-3</v>
      </c>
    </row>
    <row r="789" spans="2:8" x14ac:dyDescent="0.25">
      <c r="B789" s="29">
        <v>781</v>
      </c>
      <c r="C789" s="30">
        <v>0.56758720930232553</v>
      </c>
      <c r="D789" s="28">
        <v>36392</v>
      </c>
      <c r="E789" s="14">
        <v>7.3329143096589888E-4</v>
      </c>
      <c r="F789" s="14">
        <v>2.0819658680670816E-3</v>
      </c>
      <c r="G789" s="14">
        <v>1.3429760412111413E-3</v>
      </c>
      <c r="H789" s="14">
        <v>1.2350702370982792E-3</v>
      </c>
    </row>
    <row r="790" spans="2:8" x14ac:dyDescent="0.25">
      <c r="B790" s="29">
        <v>782</v>
      </c>
      <c r="C790" s="30">
        <v>0.5683139534883721</v>
      </c>
      <c r="D790" s="28">
        <v>36395</v>
      </c>
      <c r="E790" s="14">
        <v>7.4749588877254247E-4</v>
      </c>
      <c r="F790" s="14">
        <v>2.1002005691543868E-3</v>
      </c>
      <c r="G790" s="14">
        <v>1.3508139667459673E-3</v>
      </c>
      <c r="H790" s="14">
        <v>1.2402676645743903E-3</v>
      </c>
    </row>
    <row r="791" spans="2:8" x14ac:dyDescent="0.25">
      <c r="B791" s="29">
        <v>783</v>
      </c>
      <c r="C791" s="30">
        <v>0.56904069767441856</v>
      </c>
      <c r="D791" s="28">
        <v>36396</v>
      </c>
      <c r="E791" s="14">
        <v>7.7302109115007234E-4</v>
      </c>
      <c r="F791" s="14">
        <v>2.1254145312028516E-3</v>
      </c>
      <c r="G791" s="14">
        <v>1.3586153937032996E-3</v>
      </c>
      <c r="H791" s="14">
        <v>1.2444359126150496E-3</v>
      </c>
    </row>
    <row r="792" spans="2:8" x14ac:dyDescent="0.25">
      <c r="B792" s="29">
        <v>784</v>
      </c>
      <c r="C792" s="30">
        <v>0.56976744186046513</v>
      </c>
      <c r="D792" s="28">
        <v>36397</v>
      </c>
      <c r="E792" s="14">
        <v>7.7433799361537048E-4</v>
      </c>
      <c r="F792" s="14">
        <v>2.1259407287725907E-3</v>
      </c>
      <c r="G792" s="14">
        <v>1.3656335352096871E-3</v>
      </c>
      <c r="H792" s="14">
        <v>1.2498524172928074E-3</v>
      </c>
    </row>
    <row r="793" spans="2:8" x14ac:dyDescent="0.25">
      <c r="B793" s="29">
        <v>785</v>
      </c>
      <c r="C793" s="30">
        <v>0.57049418604651159</v>
      </c>
      <c r="D793" s="28">
        <v>36398</v>
      </c>
      <c r="E793" s="14">
        <v>7.7703527740147216E-4</v>
      </c>
      <c r="F793" s="14">
        <v>2.151982016558085E-3</v>
      </c>
      <c r="G793" s="14">
        <v>1.3664398612396322E-3</v>
      </c>
      <c r="H793" s="14">
        <v>1.2499247095370879E-3</v>
      </c>
    </row>
    <row r="794" spans="2:8" x14ac:dyDescent="0.25">
      <c r="B794" s="29">
        <v>786</v>
      </c>
      <c r="C794" s="30">
        <v>0.57122093023255816</v>
      </c>
      <c r="D794" s="28">
        <v>36399</v>
      </c>
      <c r="E794" s="14">
        <v>7.860242321275912E-4</v>
      </c>
      <c r="F794" s="14">
        <v>2.1782594970010116E-3</v>
      </c>
      <c r="G794" s="14">
        <v>1.3774782309241562E-3</v>
      </c>
      <c r="H794" s="14">
        <v>1.2582623414286068E-3</v>
      </c>
    </row>
    <row r="795" spans="2:8" x14ac:dyDescent="0.25">
      <c r="B795" s="29">
        <v>787</v>
      </c>
      <c r="C795" s="30">
        <v>0.57194767441860461</v>
      </c>
      <c r="D795" s="28">
        <v>36402</v>
      </c>
      <c r="E795" s="14">
        <v>7.93886909640662E-4</v>
      </c>
      <c r="F795" s="14">
        <v>2.1941935965368309E-3</v>
      </c>
      <c r="G795" s="14">
        <v>1.424030359122197E-3</v>
      </c>
      <c r="H795" s="14">
        <v>1.2648401873156081E-3</v>
      </c>
    </row>
    <row r="796" spans="2:8" x14ac:dyDescent="0.25">
      <c r="B796" s="29">
        <v>788</v>
      </c>
      <c r="C796" s="30">
        <v>0.57267441860465118</v>
      </c>
      <c r="D796" s="28">
        <v>36403</v>
      </c>
      <c r="E796" s="14">
        <v>7.9569102705367989E-4</v>
      </c>
      <c r="F796" s="14">
        <v>2.2407806788113938E-3</v>
      </c>
      <c r="G796" s="14">
        <v>1.4517866341965391E-3</v>
      </c>
      <c r="H796" s="14">
        <v>1.2735546049376101E-3</v>
      </c>
    </row>
    <row r="797" spans="2:8" x14ac:dyDescent="0.25">
      <c r="B797" s="29">
        <v>789</v>
      </c>
      <c r="C797" s="30">
        <v>0.57340116279069764</v>
      </c>
      <c r="D797" s="28">
        <v>36404</v>
      </c>
      <c r="E797" s="14">
        <v>8.1224871055529668E-4</v>
      </c>
      <c r="F797" s="14">
        <v>2.2451465214903266E-3</v>
      </c>
      <c r="G797" s="14">
        <v>1.4762326542663295E-3</v>
      </c>
      <c r="H797" s="14">
        <v>1.2803714118170496E-3</v>
      </c>
    </row>
    <row r="798" spans="2:8" x14ac:dyDescent="0.25">
      <c r="B798" s="29">
        <v>790</v>
      </c>
      <c r="C798" s="30">
        <v>0.57412790697674421</v>
      </c>
      <c r="D798" s="28">
        <v>36405</v>
      </c>
      <c r="E798" s="14">
        <v>8.1973612303842813E-4</v>
      </c>
      <c r="F798" s="14">
        <v>2.2461371377795469E-3</v>
      </c>
      <c r="G798" s="14">
        <v>1.4810080127105607E-3</v>
      </c>
      <c r="H798" s="14">
        <v>1.2891588349611461E-3</v>
      </c>
    </row>
    <row r="799" spans="2:8" x14ac:dyDescent="0.25">
      <c r="B799" s="29">
        <v>791</v>
      </c>
      <c r="C799" s="30">
        <v>0.57485465116279066</v>
      </c>
      <c r="D799" s="28">
        <v>36406</v>
      </c>
      <c r="E799" s="14">
        <v>8.2236842105265495E-4</v>
      </c>
      <c r="F799" s="14">
        <v>2.2518334882759561E-3</v>
      </c>
      <c r="G799" s="14">
        <v>1.4877672470794412E-3</v>
      </c>
      <c r="H799" s="14">
        <v>1.2900400526457915E-3</v>
      </c>
    </row>
    <row r="800" spans="2:8" x14ac:dyDescent="0.25">
      <c r="B800" s="29">
        <v>792</v>
      </c>
      <c r="C800" s="30">
        <v>0.57558139534883723</v>
      </c>
      <c r="D800" s="28">
        <v>36409</v>
      </c>
      <c r="E800" s="14">
        <v>8.2879403386360018E-4</v>
      </c>
      <c r="F800" s="14">
        <v>2.2587675847036692E-3</v>
      </c>
      <c r="G800" s="14">
        <v>1.5046627289447834E-3</v>
      </c>
      <c r="H800" s="14">
        <v>1.3083469174921983E-3</v>
      </c>
    </row>
    <row r="801" spans="2:8" x14ac:dyDescent="0.25">
      <c r="B801" s="29">
        <v>793</v>
      </c>
      <c r="C801" s="30">
        <v>0.57630813953488369</v>
      </c>
      <c r="D801" s="28">
        <v>36410</v>
      </c>
      <c r="E801" s="14">
        <v>8.3238412336816836E-4</v>
      </c>
      <c r="F801" s="14">
        <v>2.3141919164739733E-3</v>
      </c>
      <c r="G801" s="14">
        <v>1.5269718753383454E-3</v>
      </c>
      <c r="H801" s="14">
        <v>1.3232967093170121E-3</v>
      </c>
    </row>
    <row r="802" spans="2:8" x14ac:dyDescent="0.25">
      <c r="B802" s="29">
        <v>794</v>
      </c>
      <c r="C802" s="30">
        <v>0.57703488372093026</v>
      </c>
      <c r="D802" s="28">
        <v>36411</v>
      </c>
      <c r="E802" s="14">
        <v>8.3598060524980866E-4</v>
      </c>
      <c r="F802" s="14">
        <v>2.3273680404916064E-3</v>
      </c>
      <c r="G802" s="14">
        <v>1.5364594783466856E-3</v>
      </c>
      <c r="H802" s="14">
        <v>1.3247630815178993E-3</v>
      </c>
    </row>
    <row r="803" spans="2:8" x14ac:dyDescent="0.25">
      <c r="B803" s="29">
        <v>795</v>
      </c>
      <c r="C803" s="30">
        <v>0.57776162790697672</v>
      </c>
      <c r="D803" s="28">
        <v>36412</v>
      </c>
      <c r="E803" s="14">
        <v>8.4147234736664522E-4</v>
      </c>
      <c r="F803" s="14">
        <v>2.331100769432215E-3</v>
      </c>
      <c r="G803" s="14">
        <v>1.5407876455930669E-3</v>
      </c>
      <c r="H803" s="14">
        <v>1.3354558165350916E-3</v>
      </c>
    </row>
    <row r="804" spans="2:8" x14ac:dyDescent="0.25">
      <c r="B804" s="29">
        <v>796</v>
      </c>
      <c r="C804" s="30">
        <v>0.57848837209302328</v>
      </c>
      <c r="D804" s="28">
        <v>36413</v>
      </c>
      <c r="E804" s="14">
        <v>8.4443500679198813E-4</v>
      </c>
      <c r="F804" s="14">
        <v>2.3510336441021629E-3</v>
      </c>
      <c r="G804" s="14">
        <v>1.5541206474776192E-3</v>
      </c>
      <c r="H804" s="14">
        <v>1.3389798360226471E-3</v>
      </c>
    </row>
    <row r="805" spans="2:8" x14ac:dyDescent="0.25">
      <c r="B805" s="29">
        <v>797</v>
      </c>
      <c r="C805" s="30">
        <v>0.57921511627906974</v>
      </c>
      <c r="D805" s="28">
        <v>36416</v>
      </c>
      <c r="E805" s="14">
        <v>8.5190642266774752E-4</v>
      </c>
      <c r="F805" s="14">
        <v>2.3524321985777252E-3</v>
      </c>
      <c r="G805" s="14">
        <v>1.5553642321368688E-3</v>
      </c>
      <c r="H805" s="14">
        <v>1.3569602045088614E-3</v>
      </c>
    </row>
    <row r="806" spans="2:8" x14ac:dyDescent="0.25">
      <c r="B806" s="29">
        <v>798</v>
      </c>
      <c r="C806" s="30">
        <v>0.57994186046511631</v>
      </c>
      <c r="D806" s="28">
        <v>36417</v>
      </c>
      <c r="E806" s="14">
        <v>8.5602118998173715E-4</v>
      </c>
      <c r="F806" s="14">
        <v>2.3531549538908791E-3</v>
      </c>
      <c r="G806" s="14">
        <v>1.5591814500854895E-3</v>
      </c>
      <c r="H806" s="14">
        <v>1.3577107904638288E-3</v>
      </c>
    </row>
    <row r="807" spans="2:8" x14ac:dyDescent="0.25">
      <c r="B807" s="29">
        <v>799</v>
      </c>
      <c r="C807" s="30">
        <v>0.58066860465116277</v>
      </c>
      <c r="D807" s="28">
        <v>36418</v>
      </c>
      <c r="E807" s="14">
        <v>8.8391359311734696E-4</v>
      </c>
      <c r="F807" s="14">
        <v>2.3645159536880289E-3</v>
      </c>
      <c r="G807" s="14">
        <v>1.5843000971020871E-3</v>
      </c>
      <c r="H807" s="14">
        <v>1.362390406011338E-3</v>
      </c>
    </row>
    <row r="808" spans="2:8" x14ac:dyDescent="0.25">
      <c r="B808" s="29">
        <v>800</v>
      </c>
      <c r="C808" s="30">
        <v>0.58139534883720934</v>
      </c>
      <c r="D808" s="28">
        <v>36419</v>
      </c>
      <c r="E808" s="14">
        <v>9.1792548839619847E-4</v>
      </c>
      <c r="F808" s="14">
        <v>2.4017642699618591E-3</v>
      </c>
      <c r="G808" s="14">
        <v>1.5845430382335213E-3</v>
      </c>
      <c r="H808" s="14">
        <v>1.3685467066245848E-3</v>
      </c>
    </row>
    <row r="809" spans="2:8" x14ac:dyDescent="0.25">
      <c r="B809" s="29">
        <v>801</v>
      </c>
      <c r="C809" s="30">
        <v>0.58212209302325579</v>
      </c>
      <c r="D809" s="28">
        <v>36420</v>
      </c>
      <c r="E809" s="14">
        <v>9.2406148068735483E-4</v>
      </c>
      <c r="F809" s="14">
        <v>2.4024673089870774E-3</v>
      </c>
      <c r="G809" s="14">
        <v>1.5893001987532518E-3</v>
      </c>
      <c r="H809" s="14">
        <v>1.3740397509340418E-3</v>
      </c>
    </row>
    <row r="810" spans="2:8" x14ac:dyDescent="0.25">
      <c r="B810" s="29">
        <v>802</v>
      </c>
      <c r="C810" s="30">
        <v>0.58284883720930236</v>
      </c>
      <c r="D810" s="28">
        <v>36423</v>
      </c>
      <c r="E810" s="14">
        <v>9.333430282354449E-4</v>
      </c>
      <c r="F810" s="14">
        <v>2.4027342344656866E-3</v>
      </c>
      <c r="G810" s="14">
        <v>1.5963335071207396E-3</v>
      </c>
      <c r="H810" s="14">
        <v>1.4023910053424515E-3</v>
      </c>
    </row>
    <row r="811" spans="2:8" x14ac:dyDescent="0.25">
      <c r="B811" s="29">
        <v>803</v>
      </c>
      <c r="C811" s="30">
        <v>0.58357558139534882</v>
      </c>
      <c r="D811" s="28">
        <v>36424</v>
      </c>
      <c r="E811" s="14">
        <v>9.4043527368170565E-4</v>
      </c>
      <c r="F811" s="14">
        <v>2.4109991754204252E-3</v>
      </c>
      <c r="G811" s="14">
        <v>1.6139784723563366E-3</v>
      </c>
      <c r="H811" s="14">
        <v>1.4114312654486484E-3</v>
      </c>
    </row>
    <row r="812" spans="2:8" x14ac:dyDescent="0.25">
      <c r="B812" s="29">
        <v>804</v>
      </c>
      <c r="C812" s="30">
        <v>0.58430232558139539</v>
      </c>
      <c r="D812" s="28">
        <v>36425</v>
      </c>
      <c r="E812" s="14">
        <v>9.6385170508184181E-4</v>
      </c>
      <c r="F812" s="14">
        <v>2.4113746305745032E-3</v>
      </c>
      <c r="G812" s="14">
        <v>1.6175026036999718E-3</v>
      </c>
      <c r="H812" s="14">
        <v>1.415918286779028E-3</v>
      </c>
    </row>
    <row r="813" spans="2:8" x14ac:dyDescent="0.25">
      <c r="B813" s="29">
        <v>805</v>
      </c>
      <c r="C813" s="30">
        <v>0.58502906976744184</v>
      </c>
      <c r="D813" s="28">
        <v>36426</v>
      </c>
      <c r="E813" s="14">
        <v>9.6914505738299184E-4</v>
      </c>
      <c r="F813" s="14">
        <v>2.4118788401423785E-3</v>
      </c>
      <c r="G813" s="14">
        <v>1.6452780519908838E-3</v>
      </c>
      <c r="H813" s="14">
        <v>1.4363064775447798E-3</v>
      </c>
    </row>
    <row r="814" spans="2:8" x14ac:dyDescent="0.25">
      <c r="B814" s="29">
        <v>806</v>
      </c>
      <c r="C814" s="30">
        <v>0.58575581395348841</v>
      </c>
      <c r="D814" s="28">
        <v>36427</v>
      </c>
      <c r="E814" s="14">
        <v>1.0260993330353241E-3</v>
      </c>
      <c r="F814" s="14">
        <v>2.5365014206200076E-3</v>
      </c>
      <c r="G814" s="14">
        <v>1.6587510648002901E-3</v>
      </c>
      <c r="H814" s="14">
        <v>1.4381684783663308E-3</v>
      </c>
    </row>
    <row r="815" spans="2:8" x14ac:dyDescent="0.25">
      <c r="B815" s="29">
        <v>807</v>
      </c>
      <c r="C815" s="30">
        <v>0.58648255813953487</v>
      </c>
      <c r="D815" s="28">
        <v>36430</v>
      </c>
      <c r="E815" s="14">
        <v>1.0467347690399365E-3</v>
      </c>
      <c r="F815" s="14">
        <v>2.5377150362804191E-3</v>
      </c>
      <c r="G815" s="14">
        <v>1.6801002483191052E-3</v>
      </c>
      <c r="H815" s="14">
        <v>1.4477405404224486E-3</v>
      </c>
    </row>
    <row r="816" spans="2:8" x14ac:dyDescent="0.25">
      <c r="B816" s="29">
        <v>808</v>
      </c>
      <c r="C816" s="30">
        <v>0.58720930232558144</v>
      </c>
      <c r="D816" s="28">
        <v>36431</v>
      </c>
      <c r="E816" s="14">
        <v>1.066667493695439E-3</v>
      </c>
      <c r="F816" s="14">
        <v>2.5752571619794828E-3</v>
      </c>
      <c r="G816" s="14">
        <v>1.6851565791320411E-3</v>
      </c>
      <c r="H816" s="14">
        <v>1.4484726596763141E-3</v>
      </c>
    </row>
    <row r="817" spans="2:8" x14ac:dyDescent="0.25">
      <c r="B817" s="29">
        <v>809</v>
      </c>
      <c r="C817" s="30">
        <v>0.5879360465116279</v>
      </c>
      <c r="D817" s="28">
        <v>36432</v>
      </c>
      <c r="E817" s="14">
        <v>1.0866465818653026E-3</v>
      </c>
      <c r="F817" s="14">
        <v>2.5987972508589863E-3</v>
      </c>
      <c r="G817" s="14">
        <v>1.6867667760838145E-3</v>
      </c>
      <c r="H817" s="14">
        <v>1.4589328329820185E-3</v>
      </c>
    </row>
    <row r="818" spans="2:8" x14ac:dyDescent="0.25">
      <c r="B818" s="29">
        <v>810</v>
      </c>
      <c r="C818" s="30">
        <v>0.58866279069767447</v>
      </c>
      <c r="D818" s="28">
        <v>36433</v>
      </c>
      <c r="E818" s="14">
        <v>1.0944868340696523E-3</v>
      </c>
      <c r="F818" s="14">
        <v>2.6090377066156911E-3</v>
      </c>
      <c r="G818" s="14">
        <v>1.7016535672624844E-3</v>
      </c>
      <c r="H818" s="14">
        <v>1.461459688927702E-3</v>
      </c>
    </row>
    <row r="819" spans="2:8" x14ac:dyDescent="0.25">
      <c r="B819" s="29">
        <v>811</v>
      </c>
      <c r="C819" s="30">
        <v>0.58938953488372092</v>
      </c>
      <c r="D819" s="28">
        <v>36434</v>
      </c>
      <c r="E819" s="14">
        <v>1.1042071249673935E-3</v>
      </c>
      <c r="F819" s="14">
        <v>2.6099706744868723E-3</v>
      </c>
      <c r="G819" s="14">
        <v>1.7086873237015521E-3</v>
      </c>
      <c r="H819" s="14">
        <v>1.4724137205163411E-3</v>
      </c>
    </row>
    <row r="820" spans="2:8" x14ac:dyDescent="0.25">
      <c r="B820" s="29">
        <v>812</v>
      </c>
      <c r="C820" s="30">
        <v>0.59011627906976749</v>
      </c>
      <c r="D820" s="28">
        <v>36437</v>
      </c>
      <c r="E820" s="14">
        <v>1.1047300066022725E-3</v>
      </c>
      <c r="F820" s="14">
        <v>2.6113157013725186E-3</v>
      </c>
      <c r="G820" s="14">
        <v>1.7155110793423134E-3</v>
      </c>
      <c r="H820" s="14">
        <v>1.4908807468113406E-3</v>
      </c>
    </row>
    <row r="821" spans="2:8" x14ac:dyDescent="0.25">
      <c r="B821" s="29">
        <v>813</v>
      </c>
      <c r="C821" s="30">
        <v>0.59084302325581395</v>
      </c>
      <c r="D821" s="28">
        <v>36438</v>
      </c>
      <c r="E821" s="14">
        <v>1.1771109787808154E-3</v>
      </c>
      <c r="F821" s="14">
        <v>2.6174161103431626E-3</v>
      </c>
      <c r="G821" s="14">
        <v>1.7226369075327153E-3</v>
      </c>
      <c r="H821" s="14">
        <v>1.4921209137045645E-3</v>
      </c>
    </row>
    <row r="822" spans="2:8" x14ac:dyDescent="0.25">
      <c r="B822" s="29">
        <v>814</v>
      </c>
      <c r="C822" s="30">
        <v>0.59156976744186052</v>
      </c>
      <c r="D822" s="28">
        <v>36439</v>
      </c>
      <c r="E822" s="14">
        <v>1.1810806569449994E-3</v>
      </c>
      <c r="F822" s="14">
        <v>2.6188822347796847E-3</v>
      </c>
      <c r="G822" s="14">
        <v>1.7247160225437597E-3</v>
      </c>
      <c r="H822" s="14">
        <v>1.4935207503107067E-3</v>
      </c>
    </row>
    <row r="823" spans="2:8" x14ac:dyDescent="0.25">
      <c r="B823" s="29">
        <v>815</v>
      </c>
      <c r="C823" s="30">
        <v>0.59229651162790697</v>
      </c>
      <c r="D823" s="28">
        <v>36440</v>
      </c>
      <c r="E823" s="14">
        <v>1.2297962052003619E-3</v>
      </c>
      <c r="F823" s="14">
        <v>2.6189561182514698E-3</v>
      </c>
      <c r="G823" s="14">
        <v>1.7334340626882216E-3</v>
      </c>
      <c r="H823" s="14">
        <v>1.5012217296583863E-3</v>
      </c>
    </row>
    <row r="824" spans="2:8" x14ac:dyDescent="0.25">
      <c r="B824" s="29">
        <v>816</v>
      </c>
      <c r="C824" s="30">
        <v>0.59302325581395354</v>
      </c>
      <c r="D824" s="28">
        <v>36441</v>
      </c>
      <c r="E824" s="14">
        <v>1.2318847455061732E-3</v>
      </c>
      <c r="F824" s="14">
        <v>2.6754966887416742E-3</v>
      </c>
      <c r="G824" s="14">
        <v>1.7445548741805705E-3</v>
      </c>
      <c r="H824" s="14">
        <v>1.5133728858769846E-3</v>
      </c>
    </row>
    <row r="825" spans="2:8" x14ac:dyDescent="0.25">
      <c r="B825" s="29">
        <v>817</v>
      </c>
      <c r="C825" s="30">
        <v>0.59375</v>
      </c>
      <c r="D825" s="28">
        <v>36444</v>
      </c>
      <c r="E825" s="14">
        <v>1.2373760349377871E-3</v>
      </c>
      <c r="F825" s="14">
        <v>2.6801243121490348E-3</v>
      </c>
      <c r="G825" s="14">
        <v>1.7476064394545965E-3</v>
      </c>
      <c r="H825" s="14">
        <v>1.5201194582695086E-3</v>
      </c>
    </row>
    <row r="826" spans="2:8" x14ac:dyDescent="0.25">
      <c r="B826" s="29">
        <v>818</v>
      </c>
      <c r="C826" s="30">
        <v>0.59447674418604646</v>
      </c>
      <c r="D826" s="28">
        <v>36445</v>
      </c>
      <c r="E826" s="14">
        <v>1.2489689710541985E-3</v>
      </c>
      <c r="F826" s="14">
        <v>2.6876696480220286E-3</v>
      </c>
      <c r="G826" s="14">
        <v>1.7477315615292977E-3</v>
      </c>
      <c r="H826" s="14">
        <v>1.5423437850150992E-3</v>
      </c>
    </row>
    <row r="827" spans="2:8" x14ac:dyDescent="0.25">
      <c r="B827" s="29">
        <v>819</v>
      </c>
      <c r="C827" s="30">
        <v>0.59520348837209303</v>
      </c>
      <c r="D827" s="28">
        <v>36446</v>
      </c>
      <c r="E827" s="14">
        <v>1.3203498927214508E-3</v>
      </c>
      <c r="F827" s="14">
        <v>2.6899568101081961E-3</v>
      </c>
      <c r="G827" s="14">
        <v>1.7498177818269234E-3</v>
      </c>
      <c r="H827" s="14">
        <v>1.5431596583311614E-3</v>
      </c>
    </row>
    <row r="828" spans="2:8" x14ac:dyDescent="0.25">
      <c r="B828" s="29">
        <v>820</v>
      </c>
      <c r="C828" s="30">
        <v>0.59593023255813948</v>
      </c>
      <c r="D828" s="28">
        <v>36447</v>
      </c>
      <c r="E828" s="14">
        <v>1.352739726027341E-3</v>
      </c>
      <c r="F828" s="14">
        <v>2.6930748395408433E-3</v>
      </c>
      <c r="G828" s="14">
        <v>1.7523055046491098E-3</v>
      </c>
      <c r="H828" s="14">
        <v>1.543775037285755E-3</v>
      </c>
    </row>
    <row r="829" spans="2:8" x14ac:dyDescent="0.25">
      <c r="B829" s="29">
        <v>821</v>
      </c>
      <c r="C829" s="30">
        <v>0.59665697674418605</v>
      </c>
      <c r="D829" s="28">
        <v>36448</v>
      </c>
      <c r="E829" s="14">
        <v>1.3804393725640463E-3</v>
      </c>
      <c r="F829" s="14">
        <v>2.7237566051097062E-3</v>
      </c>
      <c r="G829" s="14">
        <v>1.7719352620764184E-3</v>
      </c>
      <c r="H829" s="14">
        <v>1.5441356678671529E-3</v>
      </c>
    </row>
    <row r="830" spans="2:8" x14ac:dyDescent="0.25">
      <c r="B830" s="29">
        <v>822</v>
      </c>
      <c r="C830" s="30">
        <v>0.59738372093023251</v>
      </c>
      <c r="D830" s="28">
        <v>36451</v>
      </c>
      <c r="E830" s="14">
        <v>1.3832212954252299E-3</v>
      </c>
      <c r="F830" s="14">
        <v>2.7349318005354117E-3</v>
      </c>
      <c r="G830" s="14">
        <v>1.7727723030400711E-3</v>
      </c>
      <c r="H830" s="14">
        <v>1.5443049468979678E-3</v>
      </c>
    </row>
    <row r="831" spans="2:8" x14ac:dyDescent="0.25">
      <c r="B831" s="29">
        <v>823</v>
      </c>
      <c r="C831" s="30">
        <v>0.59811046511627908</v>
      </c>
      <c r="D831" s="28">
        <v>36452</v>
      </c>
      <c r="E831" s="14">
        <v>1.4525500322790652E-3</v>
      </c>
      <c r="F831" s="14">
        <v>2.7514137965027885E-3</v>
      </c>
      <c r="G831" s="14">
        <v>1.7807573456241066E-3</v>
      </c>
      <c r="H831" s="14">
        <v>1.5471540567800757E-3</v>
      </c>
    </row>
    <row r="832" spans="2:8" x14ac:dyDescent="0.25">
      <c r="B832" s="29">
        <v>824</v>
      </c>
      <c r="C832" s="30">
        <v>0.59883720930232553</v>
      </c>
      <c r="D832" s="28">
        <v>36453</v>
      </c>
      <c r="E832" s="14">
        <v>1.4676077992872294E-3</v>
      </c>
      <c r="F832" s="14">
        <v>2.7623717852629515E-3</v>
      </c>
      <c r="G832" s="14">
        <v>1.782223755318002E-3</v>
      </c>
      <c r="H832" s="14">
        <v>1.5524496233203509E-3</v>
      </c>
    </row>
    <row r="833" spans="2:8" x14ac:dyDescent="0.25">
      <c r="B833" s="29">
        <v>825</v>
      </c>
      <c r="C833" s="30">
        <v>0.5995639534883721</v>
      </c>
      <c r="D833" s="28">
        <v>36454</v>
      </c>
      <c r="E833" s="14">
        <v>1.5065282892532394E-3</v>
      </c>
      <c r="F833" s="14">
        <v>2.8595148049073149E-3</v>
      </c>
      <c r="G833" s="14">
        <v>1.7897562773070419E-3</v>
      </c>
      <c r="H833" s="14">
        <v>1.5527658342984639E-3</v>
      </c>
    </row>
    <row r="834" spans="2:8" x14ac:dyDescent="0.25">
      <c r="B834" s="29">
        <v>826</v>
      </c>
      <c r="C834" s="30">
        <v>0.60029069767441856</v>
      </c>
      <c r="D834" s="28">
        <v>36455</v>
      </c>
      <c r="E834" s="14">
        <v>1.5129758066996235E-3</v>
      </c>
      <c r="F834" s="14">
        <v>2.8668038812114105E-3</v>
      </c>
      <c r="G834" s="14">
        <v>1.8067632535996303E-3</v>
      </c>
      <c r="H834" s="14">
        <v>1.5528345480589679E-3</v>
      </c>
    </row>
    <row r="835" spans="2:8" x14ac:dyDescent="0.25">
      <c r="B835" s="29">
        <v>827</v>
      </c>
      <c r="C835" s="30">
        <v>0.60101744186046513</v>
      </c>
      <c r="D835" s="28">
        <v>36458</v>
      </c>
      <c r="E835" s="14">
        <v>1.5187310158621958E-3</v>
      </c>
      <c r="F835" s="14">
        <v>2.8769011974423275E-3</v>
      </c>
      <c r="G835" s="14">
        <v>1.8086537123778168E-3</v>
      </c>
      <c r="H835" s="14">
        <v>1.5550808697710752E-3</v>
      </c>
    </row>
    <row r="836" spans="2:8" x14ac:dyDescent="0.25">
      <c r="B836" s="29">
        <v>828</v>
      </c>
      <c r="C836" s="30">
        <v>0.60174418604651159</v>
      </c>
      <c r="D836" s="28">
        <v>36459</v>
      </c>
      <c r="E836" s="14">
        <v>1.5455649271487459E-3</v>
      </c>
      <c r="F836" s="14">
        <v>2.94371100617008E-3</v>
      </c>
      <c r="G836" s="14">
        <v>1.8169852876437353E-3</v>
      </c>
      <c r="H836" s="14">
        <v>1.5558512872603015E-3</v>
      </c>
    </row>
    <row r="837" spans="2:8" x14ac:dyDescent="0.25">
      <c r="B837" s="29">
        <v>829</v>
      </c>
      <c r="C837" s="30">
        <v>0.60247093023255816</v>
      </c>
      <c r="D837" s="28">
        <v>36460</v>
      </c>
      <c r="E837" s="14">
        <v>1.547627741368629E-3</v>
      </c>
      <c r="F837" s="14">
        <v>2.9681076829466413E-3</v>
      </c>
      <c r="G837" s="14">
        <v>1.8274227628347628E-3</v>
      </c>
      <c r="H837" s="14">
        <v>1.5599932867602639E-3</v>
      </c>
    </row>
    <row r="838" spans="2:8" x14ac:dyDescent="0.25">
      <c r="B838" s="29">
        <v>830</v>
      </c>
      <c r="C838" s="30">
        <v>0.60319767441860461</v>
      </c>
      <c r="D838" s="28">
        <v>36461</v>
      </c>
      <c r="E838" s="14">
        <v>1.5525631034041254E-3</v>
      </c>
      <c r="F838" s="14">
        <v>2.9825817227391305E-3</v>
      </c>
      <c r="G838" s="14">
        <v>1.8402649981597019E-3</v>
      </c>
      <c r="H838" s="14">
        <v>1.5692741443997346E-3</v>
      </c>
    </row>
    <row r="839" spans="2:8" x14ac:dyDescent="0.25">
      <c r="B839" s="29">
        <v>831</v>
      </c>
      <c r="C839" s="30">
        <v>0.60392441860465118</v>
      </c>
      <c r="D839" s="28">
        <v>36462</v>
      </c>
      <c r="E839" s="14">
        <v>1.554376152111514E-3</v>
      </c>
      <c r="F839" s="14">
        <v>3.0130780408581526E-3</v>
      </c>
      <c r="G839" s="14">
        <v>1.8558901313041609E-3</v>
      </c>
      <c r="H839" s="14">
        <v>1.5774812331332821E-3</v>
      </c>
    </row>
    <row r="840" spans="2:8" x14ac:dyDescent="0.25">
      <c r="B840" s="29">
        <v>832</v>
      </c>
      <c r="C840" s="30">
        <v>0.60465116279069764</v>
      </c>
      <c r="D840" s="28">
        <v>36465</v>
      </c>
      <c r="E840" s="14">
        <v>1.5579289930585105E-3</v>
      </c>
      <c r="F840" s="14">
        <v>3.0461500537037889E-3</v>
      </c>
      <c r="G840" s="14">
        <v>1.8627755355478115E-3</v>
      </c>
      <c r="H840" s="14">
        <v>1.5792545917040714E-3</v>
      </c>
    </row>
    <row r="841" spans="2:8" x14ac:dyDescent="0.25">
      <c r="B841" s="29">
        <v>833</v>
      </c>
      <c r="C841" s="30">
        <v>0.60537790697674421</v>
      </c>
      <c r="D841" s="28">
        <v>36466</v>
      </c>
      <c r="E841" s="14">
        <v>1.5745642011300021E-3</v>
      </c>
      <c r="F841" s="14">
        <v>3.0899305614506822E-3</v>
      </c>
      <c r="G841" s="14">
        <v>1.8645365283886939E-3</v>
      </c>
      <c r="H841" s="14">
        <v>1.5828579360582574E-3</v>
      </c>
    </row>
    <row r="842" spans="2:8" x14ac:dyDescent="0.25">
      <c r="B842" s="29">
        <v>834</v>
      </c>
      <c r="C842" s="30">
        <v>0.60610465116279066</v>
      </c>
      <c r="D842" s="28">
        <v>36467</v>
      </c>
      <c r="E842" s="14">
        <v>1.5982556191849184E-3</v>
      </c>
      <c r="F842" s="14">
        <v>3.1639965526606417E-3</v>
      </c>
      <c r="G842" s="14">
        <v>1.8806812245324434E-3</v>
      </c>
      <c r="H842" s="14">
        <v>1.5884590561828561E-3</v>
      </c>
    </row>
    <row r="843" spans="2:8" x14ac:dyDescent="0.25">
      <c r="B843" s="29">
        <v>835</v>
      </c>
      <c r="C843" s="30">
        <v>0.60683139534883723</v>
      </c>
      <c r="D843" s="28">
        <v>36468</v>
      </c>
      <c r="E843" s="14">
        <v>1.5994684901916578E-3</v>
      </c>
      <c r="F843" s="14">
        <v>3.1736304143228367E-3</v>
      </c>
      <c r="G843" s="14">
        <v>1.888719563004182E-3</v>
      </c>
      <c r="H843" s="14">
        <v>1.6003646921597615E-3</v>
      </c>
    </row>
    <row r="844" spans="2:8" x14ac:dyDescent="0.25">
      <c r="B844" s="29">
        <v>836</v>
      </c>
      <c r="C844" s="30">
        <v>0.60755813953488369</v>
      </c>
      <c r="D844" s="28">
        <v>36469</v>
      </c>
      <c r="E844" s="14">
        <v>1.6175787969399114E-3</v>
      </c>
      <c r="F844" s="14">
        <v>3.1817954655251057E-3</v>
      </c>
      <c r="G844" s="14">
        <v>1.8950360583249726E-3</v>
      </c>
      <c r="H844" s="14">
        <v>1.6213912683054723E-3</v>
      </c>
    </row>
    <row r="845" spans="2:8" x14ac:dyDescent="0.25">
      <c r="B845" s="29">
        <v>837</v>
      </c>
      <c r="C845" s="30">
        <v>0.60828488372093026</v>
      </c>
      <c r="D845" s="28">
        <v>36472</v>
      </c>
      <c r="E845" s="14">
        <v>1.6300944917944094E-3</v>
      </c>
      <c r="F845" s="14">
        <v>3.1961522051124902E-3</v>
      </c>
      <c r="G845" s="14">
        <v>1.8978509628801987E-3</v>
      </c>
      <c r="H845" s="14">
        <v>1.6227228038301789E-3</v>
      </c>
    </row>
    <row r="846" spans="2:8" x14ac:dyDescent="0.25">
      <c r="B846" s="29">
        <v>838</v>
      </c>
      <c r="C846" s="30">
        <v>0.60901162790697672</v>
      </c>
      <c r="D846" s="28">
        <v>36473</v>
      </c>
      <c r="E846" s="14">
        <v>1.6362250022339264E-3</v>
      </c>
      <c r="F846" s="14">
        <v>3.1996414967510045E-3</v>
      </c>
      <c r="G846" s="14">
        <v>1.9127702914201183E-3</v>
      </c>
      <c r="H846" s="14">
        <v>1.6284261886823971E-3</v>
      </c>
    </row>
    <row r="847" spans="2:8" x14ac:dyDescent="0.25">
      <c r="B847" s="29">
        <v>839</v>
      </c>
      <c r="C847" s="30">
        <v>0.60973837209302328</v>
      </c>
      <c r="D847" s="28">
        <v>36474</v>
      </c>
      <c r="E847" s="14">
        <v>1.6497054097481811E-3</v>
      </c>
      <c r="F847" s="14">
        <v>3.2023399775584771E-3</v>
      </c>
      <c r="G847" s="14">
        <v>1.9139900711764302E-3</v>
      </c>
      <c r="H847" s="14">
        <v>1.6561823494291475E-3</v>
      </c>
    </row>
    <row r="848" spans="2:8" x14ac:dyDescent="0.25">
      <c r="B848" s="29">
        <v>840</v>
      </c>
      <c r="C848" s="30">
        <v>0.61046511627906974</v>
      </c>
      <c r="D848" s="28">
        <v>36475</v>
      </c>
      <c r="E848" s="14">
        <v>1.6590894400032585E-3</v>
      </c>
      <c r="F848" s="14">
        <v>3.2158427923174582E-3</v>
      </c>
      <c r="G848" s="14">
        <v>1.914306626879192E-3</v>
      </c>
      <c r="H848" s="14">
        <v>1.6571182889713934E-3</v>
      </c>
    </row>
    <row r="849" spans="2:8" x14ac:dyDescent="0.25">
      <c r="B849" s="29">
        <v>841</v>
      </c>
      <c r="C849" s="30">
        <v>0.61119186046511631</v>
      </c>
      <c r="D849" s="28">
        <v>36476</v>
      </c>
      <c r="E849" s="14">
        <v>1.6625128981306858E-3</v>
      </c>
      <c r="F849" s="14">
        <v>3.2440238829134493E-3</v>
      </c>
      <c r="G849" s="14">
        <v>1.9323138077624868E-3</v>
      </c>
      <c r="H849" s="14">
        <v>1.6572283265632313E-3</v>
      </c>
    </row>
    <row r="850" spans="2:8" x14ac:dyDescent="0.25">
      <c r="B850" s="29">
        <v>842</v>
      </c>
      <c r="C850" s="30">
        <v>0.61191860465116277</v>
      </c>
      <c r="D850" s="28">
        <v>36479</v>
      </c>
      <c r="E850" s="14">
        <v>1.6651344201710216E-3</v>
      </c>
      <c r="F850" s="14">
        <v>3.2515364811975811E-3</v>
      </c>
      <c r="G850" s="14">
        <v>1.9329422140976771E-3</v>
      </c>
      <c r="H850" s="14">
        <v>1.6773135125388364E-3</v>
      </c>
    </row>
    <row r="851" spans="2:8" x14ac:dyDescent="0.25">
      <c r="B851" s="29">
        <v>843</v>
      </c>
      <c r="C851" s="30">
        <v>0.61264534883720934</v>
      </c>
      <c r="D851" s="28">
        <v>36480</v>
      </c>
      <c r="E851" s="14">
        <v>1.6756615598885194E-3</v>
      </c>
      <c r="F851" s="14">
        <v>3.2639794601458938E-3</v>
      </c>
      <c r="G851" s="14">
        <v>1.9351433765320003E-3</v>
      </c>
      <c r="H851" s="14">
        <v>1.6900647258550896E-3</v>
      </c>
    </row>
    <row r="852" spans="2:8" x14ac:dyDescent="0.25">
      <c r="B852" s="29">
        <v>844</v>
      </c>
      <c r="C852" s="30">
        <v>0.61337209302325579</v>
      </c>
      <c r="D852" s="28">
        <v>36481</v>
      </c>
      <c r="E852" s="14">
        <v>1.685270299846664E-3</v>
      </c>
      <c r="F852" s="14">
        <v>3.2798248505903072E-3</v>
      </c>
      <c r="G852" s="14">
        <v>1.9370271923826454E-3</v>
      </c>
      <c r="H852" s="14">
        <v>1.6921700875324409E-3</v>
      </c>
    </row>
    <row r="853" spans="2:8" x14ac:dyDescent="0.25">
      <c r="B853" s="29">
        <v>845</v>
      </c>
      <c r="C853" s="30">
        <v>0.61409883720930236</v>
      </c>
      <c r="D853" s="28">
        <v>36482</v>
      </c>
      <c r="E853" s="14">
        <v>1.6887881300968743E-3</v>
      </c>
      <c r="F853" s="14">
        <v>3.3080742845661426E-3</v>
      </c>
      <c r="G853" s="14">
        <v>1.9518239726916686E-3</v>
      </c>
      <c r="H853" s="14">
        <v>1.6932838297120333E-3</v>
      </c>
    </row>
    <row r="854" spans="2:8" x14ac:dyDescent="0.25">
      <c r="B854" s="29">
        <v>846</v>
      </c>
      <c r="C854" s="30">
        <v>0.61482558139534882</v>
      </c>
      <c r="D854" s="28">
        <v>36483</v>
      </c>
      <c r="E854" s="14">
        <v>1.7133693404249861E-3</v>
      </c>
      <c r="F854" s="14">
        <v>3.3237747653804828E-3</v>
      </c>
      <c r="G854" s="14">
        <v>1.9673150835344266E-3</v>
      </c>
      <c r="H854" s="14">
        <v>1.698404689264521E-3</v>
      </c>
    </row>
    <row r="855" spans="2:8" x14ac:dyDescent="0.25">
      <c r="B855" s="29">
        <v>847</v>
      </c>
      <c r="C855" s="30">
        <v>0.61555232558139539</v>
      </c>
      <c r="D855" s="28">
        <v>36486</v>
      </c>
      <c r="E855" s="14">
        <v>1.7168083714846905E-3</v>
      </c>
      <c r="F855" s="14">
        <v>3.3284023668638252E-3</v>
      </c>
      <c r="G855" s="14">
        <v>1.9684375869584159E-3</v>
      </c>
      <c r="H855" s="14">
        <v>1.7013623375769617E-3</v>
      </c>
    </row>
    <row r="856" spans="2:8" x14ac:dyDescent="0.25">
      <c r="B856" s="29">
        <v>848</v>
      </c>
      <c r="C856" s="30">
        <v>0.61627906976744184</v>
      </c>
      <c r="D856" s="28">
        <v>36487</v>
      </c>
      <c r="E856" s="14">
        <v>1.7369140577454534E-3</v>
      </c>
      <c r="F856" s="14">
        <v>3.3363599890194884E-3</v>
      </c>
      <c r="G856" s="14">
        <v>1.9806449946093707E-3</v>
      </c>
      <c r="H856" s="14">
        <v>1.7206269431814915E-3</v>
      </c>
    </row>
    <row r="857" spans="2:8" x14ac:dyDescent="0.25">
      <c r="B857" s="29">
        <v>849</v>
      </c>
      <c r="C857" s="30">
        <v>0.61700581395348841</v>
      </c>
      <c r="D857" s="28">
        <v>36488</v>
      </c>
      <c r="E857" s="14">
        <v>1.7764659320500531E-3</v>
      </c>
      <c r="F857" s="14">
        <v>3.3459333345391418E-3</v>
      </c>
      <c r="G857" s="14">
        <v>2.003240674469442E-3</v>
      </c>
      <c r="H857" s="14">
        <v>1.7363838048617634E-3</v>
      </c>
    </row>
    <row r="858" spans="2:8" x14ac:dyDescent="0.25">
      <c r="B858" s="29">
        <v>850</v>
      </c>
      <c r="C858" s="30">
        <v>0.61773255813953487</v>
      </c>
      <c r="D858" s="28">
        <v>36489</v>
      </c>
      <c r="E858" s="14">
        <v>1.7799939421694333E-3</v>
      </c>
      <c r="F858" s="14">
        <v>3.3991702646496424E-3</v>
      </c>
      <c r="G858" s="14">
        <v>2.0246043590170792E-3</v>
      </c>
      <c r="H858" s="14">
        <v>1.7421611001160466E-3</v>
      </c>
    </row>
    <row r="859" spans="2:8" x14ac:dyDescent="0.25">
      <c r="B859" s="29">
        <v>851</v>
      </c>
      <c r="C859" s="30">
        <v>0.61845930232558144</v>
      </c>
      <c r="D859" s="28">
        <v>36490</v>
      </c>
      <c r="E859" s="14">
        <v>1.7938601684013289E-3</v>
      </c>
      <c r="F859" s="14">
        <v>3.4342080219789128E-3</v>
      </c>
      <c r="G859" s="14">
        <v>2.0248471500501353E-3</v>
      </c>
      <c r="H859" s="14">
        <v>1.7597661037604523E-3</v>
      </c>
    </row>
    <row r="860" spans="2:8" x14ac:dyDescent="0.25">
      <c r="B860" s="29">
        <v>852</v>
      </c>
      <c r="C860" s="30">
        <v>0.6191860465116279</v>
      </c>
      <c r="D860" s="28">
        <v>36493</v>
      </c>
      <c r="E860" s="14">
        <v>1.8185238707970619E-3</v>
      </c>
      <c r="F860" s="14">
        <v>3.4349010801741908E-3</v>
      </c>
      <c r="G860" s="14">
        <v>2.0290765819084289E-3</v>
      </c>
      <c r="H860" s="14">
        <v>1.765518521435894E-3</v>
      </c>
    </row>
    <row r="861" spans="2:8" x14ac:dyDescent="0.25">
      <c r="B861" s="29">
        <v>853</v>
      </c>
      <c r="C861" s="30">
        <v>0.61991279069767447</v>
      </c>
      <c r="D861" s="28">
        <v>36494</v>
      </c>
      <c r="E861" s="14">
        <v>1.8327021133894839E-3</v>
      </c>
      <c r="F861" s="14">
        <v>3.4524300418010689E-3</v>
      </c>
      <c r="G861" s="14">
        <v>2.0349692958201437E-3</v>
      </c>
      <c r="H861" s="14">
        <v>1.7817054332517793E-3</v>
      </c>
    </row>
    <row r="862" spans="2:8" x14ac:dyDescent="0.25">
      <c r="B862" s="29">
        <v>854</v>
      </c>
      <c r="C862" s="30">
        <v>0.62063953488372092</v>
      </c>
      <c r="D862" s="28">
        <v>36495</v>
      </c>
      <c r="E862" s="14">
        <v>1.8692016968826497E-3</v>
      </c>
      <c r="F862" s="14">
        <v>3.471238311136382E-3</v>
      </c>
      <c r="G862" s="14">
        <v>2.0351203628328207E-3</v>
      </c>
      <c r="H862" s="14">
        <v>1.8080753072514224E-3</v>
      </c>
    </row>
    <row r="863" spans="2:8" x14ac:dyDescent="0.25">
      <c r="B863" s="29">
        <v>855</v>
      </c>
      <c r="C863" s="30">
        <v>0.62136627906976749</v>
      </c>
      <c r="D863" s="28">
        <v>36496</v>
      </c>
      <c r="E863" s="14">
        <v>1.8712676613692469E-3</v>
      </c>
      <c r="F863" s="14">
        <v>3.4928522559503072E-3</v>
      </c>
      <c r="G863" s="14">
        <v>2.0369425690442977E-3</v>
      </c>
      <c r="H863" s="14">
        <v>1.8271798597938819E-3</v>
      </c>
    </row>
    <row r="864" spans="2:8" x14ac:dyDescent="0.25">
      <c r="B864" s="29">
        <v>856</v>
      </c>
      <c r="C864" s="30">
        <v>0.62209302325581395</v>
      </c>
      <c r="D864" s="28">
        <v>36497</v>
      </c>
      <c r="E864" s="14">
        <v>1.9226594288250798E-3</v>
      </c>
      <c r="F864" s="14">
        <v>3.5258996288525246E-3</v>
      </c>
      <c r="G864" s="14">
        <v>2.0427482437348488E-3</v>
      </c>
      <c r="H864" s="14">
        <v>1.8493779819670486E-3</v>
      </c>
    </row>
    <row r="865" spans="2:8" x14ac:dyDescent="0.25">
      <c r="B865" s="29">
        <v>857</v>
      </c>
      <c r="C865" s="30">
        <v>0.62281976744186052</v>
      </c>
      <c r="D865" s="28">
        <v>36500</v>
      </c>
      <c r="E865" s="14">
        <v>1.9536439348297741E-3</v>
      </c>
      <c r="F865" s="14">
        <v>3.5304369846791417E-3</v>
      </c>
      <c r="G865" s="14">
        <v>2.0550254281737068E-3</v>
      </c>
      <c r="H865" s="14">
        <v>1.8533334505676188E-3</v>
      </c>
    </row>
    <row r="866" spans="2:8" x14ac:dyDescent="0.25">
      <c r="B866" s="29">
        <v>858</v>
      </c>
      <c r="C866" s="30">
        <v>0.62354651162790697</v>
      </c>
      <c r="D866" s="28">
        <v>36501</v>
      </c>
      <c r="E866" s="14">
        <v>1.9579821156749944E-3</v>
      </c>
      <c r="F866" s="14">
        <v>3.5646033531668841E-3</v>
      </c>
      <c r="G866" s="14">
        <v>2.0569077819680981E-3</v>
      </c>
      <c r="H866" s="14">
        <v>1.8599826132223998E-3</v>
      </c>
    </row>
    <row r="867" spans="2:8" x14ac:dyDescent="0.25">
      <c r="B867" s="29">
        <v>859</v>
      </c>
      <c r="C867" s="30">
        <v>0.62427325581395354</v>
      </c>
      <c r="D867" s="28">
        <v>36502</v>
      </c>
      <c r="E867" s="14">
        <v>2.0451070336391375E-3</v>
      </c>
      <c r="F867" s="14">
        <v>3.5795277691317295E-3</v>
      </c>
      <c r="G867" s="14">
        <v>2.0971688220901008E-3</v>
      </c>
      <c r="H867" s="14">
        <v>1.8633772494749843E-3</v>
      </c>
    </row>
    <row r="868" spans="2:8" x14ac:dyDescent="0.25">
      <c r="B868" s="29">
        <v>860</v>
      </c>
      <c r="C868" s="30">
        <v>0.625</v>
      </c>
      <c r="D868" s="28">
        <v>36503</v>
      </c>
      <c r="E868" s="14">
        <v>2.0571812418657132E-3</v>
      </c>
      <c r="F868" s="14">
        <v>3.6339165545087315E-3</v>
      </c>
      <c r="G868" s="14">
        <v>2.1151887745840536E-3</v>
      </c>
      <c r="H868" s="14">
        <v>1.8661470789454349E-3</v>
      </c>
    </row>
    <row r="869" spans="2:8" x14ac:dyDescent="0.25">
      <c r="B869" s="29">
        <v>861</v>
      </c>
      <c r="C869" s="30">
        <v>0.62572674418604646</v>
      </c>
      <c r="D869" s="28">
        <v>36504</v>
      </c>
      <c r="E869" s="14">
        <v>2.0572906461853169E-3</v>
      </c>
      <c r="F869" s="14">
        <v>3.6530456205929873E-3</v>
      </c>
      <c r="G869" s="14">
        <v>2.1343129309761011E-3</v>
      </c>
      <c r="H869" s="14">
        <v>1.8698860451254354E-3</v>
      </c>
    </row>
    <row r="870" spans="2:8" x14ac:dyDescent="0.25">
      <c r="B870" s="29">
        <v>862</v>
      </c>
      <c r="C870" s="30">
        <v>0.62645348837209303</v>
      </c>
      <c r="D870" s="28">
        <v>36507</v>
      </c>
      <c r="E870" s="14">
        <v>2.0633236169684821E-3</v>
      </c>
      <c r="F870" s="14">
        <v>3.662639655882316E-3</v>
      </c>
      <c r="G870" s="14">
        <v>2.1513680494262832E-3</v>
      </c>
      <c r="H870" s="14">
        <v>1.8862595595319446E-3</v>
      </c>
    </row>
    <row r="871" spans="2:8" x14ac:dyDescent="0.25">
      <c r="B871" s="29">
        <v>863</v>
      </c>
      <c r="C871" s="30">
        <v>0.62718023255813948</v>
      </c>
      <c r="D871" s="28">
        <v>36508</v>
      </c>
      <c r="E871" s="14">
        <v>2.0834938957852156E-3</v>
      </c>
      <c r="F871" s="14">
        <v>3.6900958466452582E-3</v>
      </c>
      <c r="G871" s="14">
        <v>2.1807433848504143E-3</v>
      </c>
      <c r="H871" s="14">
        <v>1.9002377910300795E-3</v>
      </c>
    </row>
    <row r="872" spans="2:8" x14ac:dyDescent="0.25">
      <c r="B872" s="29">
        <v>864</v>
      </c>
      <c r="C872" s="30">
        <v>0.62790697674418605</v>
      </c>
      <c r="D872" s="28">
        <v>36509</v>
      </c>
      <c r="E872" s="14">
        <v>2.0842906846976206E-3</v>
      </c>
      <c r="F872" s="14">
        <v>3.7063221715192274E-3</v>
      </c>
      <c r="G872" s="14">
        <v>2.1994760050281226E-3</v>
      </c>
      <c r="H872" s="14">
        <v>1.9083753658935001E-3</v>
      </c>
    </row>
    <row r="873" spans="2:8" x14ac:dyDescent="0.25">
      <c r="B873" s="29">
        <v>865</v>
      </c>
      <c r="C873" s="30">
        <v>0.62863372093023251</v>
      </c>
      <c r="D873" s="28">
        <v>36510</v>
      </c>
      <c r="E873" s="14">
        <v>2.1031460705989158E-3</v>
      </c>
      <c r="F873" s="14">
        <v>3.7251615053572884E-3</v>
      </c>
      <c r="G873" s="14">
        <v>2.2008004834392914E-3</v>
      </c>
      <c r="H873" s="14">
        <v>1.920183931891328E-3</v>
      </c>
    </row>
    <row r="874" spans="2:8" x14ac:dyDescent="0.25">
      <c r="B874" s="29">
        <v>866</v>
      </c>
      <c r="C874" s="30">
        <v>0.62936046511627908</v>
      </c>
      <c r="D874" s="28">
        <v>36511</v>
      </c>
      <c r="E874" s="14">
        <v>2.1179739192203062E-3</v>
      </c>
      <c r="F874" s="14">
        <v>3.7712371380713705E-3</v>
      </c>
      <c r="G874" s="14">
        <v>2.2022213711221372E-3</v>
      </c>
      <c r="H874" s="14">
        <v>1.9231889973170932E-3</v>
      </c>
    </row>
    <row r="875" spans="2:8" x14ac:dyDescent="0.25">
      <c r="B875" s="29">
        <v>867</v>
      </c>
      <c r="C875" s="30">
        <v>0.63008720930232553</v>
      </c>
      <c r="D875" s="28">
        <v>36514</v>
      </c>
      <c r="E875" s="14">
        <v>2.1533175958776685E-3</v>
      </c>
      <c r="F875" s="14">
        <v>3.795866722901664E-3</v>
      </c>
      <c r="G875" s="14">
        <v>2.2056906588323599E-3</v>
      </c>
      <c r="H875" s="14">
        <v>1.9365974814848695E-3</v>
      </c>
    </row>
    <row r="876" spans="2:8" x14ac:dyDescent="0.25">
      <c r="B876" s="29">
        <v>868</v>
      </c>
      <c r="C876" s="30">
        <v>0.6308139534883721</v>
      </c>
      <c r="D876" s="28">
        <v>36515</v>
      </c>
      <c r="E876" s="14">
        <v>2.1659692695787935E-3</v>
      </c>
      <c r="F876" s="14">
        <v>3.8000019338433333E-3</v>
      </c>
      <c r="G876" s="14">
        <v>2.2087473290250959E-3</v>
      </c>
      <c r="H876" s="14">
        <v>1.9383110602262832E-3</v>
      </c>
    </row>
    <row r="877" spans="2:8" x14ac:dyDescent="0.25">
      <c r="B877" s="29">
        <v>869</v>
      </c>
      <c r="C877" s="30">
        <v>0.63154069767441856</v>
      </c>
      <c r="D877" s="28">
        <v>36516</v>
      </c>
      <c r="E877" s="14">
        <v>2.1676047966996403E-3</v>
      </c>
      <c r="F877" s="14">
        <v>3.8121402003303828E-3</v>
      </c>
      <c r="G877" s="14">
        <v>2.2167926618308353E-3</v>
      </c>
      <c r="H877" s="14">
        <v>1.9401051250803381E-3</v>
      </c>
    </row>
    <row r="878" spans="2:8" x14ac:dyDescent="0.25">
      <c r="B878" s="29">
        <v>870</v>
      </c>
      <c r="C878" s="30">
        <v>0.63226744186046513</v>
      </c>
      <c r="D878" s="28">
        <v>36517</v>
      </c>
      <c r="E878" s="14">
        <v>2.1877829769290091E-3</v>
      </c>
      <c r="F878" s="14">
        <v>3.8620184421336301E-3</v>
      </c>
      <c r="G878" s="14">
        <v>2.2248348256637129E-3</v>
      </c>
      <c r="H878" s="14">
        <v>1.9498967326940125E-3</v>
      </c>
    </row>
    <row r="879" spans="2:8" x14ac:dyDescent="0.25">
      <c r="B879" s="29">
        <v>871</v>
      </c>
      <c r="C879" s="30">
        <v>0.63299418604651159</v>
      </c>
      <c r="D879" s="28">
        <v>36518</v>
      </c>
      <c r="E879" s="14">
        <v>2.2020237033242296E-3</v>
      </c>
      <c r="F879" s="14">
        <v>3.8621134381922051E-3</v>
      </c>
      <c r="G879" s="14">
        <v>2.2329143618324832E-3</v>
      </c>
      <c r="H879" s="14">
        <v>1.9563630586050484E-3</v>
      </c>
    </row>
    <row r="880" spans="2:8" x14ac:dyDescent="0.25">
      <c r="B880" s="29">
        <v>872</v>
      </c>
      <c r="C880" s="30">
        <v>0.63372093023255816</v>
      </c>
      <c r="D880" s="28">
        <v>36521</v>
      </c>
      <c r="E880" s="14">
        <v>2.2402260333422852E-3</v>
      </c>
      <c r="F880" s="14">
        <v>3.8632439928678597E-3</v>
      </c>
      <c r="G880" s="14">
        <v>2.2444037564230968E-3</v>
      </c>
      <c r="H880" s="14">
        <v>1.9573549613136846E-3</v>
      </c>
    </row>
    <row r="881" spans="2:8" x14ac:dyDescent="0.25">
      <c r="B881" s="29">
        <v>873</v>
      </c>
      <c r="C881" s="30">
        <v>0.63444767441860461</v>
      </c>
      <c r="D881" s="28">
        <v>36522</v>
      </c>
      <c r="E881" s="14">
        <v>2.2606168254482029E-3</v>
      </c>
      <c r="F881" s="14">
        <v>3.8803530295650202E-3</v>
      </c>
      <c r="G881" s="14">
        <v>2.2535251434161463E-3</v>
      </c>
      <c r="H881" s="14">
        <v>1.9612326498573479E-3</v>
      </c>
    </row>
    <row r="882" spans="2:8" x14ac:dyDescent="0.25">
      <c r="B882" s="29">
        <v>874</v>
      </c>
      <c r="C882" s="30">
        <v>0.63517441860465118</v>
      </c>
      <c r="D882" s="28">
        <v>36523</v>
      </c>
      <c r="E882" s="14">
        <v>2.2811238951363499E-3</v>
      </c>
      <c r="F882" s="14">
        <v>3.8875377699167935E-3</v>
      </c>
      <c r="G882" s="14">
        <v>2.2544993293152071E-3</v>
      </c>
      <c r="H882" s="14">
        <v>1.9712359660855718E-3</v>
      </c>
    </row>
    <row r="883" spans="2:8" x14ac:dyDescent="0.25">
      <c r="B883" s="29">
        <v>875</v>
      </c>
      <c r="C883" s="30">
        <v>0.63590116279069764</v>
      </c>
      <c r="D883" s="28">
        <v>36524</v>
      </c>
      <c r="E883" s="14">
        <v>2.3479690068091141E-3</v>
      </c>
      <c r="F883" s="14">
        <v>3.8919037439018034E-3</v>
      </c>
      <c r="G883" s="14">
        <v>2.2578240986474984E-3</v>
      </c>
      <c r="H883" s="14">
        <v>1.9745575862640586E-3</v>
      </c>
    </row>
    <row r="884" spans="2:8" x14ac:dyDescent="0.25">
      <c r="B884" s="29">
        <v>876</v>
      </c>
      <c r="C884" s="30">
        <v>0.63662790697674421</v>
      </c>
      <c r="D884" s="28">
        <v>36525</v>
      </c>
      <c r="E884" s="14">
        <v>2.3527566465377792E-3</v>
      </c>
      <c r="F884" s="14">
        <v>3.9510739355217428E-3</v>
      </c>
      <c r="G884" s="14">
        <v>2.2604210625432053E-3</v>
      </c>
      <c r="H884" s="14">
        <v>1.9773464862534733E-3</v>
      </c>
    </row>
    <row r="885" spans="2:8" x14ac:dyDescent="0.25">
      <c r="B885" s="29">
        <v>877</v>
      </c>
      <c r="C885" s="30">
        <v>0.63735465116279066</v>
      </c>
      <c r="D885" s="28">
        <v>36528</v>
      </c>
      <c r="E885" s="14">
        <v>2.3650285935834514E-3</v>
      </c>
      <c r="F885" s="14">
        <v>3.9518634464532632E-3</v>
      </c>
      <c r="G885" s="14">
        <v>2.2946076719709829E-3</v>
      </c>
      <c r="H885" s="14">
        <v>1.9825575096230176E-3</v>
      </c>
    </row>
    <row r="886" spans="2:8" x14ac:dyDescent="0.25">
      <c r="B886" s="29">
        <v>878</v>
      </c>
      <c r="C886" s="30">
        <v>0.63808139534883723</v>
      </c>
      <c r="D886" s="28">
        <v>36529</v>
      </c>
      <c r="E886" s="14">
        <v>2.3668194454879998E-3</v>
      </c>
      <c r="F886" s="14">
        <v>3.9640439827950402E-3</v>
      </c>
      <c r="G886" s="14">
        <v>2.2980684672813112E-3</v>
      </c>
      <c r="H886" s="14">
        <v>1.990400545332038E-3</v>
      </c>
    </row>
    <row r="887" spans="2:8" x14ac:dyDescent="0.25">
      <c r="B887" s="29">
        <v>879</v>
      </c>
      <c r="C887" s="30">
        <v>0.63880813953488369</v>
      </c>
      <c r="D887" s="28">
        <v>36530</v>
      </c>
      <c r="E887" s="14">
        <v>2.3687219111019342E-3</v>
      </c>
      <c r="F887" s="14">
        <v>3.9652337326756548E-3</v>
      </c>
      <c r="G887" s="14">
        <v>2.2985795956858013E-3</v>
      </c>
      <c r="H887" s="14">
        <v>2.0091723498220308E-3</v>
      </c>
    </row>
    <row r="888" spans="2:8" x14ac:dyDescent="0.25">
      <c r="B888" s="29">
        <v>880</v>
      </c>
      <c r="C888" s="30">
        <v>0.63953488372093026</v>
      </c>
      <c r="D888" s="28">
        <v>36531</v>
      </c>
      <c r="E888" s="14">
        <v>2.4217450517274308E-3</v>
      </c>
      <c r="F888" s="14">
        <v>3.9789800090554994E-3</v>
      </c>
      <c r="G888" s="14">
        <v>2.3164372654917997E-3</v>
      </c>
      <c r="H888" s="14">
        <v>2.0239496950882115E-3</v>
      </c>
    </row>
    <row r="889" spans="2:8" x14ac:dyDescent="0.25">
      <c r="B889" s="29">
        <v>881</v>
      </c>
      <c r="C889" s="30">
        <v>0.64026162790697672</v>
      </c>
      <c r="D889" s="28">
        <v>36532</v>
      </c>
      <c r="E889" s="14">
        <v>2.4439715368755888E-3</v>
      </c>
      <c r="F889" s="14">
        <v>3.9882009451284173E-3</v>
      </c>
      <c r="G889" s="14">
        <v>2.323274676502507E-3</v>
      </c>
      <c r="H889" s="14">
        <v>2.0290553592329005E-3</v>
      </c>
    </row>
    <row r="890" spans="2:8" x14ac:dyDescent="0.25">
      <c r="B890" s="29">
        <v>882</v>
      </c>
      <c r="C890" s="30">
        <v>0.64098837209302328</v>
      </c>
      <c r="D890" s="28">
        <v>36535</v>
      </c>
      <c r="E890" s="14">
        <v>2.465446442884156E-3</v>
      </c>
      <c r="F890" s="14">
        <v>3.9933373195524258E-3</v>
      </c>
      <c r="G890" s="14">
        <v>2.3243948069617826E-3</v>
      </c>
      <c r="H890" s="14">
        <v>2.0468994121905621E-3</v>
      </c>
    </row>
    <row r="891" spans="2:8" x14ac:dyDescent="0.25">
      <c r="B891" s="29">
        <v>883</v>
      </c>
      <c r="C891" s="30">
        <v>0.64171511627906974</v>
      </c>
      <c r="D891" s="28">
        <v>36536</v>
      </c>
      <c r="E891" s="14">
        <v>2.4660104124978321E-3</v>
      </c>
      <c r="F891" s="14">
        <v>4.0300080600161881E-3</v>
      </c>
      <c r="G891" s="14">
        <v>2.334889132143525E-3</v>
      </c>
      <c r="H891" s="14">
        <v>2.0490294905515238E-3</v>
      </c>
    </row>
    <row r="892" spans="2:8" x14ac:dyDescent="0.25">
      <c r="B892" s="29">
        <v>884</v>
      </c>
      <c r="C892" s="30">
        <v>0.64244186046511631</v>
      </c>
      <c r="D892" s="28">
        <v>36537</v>
      </c>
      <c r="E892" s="14">
        <v>2.544531390844984E-3</v>
      </c>
      <c r="F892" s="14">
        <v>4.0313069582931238E-3</v>
      </c>
      <c r="G892" s="14">
        <v>2.3394418760096514E-3</v>
      </c>
      <c r="H892" s="14">
        <v>2.0600702743659438E-3</v>
      </c>
    </row>
    <row r="893" spans="2:8" x14ac:dyDescent="0.25">
      <c r="B893" s="29">
        <v>885</v>
      </c>
      <c r="C893" s="30">
        <v>0.64316860465116277</v>
      </c>
      <c r="D893" s="28">
        <v>36538</v>
      </c>
      <c r="E893" s="14">
        <v>2.560636182902698E-3</v>
      </c>
      <c r="F893" s="14">
        <v>4.0489799119618475E-3</v>
      </c>
      <c r="G893" s="14">
        <v>2.340689786949568E-3</v>
      </c>
      <c r="H893" s="14">
        <v>2.0618846818629025E-3</v>
      </c>
    </row>
    <row r="894" spans="2:8" x14ac:dyDescent="0.25">
      <c r="B894" s="29">
        <v>886</v>
      </c>
      <c r="C894" s="30">
        <v>0.64389534883720934</v>
      </c>
      <c r="D894" s="28">
        <v>36539</v>
      </c>
      <c r="E894" s="14">
        <v>2.5633073145043817E-3</v>
      </c>
      <c r="F894" s="14">
        <v>4.0935512921977946E-3</v>
      </c>
      <c r="G894" s="14">
        <v>2.3418623056121746E-3</v>
      </c>
      <c r="H894" s="14">
        <v>2.0791916331686536E-3</v>
      </c>
    </row>
    <row r="895" spans="2:8" x14ac:dyDescent="0.25">
      <c r="B895" s="29">
        <v>887</v>
      </c>
      <c r="C895" s="30">
        <v>0.64462209302325579</v>
      </c>
      <c r="D895" s="28">
        <v>36542</v>
      </c>
      <c r="E895" s="14">
        <v>2.5981965459267453E-3</v>
      </c>
      <c r="F895" s="14">
        <v>4.0965055223609603E-3</v>
      </c>
      <c r="G895" s="14">
        <v>2.3570199651723467E-3</v>
      </c>
      <c r="H895" s="14">
        <v>2.0925069260395281E-3</v>
      </c>
    </row>
    <row r="896" spans="2:8" x14ac:dyDescent="0.25">
      <c r="B896" s="29">
        <v>888</v>
      </c>
      <c r="C896" s="30">
        <v>0.64534883720930236</v>
      </c>
      <c r="D896" s="28">
        <v>36543</v>
      </c>
      <c r="E896" s="14">
        <v>2.6288442081490171E-3</v>
      </c>
      <c r="F896" s="14">
        <v>4.1104101846829444E-3</v>
      </c>
      <c r="G896" s="14">
        <v>2.3633957269806327E-3</v>
      </c>
      <c r="H896" s="14">
        <v>2.0925983110797299E-3</v>
      </c>
    </row>
    <row r="897" spans="2:8" x14ac:dyDescent="0.25">
      <c r="B897" s="29">
        <v>889</v>
      </c>
      <c r="C897" s="30">
        <v>0.64607558139534882</v>
      </c>
      <c r="D897" s="28">
        <v>36544</v>
      </c>
      <c r="E897" s="14">
        <v>2.6658382400939207E-3</v>
      </c>
      <c r="F897" s="14">
        <v>4.113900183068564E-3</v>
      </c>
      <c r="G897" s="14">
        <v>2.3643514806102051E-3</v>
      </c>
      <c r="H897" s="14">
        <v>2.0930197189215956E-3</v>
      </c>
    </row>
    <row r="898" spans="2:8" x14ac:dyDescent="0.25">
      <c r="B898" s="29">
        <v>890</v>
      </c>
      <c r="C898" s="30">
        <v>0.64680232558139539</v>
      </c>
      <c r="D898" s="28">
        <v>36545</v>
      </c>
      <c r="E898" s="14">
        <v>2.7030481320702293E-3</v>
      </c>
      <c r="F898" s="14">
        <v>4.1233177436288404E-3</v>
      </c>
      <c r="G898" s="14">
        <v>2.3757885503667975E-3</v>
      </c>
      <c r="H898" s="14">
        <v>2.1042692192537963E-3</v>
      </c>
    </row>
    <row r="899" spans="2:8" x14ac:dyDescent="0.25">
      <c r="B899" s="29">
        <v>891</v>
      </c>
      <c r="C899" s="30">
        <v>0.64752906976744184</v>
      </c>
      <c r="D899" s="28">
        <v>36546</v>
      </c>
      <c r="E899" s="14">
        <v>2.7309936190573758E-3</v>
      </c>
      <c r="F899" s="14">
        <v>4.1702424372451752E-3</v>
      </c>
      <c r="G899" s="14">
        <v>2.3783944489397246E-3</v>
      </c>
      <c r="H899" s="14">
        <v>2.1137586725354486E-3</v>
      </c>
    </row>
    <row r="900" spans="2:8" x14ac:dyDescent="0.25">
      <c r="B900" s="29">
        <v>892</v>
      </c>
      <c r="C900" s="30">
        <v>0.64825581395348841</v>
      </c>
      <c r="D900" s="28">
        <v>36549</v>
      </c>
      <c r="E900" s="14">
        <v>2.7462432552651794E-3</v>
      </c>
      <c r="F900" s="14">
        <v>4.1871807849813703E-3</v>
      </c>
      <c r="G900" s="14">
        <v>2.3803740587806654E-3</v>
      </c>
      <c r="H900" s="14">
        <v>2.116707973841803E-3</v>
      </c>
    </row>
    <row r="901" spans="2:8" x14ac:dyDescent="0.25">
      <c r="B901" s="29">
        <v>893</v>
      </c>
      <c r="C901" s="30">
        <v>0.64898255813953487</v>
      </c>
      <c r="D901" s="28">
        <v>36550</v>
      </c>
      <c r="E901" s="14">
        <v>2.7504187702713789E-3</v>
      </c>
      <c r="F901" s="14">
        <v>4.2059195475794287E-3</v>
      </c>
      <c r="G901" s="14">
        <v>2.3827654234729323E-3</v>
      </c>
      <c r="H901" s="14">
        <v>2.1336085219696883E-3</v>
      </c>
    </row>
    <row r="902" spans="2:8" x14ac:dyDescent="0.25">
      <c r="B902" s="29">
        <v>894</v>
      </c>
      <c r="C902" s="30">
        <v>0.64970930232558144</v>
      </c>
      <c r="D902" s="28">
        <v>36551</v>
      </c>
      <c r="E902" s="14">
        <v>2.7530364372470029E-3</v>
      </c>
      <c r="F902" s="14">
        <v>4.2213698975372971E-3</v>
      </c>
      <c r="G902" s="14">
        <v>2.3868673583709032E-3</v>
      </c>
      <c r="H902" s="14">
        <v>2.1578517859588862E-3</v>
      </c>
    </row>
    <row r="903" spans="2:8" x14ac:dyDescent="0.25">
      <c r="B903" s="29">
        <v>895</v>
      </c>
      <c r="C903" s="30">
        <v>0.6504360465116279</v>
      </c>
      <c r="D903" s="28">
        <v>36552</v>
      </c>
      <c r="E903" s="14">
        <v>2.7726611730489736E-3</v>
      </c>
      <c r="F903" s="14">
        <v>4.2230778785243839E-3</v>
      </c>
      <c r="G903" s="14">
        <v>2.3891381621117258E-3</v>
      </c>
      <c r="H903" s="14">
        <v>2.1618658036884671E-3</v>
      </c>
    </row>
    <row r="904" spans="2:8" x14ac:dyDescent="0.25">
      <c r="B904" s="29">
        <v>896</v>
      </c>
      <c r="C904" s="30">
        <v>0.65116279069767447</v>
      </c>
      <c r="D904" s="28">
        <v>36553</v>
      </c>
      <c r="E904" s="14">
        <v>2.7832112768884087E-3</v>
      </c>
      <c r="F904" s="14">
        <v>4.2422416390479611E-3</v>
      </c>
      <c r="G904" s="14">
        <v>2.4242978909090329E-3</v>
      </c>
      <c r="H904" s="14">
        <v>2.1642098352897543E-3</v>
      </c>
    </row>
    <row r="905" spans="2:8" x14ac:dyDescent="0.25">
      <c r="B905" s="29">
        <v>897</v>
      </c>
      <c r="C905" s="30">
        <v>0.65188953488372092</v>
      </c>
      <c r="D905" s="28">
        <v>36556</v>
      </c>
      <c r="E905" s="14">
        <v>2.7866632651059042E-3</v>
      </c>
      <c r="F905" s="14">
        <v>4.2858036663955268E-3</v>
      </c>
      <c r="G905" s="14">
        <v>2.4263813830376346E-3</v>
      </c>
      <c r="H905" s="14">
        <v>2.2024868204515435E-3</v>
      </c>
    </row>
    <row r="906" spans="2:8" x14ac:dyDescent="0.25">
      <c r="B906" s="29">
        <v>898</v>
      </c>
      <c r="C906" s="30">
        <v>0.65261627906976749</v>
      </c>
      <c r="D906" s="28">
        <v>36557</v>
      </c>
      <c r="E906" s="14">
        <v>2.8094428430438523E-3</v>
      </c>
      <c r="F906" s="14">
        <v>4.3284871431983341E-3</v>
      </c>
      <c r="G906" s="14">
        <v>2.4346325069324326E-3</v>
      </c>
      <c r="H906" s="14">
        <v>2.2196829124100591E-3</v>
      </c>
    </row>
    <row r="907" spans="2:8" x14ac:dyDescent="0.25">
      <c r="B907" s="29">
        <v>899</v>
      </c>
      <c r="C907" s="30">
        <v>0.65334302325581395</v>
      </c>
      <c r="D907" s="28">
        <v>36558</v>
      </c>
      <c r="E907" s="14">
        <v>2.8129395218001729E-3</v>
      </c>
      <c r="F907" s="14">
        <v>4.3564900707759868E-3</v>
      </c>
      <c r="G907" s="14">
        <v>2.4476150677572583E-3</v>
      </c>
      <c r="H907" s="14">
        <v>2.2220210789992479E-3</v>
      </c>
    </row>
    <row r="908" spans="2:8" x14ac:dyDescent="0.25">
      <c r="B908" s="29">
        <v>900</v>
      </c>
      <c r="C908" s="30">
        <v>0.65406976744186052</v>
      </c>
      <c r="D908" s="28">
        <v>36559</v>
      </c>
      <c r="E908" s="14">
        <v>2.8310789556464933E-3</v>
      </c>
      <c r="F908" s="14">
        <v>4.3784475596704286E-3</v>
      </c>
      <c r="G908" s="14">
        <v>2.4594453165880381E-3</v>
      </c>
      <c r="H908" s="14">
        <v>2.2362406646101009E-3</v>
      </c>
    </row>
    <row r="909" spans="2:8" x14ac:dyDescent="0.25">
      <c r="B909" s="29">
        <v>901</v>
      </c>
      <c r="C909" s="30">
        <v>0.65479651162790697</v>
      </c>
      <c r="D909" s="28">
        <v>36560</v>
      </c>
      <c r="E909" s="14">
        <v>2.8408217154145543E-3</v>
      </c>
      <c r="F909" s="14">
        <v>4.3837873810304018E-3</v>
      </c>
      <c r="G909" s="14">
        <v>2.4600949711082176E-3</v>
      </c>
      <c r="H909" s="14">
        <v>2.2376042607990866E-3</v>
      </c>
    </row>
    <row r="910" spans="2:8" x14ac:dyDescent="0.25">
      <c r="B910" s="29">
        <v>902</v>
      </c>
      <c r="C910" s="30">
        <v>0.65552325581395354</v>
      </c>
      <c r="D910" s="28">
        <v>36563</v>
      </c>
      <c r="E910" s="14">
        <v>2.8537854624812731E-3</v>
      </c>
      <c r="F910" s="14">
        <v>4.4843622240391401E-3</v>
      </c>
      <c r="G910" s="14">
        <v>2.481407555936066E-3</v>
      </c>
      <c r="H910" s="14">
        <v>2.2537636009872133E-3</v>
      </c>
    </row>
    <row r="911" spans="2:8" x14ac:dyDescent="0.25">
      <c r="B911" s="29">
        <v>903</v>
      </c>
      <c r="C911" s="30">
        <v>0.65625</v>
      </c>
      <c r="D911" s="28">
        <v>36564</v>
      </c>
      <c r="E911" s="14">
        <v>2.8661953231481352E-3</v>
      </c>
      <c r="F911" s="14">
        <v>4.5167856532626338E-3</v>
      </c>
      <c r="G911" s="14">
        <v>2.4823558043320926E-3</v>
      </c>
      <c r="H911" s="14">
        <v>2.2619817891740722E-3</v>
      </c>
    </row>
    <row r="912" spans="2:8" x14ac:dyDescent="0.25">
      <c r="B912" s="29">
        <v>904</v>
      </c>
      <c r="C912" s="30">
        <v>0.65697674418604646</v>
      </c>
      <c r="D912" s="28">
        <v>36565</v>
      </c>
      <c r="E912" s="14">
        <v>2.8719756683266429E-3</v>
      </c>
      <c r="F912" s="14">
        <v>4.529017308570138E-3</v>
      </c>
      <c r="G912" s="14">
        <v>2.48635198230307E-3</v>
      </c>
      <c r="H912" s="14">
        <v>2.2710271711058995E-3</v>
      </c>
    </row>
    <row r="913" spans="2:8" x14ac:dyDescent="0.25">
      <c r="B913" s="29">
        <v>905</v>
      </c>
      <c r="C913" s="30">
        <v>0.65770348837209303</v>
      </c>
      <c r="D913" s="28">
        <v>36566</v>
      </c>
      <c r="E913" s="14">
        <v>2.9197915097438631E-3</v>
      </c>
      <c r="F913" s="14">
        <v>4.5318535080027811E-3</v>
      </c>
      <c r="G913" s="14">
        <v>2.4917214070427907E-3</v>
      </c>
      <c r="H913" s="14">
        <v>2.2759180135152324E-3</v>
      </c>
    </row>
    <row r="914" spans="2:8" x14ac:dyDescent="0.25">
      <c r="B914" s="29">
        <v>906</v>
      </c>
      <c r="C914" s="30">
        <v>0.65843023255813948</v>
      </c>
      <c r="D914" s="28">
        <v>36567</v>
      </c>
      <c r="E914" s="14">
        <v>2.9309141660851523E-3</v>
      </c>
      <c r="F914" s="14">
        <v>4.5493107104983554E-3</v>
      </c>
      <c r="G914" s="14">
        <v>2.4940482938442532E-3</v>
      </c>
      <c r="H914" s="14">
        <v>2.2869162661834476E-3</v>
      </c>
    </row>
    <row r="915" spans="2:8" x14ac:dyDescent="0.25">
      <c r="B915" s="29">
        <v>907</v>
      </c>
      <c r="C915" s="30">
        <v>0.65915697674418605</v>
      </c>
      <c r="D915" s="28">
        <v>36570</v>
      </c>
      <c r="E915" s="14">
        <v>2.9311955099302622E-3</v>
      </c>
      <c r="F915" s="14">
        <v>4.5606083308362688E-3</v>
      </c>
      <c r="G915" s="14">
        <v>2.4967433782023818E-3</v>
      </c>
      <c r="H915" s="14">
        <v>2.2956616377050485E-3</v>
      </c>
    </row>
    <row r="916" spans="2:8" x14ac:dyDescent="0.25">
      <c r="B916" s="29">
        <v>908</v>
      </c>
      <c r="C916" s="30">
        <v>0.65988372093023251</v>
      </c>
      <c r="D916" s="28">
        <v>36571</v>
      </c>
      <c r="E916" s="14">
        <v>2.9346147245581378E-3</v>
      </c>
      <c r="F916" s="14">
        <v>4.5721667764324625E-3</v>
      </c>
      <c r="G916" s="14">
        <v>2.5074352260905375E-3</v>
      </c>
      <c r="H916" s="14">
        <v>2.2958273772831772E-3</v>
      </c>
    </row>
    <row r="917" spans="2:8" x14ac:dyDescent="0.25">
      <c r="B917" s="29">
        <v>909</v>
      </c>
      <c r="C917" s="30">
        <v>0.66061046511627908</v>
      </c>
      <c r="D917" s="28">
        <v>36572</v>
      </c>
      <c r="E917" s="14">
        <v>2.9503160972697007E-3</v>
      </c>
      <c r="F917" s="14">
        <v>4.5872926037353601E-3</v>
      </c>
      <c r="G917" s="14">
        <v>2.5100657597723064E-3</v>
      </c>
      <c r="H917" s="14">
        <v>2.3065197338597572E-3</v>
      </c>
    </row>
    <row r="918" spans="2:8" x14ac:dyDescent="0.25">
      <c r="B918" s="29">
        <v>910</v>
      </c>
      <c r="C918" s="30">
        <v>0.66133720930232553</v>
      </c>
      <c r="D918" s="28">
        <v>36573</v>
      </c>
      <c r="E918" s="14">
        <v>2.9827835413036574E-3</v>
      </c>
      <c r="F918" s="14">
        <v>4.6003353357992882E-3</v>
      </c>
      <c r="G918" s="14">
        <v>2.5224612512300126E-3</v>
      </c>
      <c r="H918" s="14">
        <v>2.3180160534205909E-3</v>
      </c>
    </row>
    <row r="919" spans="2:8" x14ac:dyDescent="0.25">
      <c r="B919" s="29">
        <v>911</v>
      </c>
      <c r="C919" s="30">
        <v>0.6620639534883721</v>
      </c>
      <c r="D919" s="28">
        <v>36574</v>
      </c>
      <c r="E919" s="14">
        <v>2.9903964982875841E-3</v>
      </c>
      <c r="F919" s="14">
        <v>4.6580447172293038E-3</v>
      </c>
      <c r="G919" s="14">
        <v>2.5347858914896992E-3</v>
      </c>
      <c r="H919" s="14">
        <v>2.3270181407016644E-3</v>
      </c>
    </row>
    <row r="920" spans="2:8" x14ac:dyDescent="0.25">
      <c r="B920" s="29">
        <v>912</v>
      </c>
      <c r="C920" s="30">
        <v>0.66279069767441856</v>
      </c>
      <c r="D920" s="28">
        <v>36577</v>
      </c>
      <c r="E920" s="14">
        <v>3.0157885400035056E-3</v>
      </c>
      <c r="F920" s="14">
        <v>4.6681962583832171E-3</v>
      </c>
      <c r="G920" s="14">
        <v>2.5429915346941723E-3</v>
      </c>
      <c r="H920" s="14">
        <v>2.3317615048036536E-3</v>
      </c>
    </row>
    <row r="921" spans="2:8" x14ac:dyDescent="0.25">
      <c r="B921" s="29">
        <v>913</v>
      </c>
      <c r="C921" s="30">
        <v>0.66351744186046513</v>
      </c>
      <c r="D921" s="28">
        <v>36578</v>
      </c>
      <c r="E921" s="14">
        <v>3.0158486633369286E-3</v>
      </c>
      <c r="F921" s="14">
        <v>4.6924892405941776E-3</v>
      </c>
      <c r="G921" s="14">
        <v>2.5438256926395564E-3</v>
      </c>
      <c r="H921" s="14">
        <v>2.3345703805672802E-3</v>
      </c>
    </row>
    <row r="922" spans="2:8" x14ac:dyDescent="0.25">
      <c r="B922" s="29">
        <v>914</v>
      </c>
      <c r="C922" s="30">
        <v>0.66424418604651159</v>
      </c>
      <c r="D922" s="28">
        <v>36579</v>
      </c>
      <c r="E922" s="14">
        <v>3.018635995512442E-3</v>
      </c>
      <c r="F922" s="14">
        <v>4.6958290946084169E-3</v>
      </c>
      <c r="G922" s="14">
        <v>2.5455963694680506E-3</v>
      </c>
      <c r="H922" s="14">
        <v>2.3442282605736333E-3</v>
      </c>
    </row>
    <row r="923" spans="2:8" x14ac:dyDescent="0.25">
      <c r="B923" s="29">
        <v>915</v>
      </c>
      <c r="C923" s="30">
        <v>0.66497093023255816</v>
      </c>
      <c r="D923" s="28">
        <v>36580</v>
      </c>
      <c r="E923" s="14">
        <v>3.0502498852214011E-3</v>
      </c>
      <c r="F923" s="14">
        <v>4.724000519340521E-3</v>
      </c>
      <c r="G923" s="14">
        <v>2.563378177100839E-3</v>
      </c>
      <c r="H923" s="14">
        <v>2.3498188906886375E-3</v>
      </c>
    </row>
    <row r="924" spans="2:8" x14ac:dyDescent="0.25">
      <c r="B924" s="29">
        <v>916</v>
      </c>
      <c r="C924" s="30">
        <v>0.66569767441860461</v>
      </c>
      <c r="D924" s="28">
        <v>36581</v>
      </c>
      <c r="E924" s="14">
        <v>3.066461013765398E-3</v>
      </c>
      <c r="F924" s="14">
        <v>4.7504714404955628E-3</v>
      </c>
      <c r="G924" s="14">
        <v>2.5673940949937357E-3</v>
      </c>
      <c r="H924" s="14">
        <v>2.3596459952014205E-3</v>
      </c>
    </row>
    <row r="925" spans="2:8" x14ac:dyDescent="0.25">
      <c r="B925" s="29">
        <v>917</v>
      </c>
      <c r="C925" s="30">
        <v>0.66642441860465118</v>
      </c>
      <c r="D925" s="28">
        <v>36584</v>
      </c>
      <c r="E925" s="14">
        <v>3.0730908216340946E-3</v>
      </c>
      <c r="F925" s="14">
        <v>4.7581367261519958E-3</v>
      </c>
      <c r="G925" s="14">
        <v>2.5717130982676473E-3</v>
      </c>
      <c r="H925" s="14">
        <v>2.3751633091094074E-3</v>
      </c>
    </row>
    <row r="926" spans="2:8" x14ac:dyDescent="0.25">
      <c r="B926" s="29">
        <v>918</v>
      </c>
      <c r="C926" s="30">
        <v>0.66715116279069764</v>
      </c>
      <c r="D926" s="28">
        <v>36585</v>
      </c>
      <c r="E926" s="14">
        <v>3.0859494056689751E-3</v>
      </c>
      <c r="F926" s="14">
        <v>4.8267056955126897E-3</v>
      </c>
      <c r="G926" s="14">
        <v>2.5774241576490553E-3</v>
      </c>
      <c r="H926" s="14">
        <v>2.3967509203176806E-3</v>
      </c>
    </row>
    <row r="927" spans="2:8" x14ac:dyDescent="0.25">
      <c r="B927" s="29">
        <v>919</v>
      </c>
      <c r="C927" s="30">
        <v>0.66787790697674421</v>
      </c>
      <c r="D927" s="28">
        <v>36586</v>
      </c>
      <c r="E927" s="14">
        <v>3.0996616832674739E-3</v>
      </c>
      <c r="F927" s="14">
        <v>4.9165468811513957E-3</v>
      </c>
      <c r="G927" s="14">
        <v>2.5820547196979682E-3</v>
      </c>
      <c r="H927" s="14">
        <v>2.401643985627411E-3</v>
      </c>
    </row>
    <row r="928" spans="2:8" x14ac:dyDescent="0.25">
      <c r="B928" s="29">
        <v>920</v>
      </c>
      <c r="C928" s="30">
        <v>0.66860465116279066</v>
      </c>
      <c r="D928" s="28">
        <v>36587</v>
      </c>
      <c r="E928" s="14">
        <v>3.0997267506460702E-3</v>
      </c>
      <c r="F928" s="14">
        <v>4.9313349971307208E-3</v>
      </c>
      <c r="G928" s="14">
        <v>2.5832192846027002E-3</v>
      </c>
      <c r="H928" s="14">
        <v>2.4080061331562598E-3</v>
      </c>
    </row>
    <row r="929" spans="2:8" x14ac:dyDescent="0.25">
      <c r="B929" s="29">
        <v>921</v>
      </c>
      <c r="C929" s="30">
        <v>0.66933139534883723</v>
      </c>
      <c r="D929" s="28">
        <v>36588</v>
      </c>
      <c r="E929" s="14">
        <v>3.1080164053107762E-3</v>
      </c>
      <c r="F929" s="14">
        <v>4.9480744108651997E-3</v>
      </c>
      <c r="G929" s="14">
        <v>2.5887782092410827E-3</v>
      </c>
      <c r="H929" s="14">
        <v>2.4085488481158995E-3</v>
      </c>
    </row>
    <row r="930" spans="2:8" x14ac:dyDescent="0.25">
      <c r="B930" s="29">
        <v>922</v>
      </c>
      <c r="C930" s="30">
        <v>0.67005813953488369</v>
      </c>
      <c r="D930" s="28">
        <v>36591</v>
      </c>
      <c r="E930" s="14">
        <v>3.1322187854820882E-3</v>
      </c>
      <c r="F930" s="14">
        <v>4.9528186231584392E-3</v>
      </c>
      <c r="G930" s="14">
        <v>2.6021861227285559E-3</v>
      </c>
      <c r="H930" s="14">
        <v>2.4201931379610468E-3</v>
      </c>
    </row>
    <row r="931" spans="2:8" x14ac:dyDescent="0.25">
      <c r="B931" s="29">
        <v>923</v>
      </c>
      <c r="C931" s="30">
        <v>0.67078488372093026</v>
      </c>
      <c r="D931" s="28">
        <v>36592</v>
      </c>
      <c r="E931" s="14">
        <v>3.1405093157592656E-3</v>
      </c>
      <c r="F931" s="14">
        <v>4.9676775565099529E-3</v>
      </c>
      <c r="G931" s="14">
        <v>2.6289499973712882E-3</v>
      </c>
      <c r="H931" s="14">
        <v>2.4331510367013648E-3</v>
      </c>
    </row>
    <row r="932" spans="2:8" x14ac:dyDescent="0.25">
      <c r="B932" s="29">
        <v>924</v>
      </c>
      <c r="C932" s="30">
        <v>0.67151162790697672</v>
      </c>
      <c r="D932" s="28">
        <v>36593</v>
      </c>
      <c r="E932" s="14">
        <v>3.223529860567842E-3</v>
      </c>
      <c r="F932" s="14">
        <v>4.9695470777908479E-3</v>
      </c>
      <c r="G932" s="14">
        <v>2.6377345344148484E-3</v>
      </c>
      <c r="H932" s="14">
        <v>2.4539547296549506E-3</v>
      </c>
    </row>
    <row r="933" spans="2:8" x14ac:dyDescent="0.25">
      <c r="B933" s="29">
        <v>925</v>
      </c>
      <c r="C933" s="30">
        <v>0.67223837209302328</v>
      </c>
      <c r="D933" s="28">
        <v>36594</v>
      </c>
      <c r="E933" s="14">
        <v>3.2268608162440149E-3</v>
      </c>
      <c r="F933" s="14">
        <v>4.9758316747225972E-3</v>
      </c>
      <c r="G933" s="14">
        <v>2.6419797278018908E-3</v>
      </c>
      <c r="H933" s="14">
        <v>2.4707527187305626E-3</v>
      </c>
    </row>
    <row r="934" spans="2:8" x14ac:dyDescent="0.25">
      <c r="B934" s="29">
        <v>926</v>
      </c>
      <c r="C934" s="30">
        <v>0.67296511627906974</v>
      </c>
      <c r="D934" s="28">
        <v>36595</v>
      </c>
      <c r="E934" s="14">
        <v>3.2335833460890306E-3</v>
      </c>
      <c r="F934" s="14">
        <v>4.9803203977349941E-3</v>
      </c>
      <c r="G934" s="14">
        <v>2.6545540349220964E-3</v>
      </c>
      <c r="H934" s="14">
        <v>2.5167004764977464E-3</v>
      </c>
    </row>
    <row r="935" spans="2:8" x14ac:dyDescent="0.25">
      <c r="B935" s="29">
        <v>927</v>
      </c>
      <c r="C935" s="30">
        <v>0.67369186046511631</v>
      </c>
      <c r="D935" s="28">
        <v>36598</v>
      </c>
      <c r="E935" s="14">
        <v>3.2400226956927902E-3</v>
      </c>
      <c r="F935" s="14">
        <v>5.0027793218454519E-3</v>
      </c>
      <c r="G935" s="14">
        <v>2.6745434159600734E-3</v>
      </c>
      <c r="H935" s="14">
        <v>2.5194217051225818E-3</v>
      </c>
    </row>
    <row r="936" spans="2:8" x14ac:dyDescent="0.25">
      <c r="B936" s="29">
        <v>928</v>
      </c>
      <c r="C936" s="30">
        <v>0.67441860465116277</v>
      </c>
      <c r="D936" s="28">
        <v>36599</v>
      </c>
      <c r="E936" s="14">
        <v>3.2456244953706914E-3</v>
      </c>
      <c r="F936" s="14">
        <v>5.0548094160520751E-3</v>
      </c>
      <c r="G936" s="14">
        <v>2.6870837526569158E-3</v>
      </c>
      <c r="H936" s="14">
        <v>2.5258836749910691E-3</v>
      </c>
    </row>
    <row r="937" spans="2:8" x14ac:dyDescent="0.25">
      <c r="B937" s="29">
        <v>929</v>
      </c>
      <c r="C937" s="30">
        <v>0.67514534883720934</v>
      </c>
      <c r="D937" s="28">
        <v>36600</v>
      </c>
      <c r="E937" s="14">
        <v>3.2738300365291462E-3</v>
      </c>
      <c r="F937" s="14">
        <v>5.0809669911868749E-3</v>
      </c>
      <c r="G937" s="14">
        <v>2.701054648908352E-3</v>
      </c>
      <c r="H937" s="14">
        <v>2.5260997574035218E-3</v>
      </c>
    </row>
    <row r="938" spans="2:8" x14ac:dyDescent="0.25">
      <c r="B938" s="29">
        <v>930</v>
      </c>
      <c r="C938" s="30">
        <v>0.67587209302325579</v>
      </c>
      <c r="D938" s="28">
        <v>36601</v>
      </c>
      <c r="E938" s="14">
        <v>3.2961858420970103E-3</v>
      </c>
      <c r="F938" s="14">
        <v>5.0988514404066709E-3</v>
      </c>
      <c r="G938" s="14">
        <v>2.733288577730919E-3</v>
      </c>
      <c r="H938" s="14">
        <v>2.527478290694685E-3</v>
      </c>
    </row>
    <row r="939" spans="2:8" x14ac:dyDescent="0.25">
      <c r="B939" s="29">
        <v>931</v>
      </c>
      <c r="C939" s="30">
        <v>0.67659883720930236</v>
      </c>
      <c r="D939" s="28">
        <v>36602</v>
      </c>
      <c r="E939" s="14">
        <v>3.2977691561588696E-3</v>
      </c>
      <c r="F939" s="14">
        <v>5.1083947424781506E-3</v>
      </c>
      <c r="G939" s="14">
        <v>2.7353177795654826E-3</v>
      </c>
      <c r="H939" s="14">
        <v>2.5464194254076538E-3</v>
      </c>
    </row>
    <row r="940" spans="2:8" x14ac:dyDescent="0.25">
      <c r="B940" s="29">
        <v>932</v>
      </c>
      <c r="C940" s="30">
        <v>0.67732558139534882</v>
      </c>
      <c r="D940" s="28">
        <v>36605</v>
      </c>
      <c r="E940" s="14">
        <v>3.3231791747438955E-3</v>
      </c>
      <c r="F940" s="14">
        <v>5.1103681049644578E-3</v>
      </c>
      <c r="G940" s="14">
        <v>2.7353746922482713E-3</v>
      </c>
      <c r="H940" s="14">
        <v>2.5467590617222814E-3</v>
      </c>
    </row>
    <row r="941" spans="2:8" x14ac:dyDescent="0.25">
      <c r="B941" s="29">
        <v>933</v>
      </c>
      <c r="C941" s="30">
        <v>0.67805232558139539</v>
      </c>
      <c r="D941" s="28">
        <v>36606</v>
      </c>
      <c r="E941" s="14">
        <v>3.3318340080297215E-3</v>
      </c>
      <c r="F941" s="14">
        <v>5.1761685831817061E-3</v>
      </c>
      <c r="G941" s="14">
        <v>2.7373823781009499E-3</v>
      </c>
      <c r="H941" s="14">
        <v>2.5472329141942749E-3</v>
      </c>
    </row>
    <row r="942" spans="2:8" x14ac:dyDescent="0.25">
      <c r="B942" s="29">
        <v>934</v>
      </c>
      <c r="C942" s="30">
        <v>0.67877906976744184</v>
      </c>
      <c r="D942" s="28">
        <v>36607</v>
      </c>
      <c r="E942" s="14">
        <v>3.365812098574672E-3</v>
      </c>
      <c r="F942" s="14">
        <v>5.2020486418362655E-3</v>
      </c>
      <c r="G942" s="14">
        <v>2.7387473207907131E-3</v>
      </c>
      <c r="H942" s="14">
        <v>2.5544778066950652E-3</v>
      </c>
    </row>
    <row r="943" spans="2:8" x14ac:dyDescent="0.25">
      <c r="B943" s="29">
        <v>935</v>
      </c>
      <c r="C943" s="30">
        <v>0.67950581395348841</v>
      </c>
      <c r="D943" s="28">
        <v>36608</v>
      </c>
      <c r="E943" s="14">
        <v>3.372738415188703E-3</v>
      </c>
      <c r="F943" s="14">
        <v>5.2273994064566676E-3</v>
      </c>
      <c r="G943" s="14">
        <v>2.7402622822469969E-3</v>
      </c>
      <c r="H943" s="14">
        <v>2.5820604624739348E-3</v>
      </c>
    </row>
    <row r="944" spans="2:8" x14ac:dyDescent="0.25">
      <c r="B944" s="29">
        <v>936</v>
      </c>
      <c r="C944" s="30">
        <v>0.68023255813953487</v>
      </c>
      <c r="D944" s="28">
        <v>36609</v>
      </c>
      <c r="E944" s="14">
        <v>3.3730552437525319E-3</v>
      </c>
      <c r="F944" s="14">
        <v>5.2331907110865217E-3</v>
      </c>
      <c r="G944" s="14">
        <v>2.7733145714754492E-3</v>
      </c>
      <c r="H944" s="14">
        <v>2.5884988520826326E-3</v>
      </c>
    </row>
    <row r="945" spans="2:8" x14ac:dyDescent="0.25">
      <c r="B945" s="29">
        <v>937</v>
      </c>
      <c r="C945" s="30">
        <v>0.68095930232558144</v>
      </c>
      <c r="D945" s="28">
        <v>36612</v>
      </c>
      <c r="E945" s="14">
        <v>3.3804110985573566E-3</v>
      </c>
      <c r="F945" s="14">
        <v>5.2353273063650008E-3</v>
      </c>
      <c r="G945" s="14">
        <v>2.7794478164246961E-3</v>
      </c>
      <c r="H945" s="14">
        <v>2.5966691744324422E-3</v>
      </c>
    </row>
    <row r="946" spans="2:8" x14ac:dyDescent="0.25">
      <c r="B946" s="29">
        <v>938</v>
      </c>
      <c r="C946" s="30">
        <v>0.6816860465116279</v>
      </c>
      <c r="D946" s="28">
        <v>36613</v>
      </c>
      <c r="E946" s="14">
        <v>3.4051546997004856E-3</v>
      </c>
      <c r="F946" s="14">
        <v>5.2383500740984523E-3</v>
      </c>
      <c r="G946" s="14">
        <v>2.7856857468711027E-3</v>
      </c>
      <c r="H946" s="14">
        <v>2.60641757737996E-3</v>
      </c>
    </row>
    <row r="947" spans="2:8" x14ac:dyDescent="0.25">
      <c r="B947" s="29">
        <v>939</v>
      </c>
      <c r="C947" s="30">
        <v>0.68241279069767447</v>
      </c>
      <c r="D947" s="28">
        <v>36614</v>
      </c>
      <c r="E947" s="14">
        <v>3.4354469967809997E-3</v>
      </c>
      <c r="F947" s="14">
        <v>5.285688866560001E-3</v>
      </c>
      <c r="G947" s="14">
        <v>2.7868091035765374E-3</v>
      </c>
      <c r="H947" s="14">
        <v>2.6138187011698791E-3</v>
      </c>
    </row>
    <row r="948" spans="2:8" x14ac:dyDescent="0.25">
      <c r="B948" s="29">
        <v>940</v>
      </c>
      <c r="C948" s="30">
        <v>0.68313953488372092</v>
      </c>
      <c r="D948" s="28">
        <v>36615</v>
      </c>
      <c r="E948" s="14">
        <v>3.4442340486249279E-3</v>
      </c>
      <c r="F948" s="14">
        <v>5.2964618107280703E-3</v>
      </c>
      <c r="G948" s="14">
        <v>2.7868366439371961E-3</v>
      </c>
      <c r="H948" s="14">
        <v>2.6394611726732629E-3</v>
      </c>
    </row>
    <row r="949" spans="2:8" x14ac:dyDescent="0.25">
      <c r="B949" s="29">
        <v>941</v>
      </c>
      <c r="C949" s="30">
        <v>0.68386627906976749</v>
      </c>
      <c r="D949" s="28">
        <v>36616</v>
      </c>
      <c r="E949" s="14">
        <v>3.4785489481530263E-3</v>
      </c>
      <c r="F949" s="14">
        <v>5.3348568715034794E-3</v>
      </c>
      <c r="G949" s="14">
        <v>2.7869876507615743E-3</v>
      </c>
      <c r="H949" s="14">
        <v>2.6543652886124921E-3</v>
      </c>
    </row>
    <row r="950" spans="2:8" x14ac:dyDescent="0.25">
      <c r="B950" s="29">
        <v>942</v>
      </c>
      <c r="C950" s="30">
        <v>0.68459302325581395</v>
      </c>
      <c r="D950" s="28">
        <v>36619</v>
      </c>
      <c r="E950" s="14">
        <v>3.4983281470457595E-3</v>
      </c>
      <c r="F950" s="14">
        <v>5.3660463417724014E-3</v>
      </c>
      <c r="G950" s="14">
        <v>2.7963602180507419E-3</v>
      </c>
      <c r="H950" s="14">
        <v>2.6848561981293257E-3</v>
      </c>
    </row>
    <row r="951" spans="2:8" x14ac:dyDescent="0.25">
      <c r="B951" s="29">
        <v>943</v>
      </c>
      <c r="C951" s="30">
        <v>0.68531976744186052</v>
      </c>
      <c r="D951" s="28">
        <v>36620</v>
      </c>
      <c r="E951" s="14">
        <v>3.5155715033743373E-3</v>
      </c>
      <c r="F951" s="14">
        <v>5.3871622000785102E-3</v>
      </c>
      <c r="G951" s="14">
        <v>2.8009608533090535E-3</v>
      </c>
      <c r="H951" s="14">
        <v>2.686501681168085E-3</v>
      </c>
    </row>
    <row r="952" spans="2:8" x14ac:dyDescent="0.25">
      <c r="B952" s="29">
        <v>944</v>
      </c>
      <c r="C952" s="30">
        <v>0.68604651162790697</v>
      </c>
      <c r="D952" s="28">
        <v>36621</v>
      </c>
      <c r="E952" s="14">
        <v>3.5278720861862123E-3</v>
      </c>
      <c r="F952" s="14">
        <v>5.4173326355395623E-3</v>
      </c>
      <c r="G952" s="14">
        <v>2.8170489695575895E-3</v>
      </c>
      <c r="H952" s="14">
        <v>2.6893589630353262E-3</v>
      </c>
    </row>
    <row r="953" spans="2:8" x14ac:dyDescent="0.25">
      <c r="B953" s="29">
        <v>945</v>
      </c>
      <c r="C953" s="30">
        <v>0.68677325581395354</v>
      </c>
      <c r="D953" s="28">
        <v>36622</v>
      </c>
      <c r="E953" s="14">
        <v>3.5307717068691069E-3</v>
      </c>
      <c r="F953" s="14">
        <v>5.4565640181729602E-3</v>
      </c>
      <c r="G953" s="14">
        <v>2.8229980239014019E-3</v>
      </c>
      <c r="H953" s="14">
        <v>2.6910975473007251E-3</v>
      </c>
    </row>
    <row r="954" spans="2:8" x14ac:dyDescent="0.25">
      <c r="B954" s="29">
        <v>946</v>
      </c>
      <c r="C954" s="30">
        <v>0.6875</v>
      </c>
      <c r="D954" s="28">
        <v>36623</v>
      </c>
      <c r="E954" s="14">
        <v>3.5383319292334736E-3</v>
      </c>
      <c r="F954" s="14">
        <v>5.4609845993025541E-3</v>
      </c>
      <c r="G954" s="14">
        <v>2.8308851261822365E-3</v>
      </c>
      <c r="H954" s="14">
        <v>2.7137968810820642E-3</v>
      </c>
    </row>
    <row r="955" spans="2:8" x14ac:dyDescent="0.25">
      <c r="B955" s="29">
        <v>947</v>
      </c>
      <c r="C955" s="30">
        <v>0.68822674418604646</v>
      </c>
      <c r="D955" s="28">
        <v>36626</v>
      </c>
      <c r="E955" s="14">
        <v>3.5392535392535507E-3</v>
      </c>
      <c r="F955" s="14">
        <v>5.4617203687028493E-3</v>
      </c>
      <c r="G955" s="14">
        <v>2.8353230349884573E-3</v>
      </c>
      <c r="H955" s="14">
        <v>2.7215210009489789E-3</v>
      </c>
    </row>
    <row r="956" spans="2:8" x14ac:dyDescent="0.25">
      <c r="B956" s="29">
        <v>948</v>
      </c>
      <c r="C956" s="30">
        <v>0.68895348837209303</v>
      </c>
      <c r="D956" s="28">
        <v>36627</v>
      </c>
      <c r="E956" s="14">
        <v>3.5439725205821393E-3</v>
      </c>
      <c r="F956" s="14">
        <v>5.469433679209823E-3</v>
      </c>
      <c r="G956" s="14">
        <v>2.8456560475125237E-3</v>
      </c>
      <c r="H956" s="14">
        <v>2.7607485322834083E-3</v>
      </c>
    </row>
    <row r="957" spans="2:8" x14ac:dyDescent="0.25">
      <c r="B957" s="29">
        <v>949</v>
      </c>
      <c r="C957" s="30">
        <v>0.68968023255813948</v>
      </c>
      <c r="D957" s="28">
        <v>36628</v>
      </c>
      <c r="E957" s="14">
        <v>3.5645328976681157E-3</v>
      </c>
      <c r="F957" s="14">
        <v>5.4808306926519279E-3</v>
      </c>
      <c r="G957" s="14">
        <v>2.8463301617907E-3</v>
      </c>
      <c r="H957" s="14">
        <v>2.7713579591481354E-3</v>
      </c>
    </row>
    <row r="958" spans="2:8" x14ac:dyDescent="0.25">
      <c r="B958" s="29">
        <v>950</v>
      </c>
      <c r="C958" s="30">
        <v>0.69040697674418605</v>
      </c>
      <c r="D958" s="28">
        <v>36629</v>
      </c>
      <c r="E958" s="14">
        <v>3.5668120464729114E-3</v>
      </c>
      <c r="F958" s="14">
        <v>5.5025973330478095E-3</v>
      </c>
      <c r="G958" s="14">
        <v>2.8513296261722942E-3</v>
      </c>
      <c r="H958" s="14">
        <v>2.7725639140499859E-3</v>
      </c>
    </row>
    <row r="959" spans="2:8" x14ac:dyDescent="0.25">
      <c r="B959" s="29">
        <v>951</v>
      </c>
      <c r="C959" s="30">
        <v>0.69113372093023251</v>
      </c>
      <c r="D959" s="28">
        <v>36630</v>
      </c>
      <c r="E959" s="14">
        <v>3.5775127768311599E-3</v>
      </c>
      <c r="F959" s="14">
        <v>5.510143992821348E-3</v>
      </c>
      <c r="G959" s="14">
        <v>2.8519156263451251E-3</v>
      </c>
      <c r="H959" s="14">
        <v>2.7789516023576598E-3</v>
      </c>
    </row>
    <row r="960" spans="2:8" x14ac:dyDescent="0.25">
      <c r="B960" s="29">
        <v>952</v>
      </c>
      <c r="C960" s="30">
        <v>0.69186046511627908</v>
      </c>
      <c r="D960" s="28">
        <v>36633</v>
      </c>
      <c r="E960" s="14">
        <v>3.5887466886221908E-3</v>
      </c>
      <c r="F960" s="14">
        <v>5.51044790676114E-3</v>
      </c>
      <c r="G960" s="14">
        <v>2.9082384676484274E-3</v>
      </c>
      <c r="H960" s="14">
        <v>2.7888825374386087E-3</v>
      </c>
    </row>
    <row r="961" spans="2:8" x14ac:dyDescent="0.25">
      <c r="B961" s="29">
        <v>953</v>
      </c>
      <c r="C961" s="30">
        <v>0.69258720930232553</v>
      </c>
      <c r="D961" s="28">
        <v>36634</v>
      </c>
      <c r="E961" s="14">
        <v>3.6112943831454469E-3</v>
      </c>
      <c r="F961" s="14">
        <v>5.5326493431777646E-3</v>
      </c>
      <c r="G961" s="14">
        <v>2.9089664613277666E-3</v>
      </c>
      <c r="H961" s="14">
        <v>2.7958987684533641E-3</v>
      </c>
    </row>
    <row r="962" spans="2:8" x14ac:dyDescent="0.25">
      <c r="B962" s="29">
        <v>954</v>
      </c>
      <c r="C962" s="30">
        <v>0.6933139534883721</v>
      </c>
      <c r="D962" s="28">
        <v>36635</v>
      </c>
      <c r="E962" s="14">
        <v>3.6184962291461176E-3</v>
      </c>
      <c r="F962" s="14">
        <v>5.5332302936630384E-3</v>
      </c>
      <c r="G962" s="14">
        <v>2.9343041895342203E-3</v>
      </c>
      <c r="H962" s="14">
        <v>2.8028047370217911E-3</v>
      </c>
    </row>
    <row r="963" spans="2:8" x14ac:dyDescent="0.25">
      <c r="B963" s="29">
        <v>955</v>
      </c>
      <c r="C963" s="30">
        <v>0.69404069767441856</v>
      </c>
      <c r="D963" s="28">
        <v>36636</v>
      </c>
      <c r="E963" s="14">
        <v>3.6261743860228624E-3</v>
      </c>
      <c r="F963" s="14">
        <v>5.5700698643808E-3</v>
      </c>
      <c r="G963" s="14">
        <v>2.9496037855092361E-3</v>
      </c>
      <c r="H963" s="14">
        <v>2.839539117128087E-3</v>
      </c>
    </row>
    <row r="964" spans="2:8" x14ac:dyDescent="0.25">
      <c r="B964" s="29">
        <v>956</v>
      </c>
      <c r="C964" s="30">
        <v>0.69476744186046513</v>
      </c>
      <c r="D964" s="28">
        <v>36637</v>
      </c>
      <c r="E964" s="14">
        <v>3.6441941361604613E-3</v>
      </c>
      <c r="F964" s="14">
        <v>5.5706837578455293E-3</v>
      </c>
      <c r="G964" s="14">
        <v>2.9508568834410998E-3</v>
      </c>
      <c r="H964" s="14">
        <v>2.8552468455102622E-3</v>
      </c>
    </row>
    <row r="965" spans="2:8" x14ac:dyDescent="0.25">
      <c r="B965" s="29">
        <v>957</v>
      </c>
      <c r="C965" s="30">
        <v>0.69549418604651159</v>
      </c>
      <c r="D965" s="28">
        <v>36640</v>
      </c>
      <c r="E965" s="14">
        <v>3.6496350364965124E-3</v>
      </c>
      <c r="F965" s="14">
        <v>5.5758868109385684E-3</v>
      </c>
      <c r="G965" s="14">
        <v>2.9592894442143081E-3</v>
      </c>
      <c r="H965" s="14">
        <v>2.8626316234301452E-3</v>
      </c>
    </row>
    <row r="966" spans="2:8" x14ac:dyDescent="0.25">
      <c r="B966" s="29">
        <v>958</v>
      </c>
      <c r="C966" s="30">
        <v>0.69622093023255816</v>
      </c>
      <c r="D966" s="28">
        <v>36641</v>
      </c>
      <c r="E966" s="14">
        <v>3.7061416908026334E-3</v>
      </c>
      <c r="F966" s="14">
        <v>5.5812112415887238E-3</v>
      </c>
      <c r="G966" s="14">
        <v>2.9714348262721568E-3</v>
      </c>
      <c r="H966" s="14">
        <v>2.8687895460074659E-3</v>
      </c>
    </row>
    <row r="967" spans="2:8" x14ac:dyDescent="0.25">
      <c r="B967" s="29">
        <v>959</v>
      </c>
      <c r="C967" s="30">
        <v>0.69694767441860461</v>
      </c>
      <c r="D967" s="28">
        <v>36642</v>
      </c>
      <c r="E967" s="14">
        <v>3.7140415996772536E-3</v>
      </c>
      <c r="F967" s="14">
        <v>5.606070964654597E-3</v>
      </c>
      <c r="G967" s="14">
        <v>2.9940119760478723E-3</v>
      </c>
      <c r="H967" s="14">
        <v>2.8807192431429931E-3</v>
      </c>
    </row>
    <row r="968" spans="2:8" x14ac:dyDescent="0.25">
      <c r="B968" s="29">
        <v>960</v>
      </c>
      <c r="C968" s="30">
        <v>0.69767441860465118</v>
      </c>
      <c r="D968" s="28">
        <v>36643</v>
      </c>
      <c r="E968" s="14">
        <v>3.7275499830564662E-3</v>
      </c>
      <c r="F968" s="14">
        <v>5.6300696474391732E-3</v>
      </c>
      <c r="G968" s="14">
        <v>3.0588262588233661E-3</v>
      </c>
      <c r="H968" s="14">
        <v>2.8881706400202714E-3</v>
      </c>
    </row>
    <row r="969" spans="2:8" x14ac:dyDescent="0.25">
      <c r="B969" s="29">
        <v>961</v>
      </c>
      <c r="C969" s="30">
        <v>0.69840116279069764</v>
      </c>
      <c r="D969" s="28">
        <v>36644</v>
      </c>
      <c r="E969" s="14">
        <v>3.7353942290896391E-3</v>
      </c>
      <c r="F969" s="14">
        <v>5.6511614698699919E-3</v>
      </c>
      <c r="G969" s="14">
        <v>3.073245336680408E-3</v>
      </c>
      <c r="H969" s="14">
        <v>2.9035048126732966E-3</v>
      </c>
    </row>
    <row r="970" spans="2:8" x14ac:dyDescent="0.25">
      <c r="B970" s="29">
        <v>962</v>
      </c>
      <c r="C970" s="30">
        <v>0.69912790697674421</v>
      </c>
      <c r="D970" s="28">
        <v>36647</v>
      </c>
      <c r="E970" s="14">
        <v>3.8000000000000256E-3</v>
      </c>
      <c r="F970" s="14">
        <v>5.6714586255259825E-3</v>
      </c>
      <c r="G970" s="14">
        <v>3.0802959023519261E-3</v>
      </c>
      <c r="H970" s="14">
        <v>2.9288402029677522E-3</v>
      </c>
    </row>
    <row r="971" spans="2:8" x14ac:dyDescent="0.25">
      <c r="B971" s="29">
        <v>963</v>
      </c>
      <c r="C971" s="30">
        <v>0.69985465116279066</v>
      </c>
      <c r="D971" s="28">
        <v>36648</v>
      </c>
      <c r="E971" s="14">
        <v>3.8378378992223183E-3</v>
      </c>
      <c r="F971" s="14">
        <v>5.6776510457499096E-3</v>
      </c>
      <c r="G971" s="14">
        <v>3.0917555856624368E-3</v>
      </c>
      <c r="H971" s="14">
        <v>2.9437978298224813E-3</v>
      </c>
    </row>
    <row r="972" spans="2:8" x14ac:dyDescent="0.25">
      <c r="B972" s="29">
        <v>964</v>
      </c>
      <c r="C972" s="30">
        <v>0.70058139534883723</v>
      </c>
      <c r="D972" s="28">
        <v>36649</v>
      </c>
      <c r="E972" s="14">
        <v>3.8526713862161444E-3</v>
      </c>
      <c r="F972" s="14">
        <v>5.6868593833179215E-3</v>
      </c>
      <c r="G972" s="14">
        <v>3.0936356344342109E-3</v>
      </c>
      <c r="H972" s="14">
        <v>2.947527150027707E-3</v>
      </c>
    </row>
    <row r="973" spans="2:8" x14ac:dyDescent="0.25">
      <c r="B973" s="29">
        <v>965</v>
      </c>
      <c r="C973" s="30">
        <v>0.70130813953488369</v>
      </c>
      <c r="D973" s="28">
        <v>36650</v>
      </c>
      <c r="E973" s="14">
        <v>3.8631346578366088E-3</v>
      </c>
      <c r="F973" s="14">
        <v>5.6889237635173728E-3</v>
      </c>
      <c r="G973" s="14">
        <v>3.1149057630275312E-3</v>
      </c>
      <c r="H973" s="14">
        <v>2.9635182110286707E-3</v>
      </c>
    </row>
    <row r="974" spans="2:8" x14ac:dyDescent="0.25">
      <c r="B974" s="29">
        <v>966</v>
      </c>
      <c r="C974" s="30">
        <v>0.70203488372093026</v>
      </c>
      <c r="D974" s="28">
        <v>36651</v>
      </c>
      <c r="E974" s="14">
        <v>3.899887452718076E-3</v>
      </c>
      <c r="F974" s="14">
        <v>5.6903308658011742E-3</v>
      </c>
      <c r="G974" s="14">
        <v>3.118521487994963E-3</v>
      </c>
      <c r="H974" s="14">
        <v>3.0022674283542777E-3</v>
      </c>
    </row>
    <row r="975" spans="2:8" x14ac:dyDescent="0.25">
      <c r="B975" s="29">
        <v>967</v>
      </c>
      <c r="C975" s="30">
        <v>0.70276162790697672</v>
      </c>
      <c r="D975" s="28">
        <v>36654</v>
      </c>
      <c r="E975" s="14">
        <v>3.9089591325527362E-3</v>
      </c>
      <c r="F975" s="14">
        <v>5.6920194124518986E-3</v>
      </c>
      <c r="G975" s="14">
        <v>3.1373844121531658E-3</v>
      </c>
      <c r="H975" s="14">
        <v>3.0050938496517967E-3</v>
      </c>
    </row>
    <row r="976" spans="2:8" x14ac:dyDescent="0.25">
      <c r="B976" s="29">
        <v>968</v>
      </c>
      <c r="C976" s="30">
        <v>0.70348837209302328</v>
      </c>
      <c r="D976" s="28">
        <v>36655</v>
      </c>
      <c r="E976" s="14">
        <v>3.972359104895018E-3</v>
      </c>
      <c r="F976" s="14">
        <v>5.7108891504760173E-3</v>
      </c>
      <c r="G976" s="14">
        <v>3.1404860254882205E-3</v>
      </c>
      <c r="H976" s="14">
        <v>3.0088390950489432E-3</v>
      </c>
    </row>
    <row r="977" spans="2:8" x14ac:dyDescent="0.25">
      <c r="B977" s="29">
        <v>969</v>
      </c>
      <c r="C977" s="30">
        <v>0.70421511627906974</v>
      </c>
      <c r="D977" s="28">
        <v>36656</v>
      </c>
      <c r="E977" s="14">
        <v>3.9946279141842567E-3</v>
      </c>
      <c r="F977" s="14">
        <v>5.7137526528139304E-3</v>
      </c>
      <c r="G977" s="14">
        <v>3.1449716111384696E-3</v>
      </c>
      <c r="H977" s="14">
        <v>3.0591908703639704E-3</v>
      </c>
    </row>
    <row r="978" spans="2:8" x14ac:dyDescent="0.25">
      <c r="B978" s="29">
        <v>970</v>
      </c>
      <c r="C978" s="30">
        <v>0.70494186046511631</v>
      </c>
      <c r="D978" s="28">
        <v>36657</v>
      </c>
      <c r="E978" s="14">
        <v>4.0040382608099723E-3</v>
      </c>
      <c r="F978" s="14">
        <v>5.7330579764456324E-3</v>
      </c>
      <c r="G978" s="14">
        <v>3.1695721077655836E-3</v>
      </c>
      <c r="H978" s="14">
        <v>3.0658285263299059E-3</v>
      </c>
    </row>
    <row r="979" spans="2:8" x14ac:dyDescent="0.25">
      <c r="B979" s="29">
        <v>971</v>
      </c>
      <c r="C979" s="30">
        <v>0.70566860465116277</v>
      </c>
      <c r="D979" s="28">
        <v>36658</v>
      </c>
      <c r="E979" s="14">
        <v>4.0317086542207559E-3</v>
      </c>
      <c r="F979" s="14">
        <v>5.7669117361029976E-3</v>
      </c>
      <c r="G979" s="14">
        <v>3.1741113141723343E-3</v>
      </c>
      <c r="H979" s="14">
        <v>3.0708716449073139E-3</v>
      </c>
    </row>
    <row r="980" spans="2:8" x14ac:dyDescent="0.25">
      <c r="B980" s="29">
        <v>972</v>
      </c>
      <c r="C980" s="30">
        <v>0.70639534883720934</v>
      </c>
      <c r="D980" s="28">
        <v>36661</v>
      </c>
      <c r="E980" s="14">
        <v>4.0522049981133179E-3</v>
      </c>
      <c r="F980" s="14">
        <v>5.799664308835828E-3</v>
      </c>
      <c r="G980" s="14">
        <v>3.1795615551961642E-3</v>
      </c>
      <c r="H980" s="14">
        <v>3.0950179879132293E-3</v>
      </c>
    </row>
    <row r="981" spans="2:8" x14ac:dyDescent="0.25">
      <c r="B981" s="29">
        <v>973</v>
      </c>
      <c r="C981" s="30">
        <v>0.70712209302325579</v>
      </c>
      <c r="D981" s="28">
        <v>36662</v>
      </c>
      <c r="E981" s="14">
        <v>4.1114087158282686E-3</v>
      </c>
      <c r="F981" s="14">
        <v>5.8089403222147951E-3</v>
      </c>
      <c r="G981" s="14">
        <v>3.1800602549774126E-3</v>
      </c>
      <c r="H981" s="14">
        <v>3.1166099163125959E-3</v>
      </c>
    </row>
    <row r="982" spans="2:8" x14ac:dyDescent="0.25">
      <c r="B982" s="29">
        <v>974</v>
      </c>
      <c r="C982" s="30">
        <v>0.70784883720930236</v>
      </c>
      <c r="D982" s="28">
        <v>36663</v>
      </c>
      <c r="E982" s="14">
        <v>4.1235661783112221E-3</v>
      </c>
      <c r="F982" s="14">
        <v>5.8247054883286964E-3</v>
      </c>
      <c r="G982" s="14">
        <v>3.183223852884387E-3</v>
      </c>
      <c r="H982" s="14">
        <v>3.1291044048054498E-3</v>
      </c>
    </row>
    <row r="983" spans="2:8" x14ac:dyDescent="0.25">
      <c r="B983" s="29">
        <v>975</v>
      </c>
      <c r="C983" s="30">
        <v>0.70857558139534882</v>
      </c>
      <c r="D983" s="28">
        <v>36664</v>
      </c>
      <c r="E983" s="14">
        <v>4.1526414543695545E-3</v>
      </c>
      <c r="F983" s="14">
        <v>5.8507017600726297E-3</v>
      </c>
      <c r="G983" s="14">
        <v>3.203588018580783E-3</v>
      </c>
      <c r="H983" s="14">
        <v>3.1340342639298857E-3</v>
      </c>
    </row>
    <row r="984" spans="2:8" x14ac:dyDescent="0.25">
      <c r="B984" s="29">
        <v>976</v>
      </c>
      <c r="C984" s="30">
        <v>0.70930232558139539</v>
      </c>
      <c r="D984" s="28">
        <v>36665</v>
      </c>
      <c r="E984" s="14">
        <v>4.1618978254085448E-3</v>
      </c>
      <c r="F984" s="14">
        <v>5.8719151015371729E-3</v>
      </c>
      <c r="G984" s="14">
        <v>3.2257459700131275E-3</v>
      </c>
      <c r="H984" s="14">
        <v>3.1477561012729144E-3</v>
      </c>
    </row>
    <row r="985" spans="2:8" x14ac:dyDescent="0.25">
      <c r="B985" s="29">
        <v>977</v>
      </c>
      <c r="C985" s="30">
        <v>0.71002906976744184</v>
      </c>
      <c r="D985" s="28">
        <v>36668</v>
      </c>
      <c r="E985" s="14">
        <v>4.1622459805761292E-3</v>
      </c>
      <c r="F985" s="14">
        <v>5.8829882988298277E-3</v>
      </c>
      <c r="G985" s="14">
        <v>3.2378580323786377E-3</v>
      </c>
      <c r="H985" s="14">
        <v>3.153869982362046E-3</v>
      </c>
    </row>
    <row r="986" spans="2:8" x14ac:dyDescent="0.25">
      <c r="B986" s="29">
        <v>978</v>
      </c>
      <c r="C986" s="30">
        <v>0.71075581395348841</v>
      </c>
      <c r="D986" s="28">
        <v>36669</v>
      </c>
      <c r="E986" s="14">
        <v>4.1666991200608461E-3</v>
      </c>
      <c r="F986" s="14">
        <v>5.9004392386530213E-3</v>
      </c>
      <c r="G986" s="14">
        <v>3.2474446337309448E-3</v>
      </c>
      <c r="H986" s="14">
        <v>3.1703567814749035E-3</v>
      </c>
    </row>
    <row r="987" spans="2:8" x14ac:dyDescent="0.25">
      <c r="B987" s="29">
        <v>979</v>
      </c>
      <c r="C987" s="30">
        <v>0.71148255813953487</v>
      </c>
      <c r="D987" s="28">
        <v>36670</v>
      </c>
      <c r="E987" s="14">
        <v>4.1785057663381586E-3</v>
      </c>
      <c r="F987" s="14">
        <v>5.9914449783196044E-3</v>
      </c>
      <c r="G987" s="14">
        <v>3.261926946131144E-3</v>
      </c>
      <c r="H987" s="14">
        <v>3.2004653824773133E-3</v>
      </c>
    </row>
    <row r="988" spans="2:8" x14ac:dyDescent="0.25">
      <c r="B988" s="29">
        <v>980</v>
      </c>
      <c r="C988" s="30">
        <v>0.71220930232558144</v>
      </c>
      <c r="D988" s="28">
        <v>36671</v>
      </c>
      <c r="E988" s="14">
        <v>4.1887740854511524E-3</v>
      </c>
      <c r="F988" s="14">
        <v>5.9991861060426643E-3</v>
      </c>
      <c r="G988" s="14">
        <v>3.3019923886277169E-3</v>
      </c>
      <c r="H988" s="14">
        <v>3.2105468451684156E-3</v>
      </c>
    </row>
    <row r="989" spans="2:8" x14ac:dyDescent="0.25">
      <c r="B989" s="29">
        <v>981</v>
      </c>
      <c r="C989" s="30">
        <v>0.7129360465116279</v>
      </c>
      <c r="D989" s="28">
        <v>36672</v>
      </c>
      <c r="E989" s="14">
        <v>4.1888190752374932E-3</v>
      </c>
      <c r="F989" s="14">
        <v>6.0100093974693181E-3</v>
      </c>
      <c r="G989" s="14">
        <v>3.3141685568625068E-3</v>
      </c>
      <c r="H989" s="14">
        <v>3.2202933599044144E-3</v>
      </c>
    </row>
    <row r="990" spans="2:8" x14ac:dyDescent="0.25">
      <c r="B990" s="29">
        <v>982</v>
      </c>
      <c r="C990" s="30">
        <v>0.71366279069767447</v>
      </c>
      <c r="D990" s="28">
        <v>36675</v>
      </c>
      <c r="E990" s="14">
        <v>4.1974479516453389E-3</v>
      </c>
      <c r="F990" s="14">
        <v>6.0527775707743814E-3</v>
      </c>
      <c r="G990" s="14">
        <v>3.3187436871724429E-3</v>
      </c>
      <c r="H990" s="14">
        <v>3.2216719675837169E-3</v>
      </c>
    </row>
    <row r="991" spans="2:8" x14ac:dyDescent="0.25">
      <c r="B991" s="29">
        <v>983</v>
      </c>
      <c r="C991" s="30">
        <v>0.71438953488372092</v>
      </c>
      <c r="D991" s="28">
        <v>36676</v>
      </c>
      <c r="E991" s="14">
        <v>4.2301154445527622E-3</v>
      </c>
      <c r="F991" s="14">
        <v>6.0648006107610897E-3</v>
      </c>
      <c r="G991" s="14">
        <v>3.343038930227582E-3</v>
      </c>
      <c r="H991" s="14">
        <v>3.2262562211856417E-3</v>
      </c>
    </row>
    <row r="992" spans="2:8" x14ac:dyDescent="0.25">
      <c r="B992" s="29">
        <v>984</v>
      </c>
      <c r="C992" s="30">
        <v>0.71511627906976749</v>
      </c>
      <c r="D992" s="28">
        <v>36677</v>
      </c>
      <c r="E992" s="14">
        <v>4.2338524876393002E-3</v>
      </c>
      <c r="F992" s="14">
        <v>6.0809454149097775E-3</v>
      </c>
      <c r="G992" s="14">
        <v>3.3595178103849044E-3</v>
      </c>
      <c r="H992" s="14">
        <v>3.2372350740265121E-3</v>
      </c>
    </row>
    <row r="993" spans="2:8" x14ac:dyDescent="0.25">
      <c r="B993" s="29">
        <v>985</v>
      </c>
      <c r="C993" s="30">
        <v>0.71584302325581395</v>
      </c>
      <c r="D993" s="28">
        <v>36678</v>
      </c>
      <c r="E993" s="14">
        <v>4.2416791537243093E-3</v>
      </c>
      <c r="F993" s="14">
        <v>6.0930484977057553E-3</v>
      </c>
      <c r="G993" s="14">
        <v>3.3648306061304645E-3</v>
      </c>
      <c r="H993" s="14">
        <v>3.2408451653405117E-3</v>
      </c>
    </row>
    <row r="994" spans="2:8" x14ac:dyDescent="0.25">
      <c r="B994" s="29">
        <v>986</v>
      </c>
      <c r="C994" s="30">
        <v>0.71656976744186052</v>
      </c>
      <c r="D994" s="28">
        <v>36679</v>
      </c>
      <c r="E994" s="14">
        <v>4.2462526562241365E-3</v>
      </c>
      <c r="F994" s="14">
        <v>6.1126748729152247E-3</v>
      </c>
      <c r="G994" s="14">
        <v>3.3857166687660811E-3</v>
      </c>
      <c r="H994" s="14">
        <v>3.2529680470285041E-3</v>
      </c>
    </row>
    <row r="995" spans="2:8" x14ac:dyDescent="0.25">
      <c r="B995" s="29">
        <v>987</v>
      </c>
      <c r="C995" s="30">
        <v>0.71729651162790697</v>
      </c>
      <c r="D995" s="28">
        <v>36682</v>
      </c>
      <c r="E995" s="14">
        <v>4.2589437819420262E-3</v>
      </c>
      <c r="F995" s="14">
        <v>6.1547020880783343E-3</v>
      </c>
      <c r="G995" s="14">
        <v>3.4003691829396221E-3</v>
      </c>
      <c r="H995" s="14">
        <v>3.255867603128593E-3</v>
      </c>
    </row>
    <row r="996" spans="2:8" x14ac:dyDescent="0.25">
      <c r="B996" s="29">
        <v>988</v>
      </c>
      <c r="C996" s="30">
        <v>0.71802325581395354</v>
      </c>
      <c r="D996" s="28">
        <v>36683</v>
      </c>
      <c r="E996" s="14">
        <v>4.2673708155605006E-3</v>
      </c>
      <c r="F996" s="14">
        <v>6.1601642710471527E-3</v>
      </c>
      <c r="G996" s="14">
        <v>3.404062180869305E-3</v>
      </c>
      <c r="H996" s="14">
        <v>3.2693874073151719E-3</v>
      </c>
    </row>
    <row r="997" spans="2:8" x14ac:dyDescent="0.25">
      <c r="B997" s="29">
        <v>989</v>
      </c>
      <c r="C997" s="30">
        <v>0.71875</v>
      </c>
      <c r="D997" s="28">
        <v>36684</v>
      </c>
      <c r="E997" s="14">
        <v>4.2715947831921675E-3</v>
      </c>
      <c r="F997" s="14">
        <v>6.1890956838619449E-3</v>
      </c>
      <c r="G997" s="14">
        <v>3.4078395336096801E-3</v>
      </c>
      <c r="H997" s="14">
        <v>3.2718986360685603E-3</v>
      </c>
    </row>
    <row r="998" spans="2:8" x14ac:dyDescent="0.25">
      <c r="B998" s="29">
        <v>990</v>
      </c>
      <c r="C998" s="30">
        <v>0.71947674418604646</v>
      </c>
      <c r="D998" s="28">
        <v>36685</v>
      </c>
      <c r="E998" s="14">
        <v>4.2910617015226027E-3</v>
      </c>
      <c r="F998" s="14">
        <v>6.2015255432343874E-3</v>
      </c>
      <c r="G998" s="14">
        <v>3.4106404924278966E-3</v>
      </c>
      <c r="H998" s="14">
        <v>3.2760530858154447E-3</v>
      </c>
    </row>
    <row r="999" spans="2:8" x14ac:dyDescent="0.25">
      <c r="B999" s="29">
        <v>991</v>
      </c>
      <c r="C999" s="30">
        <v>0.72020348837209303</v>
      </c>
      <c r="D999" s="28">
        <v>36686</v>
      </c>
      <c r="E999" s="14">
        <v>4.295583187294616E-3</v>
      </c>
      <c r="F999" s="14">
        <v>6.2259389563263934E-3</v>
      </c>
      <c r="G999" s="14">
        <v>3.4467901766477294E-3</v>
      </c>
      <c r="H999" s="14">
        <v>3.2895862302382731E-3</v>
      </c>
    </row>
    <row r="1000" spans="2:8" x14ac:dyDescent="0.25">
      <c r="B1000" s="29">
        <v>992</v>
      </c>
      <c r="C1000" s="30">
        <v>0.72093023255813948</v>
      </c>
      <c r="D1000" s="28">
        <v>36689</v>
      </c>
      <c r="E1000" s="14">
        <v>4.3306940262444193E-3</v>
      </c>
      <c r="F1000" s="14">
        <v>6.2348409188186515E-3</v>
      </c>
      <c r="G1000" s="14">
        <v>3.4488354178967562E-3</v>
      </c>
      <c r="H1000" s="14">
        <v>3.3071958744789859E-3</v>
      </c>
    </row>
    <row r="1001" spans="2:8" x14ac:dyDescent="0.25">
      <c r="B1001" s="29">
        <v>993</v>
      </c>
      <c r="C1001" s="30">
        <v>0.72165697674418605</v>
      </c>
      <c r="D1001" s="28">
        <v>36690</v>
      </c>
      <c r="E1001" s="14">
        <v>4.372452908417257E-3</v>
      </c>
      <c r="F1001" s="14">
        <v>6.2363180095039716E-3</v>
      </c>
      <c r="G1001" s="14">
        <v>3.4670916070791424E-3</v>
      </c>
      <c r="H1001" s="14">
        <v>3.3167008330574179E-3</v>
      </c>
    </row>
    <row r="1002" spans="2:8" x14ac:dyDescent="0.25">
      <c r="B1002" s="29">
        <v>994</v>
      </c>
      <c r="C1002" s="30">
        <v>0.72238372093023251</v>
      </c>
      <c r="D1002" s="28">
        <v>36691</v>
      </c>
      <c r="E1002" s="14">
        <v>4.3917915696356502E-3</v>
      </c>
      <c r="F1002" s="14">
        <v>6.2409985597695616E-3</v>
      </c>
      <c r="G1002" s="14">
        <v>3.4906044563383087E-3</v>
      </c>
      <c r="H1002" s="14">
        <v>3.331978632162968E-3</v>
      </c>
    </row>
    <row r="1003" spans="2:8" x14ac:dyDescent="0.25">
      <c r="B1003" s="29">
        <v>995</v>
      </c>
      <c r="C1003" s="30">
        <v>0.72311046511627908</v>
      </c>
      <c r="D1003" s="28">
        <v>36692</v>
      </c>
      <c r="E1003" s="14">
        <v>4.3950576333031677E-3</v>
      </c>
      <c r="F1003" s="14">
        <v>6.3009828645805843E-3</v>
      </c>
      <c r="G1003" s="14">
        <v>3.497661804505281E-3</v>
      </c>
      <c r="H1003" s="14">
        <v>3.3395728560299937E-3</v>
      </c>
    </row>
    <row r="1004" spans="2:8" x14ac:dyDescent="0.25">
      <c r="B1004" s="29">
        <v>996</v>
      </c>
      <c r="C1004" s="30">
        <v>0.72383720930232553</v>
      </c>
      <c r="D1004" s="28">
        <v>36693</v>
      </c>
      <c r="E1004" s="14">
        <v>4.4247787610618428E-3</v>
      </c>
      <c r="F1004" s="14">
        <v>6.3147682674076222E-3</v>
      </c>
      <c r="G1004" s="14">
        <v>3.5029585798815877E-3</v>
      </c>
      <c r="H1004" s="14">
        <v>3.3531859338650433E-3</v>
      </c>
    </row>
    <row r="1005" spans="2:8" x14ac:dyDescent="0.25">
      <c r="B1005" s="29">
        <v>997</v>
      </c>
      <c r="C1005" s="30">
        <v>0.7245639534883721</v>
      </c>
      <c r="D1005" s="28">
        <v>36696</v>
      </c>
      <c r="E1005" s="14">
        <v>4.4322874149080871E-3</v>
      </c>
      <c r="F1005" s="14">
        <v>6.3418340896663761E-3</v>
      </c>
      <c r="G1005" s="14">
        <v>3.5154836374917675E-3</v>
      </c>
      <c r="H1005" s="14">
        <v>3.3587889413712272E-3</v>
      </c>
    </row>
    <row r="1006" spans="2:8" x14ac:dyDescent="0.25">
      <c r="B1006" s="29">
        <v>998</v>
      </c>
      <c r="C1006" s="30">
        <v>0.72529069767441856</v>
      </c>
      <c r="D1006" s="28">
        <v>36697</v>
      </c>
      <c r="E1006" s="14">
        <v>4.4990523749897093E-3</v>
      </c>
      <c r="F1006" s="14">
        <v>6.3431035848253714E-3</v>
      </c>
      <c r="G1006" s="14">
        <v>3.575401897353947E-3</v>
      </c>
      <c r="H1006" s="14">
        <v>3.3670947166890121E-3</v>
      </c>
    </row>
    <row r="1007" spans="2:8" x14ac:dyDescent="0.25">
      <c r="B1007" s="29">
        <v>999</v>
      </c>
      <c r="C1007" s="30">
        <v>0.72601744186046513</v>
      </c>
      <c r="D1007" s="28">
        <v>36698</v>
      </c>
      <c r="E1007" s="14">
        <v>4.5099005394417802E-3</v>
      </c>
      <c r="F1007" s="14">
        <v>6.3538962435993884E-3</v>
      </c>
      <c r="G1007" s="14">
        <v>3.5906486402570437E-3</v>
      </c>
      <c r="H1007" s="14">
        <v>3.3703247387655956E-3</v>
      </c>
    </row>
    <row r="1008" spans="2:8" x14ac:dyDescent="0.25">
      <c r="B1008" s="29">
        <v>1000</v>
      </c>
      <c r="C1008" s="30">
        <v>0.72674418604651159</v>
      </c>
      <c r="D1008" s="28">
        <v>36699</v>
      </c>
      <c r="E1008" s="14">
        <v>4.5396739323617652E-3</v>
      </c>
      <c r="F1008" s="14">
        <v>6.3779076734618023E-3</v>
      </c>
      <c r="G1008" s="14">
        <v>3.6038505738926752E-3</v>
      </c>
      <c r="H1008" s="14">
        <v>3.3774265726002287E-3</v>
      </c>
    </row>
    <row r="1009" spans="2:8" x14ac:dyDescent="0.25">
      <c r="B1009" s="29">
        <v>1001</v>
      </c>
      <c r="C1009" s="30">
        <v>0.72747093023255816</v>
      </c>
      <c r="D1009" s="28">
        <v>36700</v>
      </c>
      <c r="E1009" s="14">
        <v>4.5502632531766452E-3</v>
      </c>
      <c r="F1009" s="14">
        <v>6.3815619103992915E-3</v>
      </c>
      <c r="G1009" s="14">
        <v>3.6046012540629224E-3</v>
      </c>
      <c r="H1009" s="14">
        <v>3.3986756467870864E-3</v>
      </c>
    </row>
    <row r="1010" spans="2:8" x14ac:dyDescent="0.25">
      <c r="B1010" s="29">
        <v>1002</v>
      </c>
      <c r="C1010" s="30">
        <v>0.72819767441860461</v>
      </c>
      <c r="D1010" s="28">
        <v>36703</v>
      </c>
      <c r="E1010" s="14">
        <v>4.608370856319155E-3</v>
      </c>
      <c r="F1010" s="14">
        <v>6.4198325327695649E-3</v>
      </c>
      <c r="G1010" s="14">
        <v>3.6135707716615784E-3</v>
      </c>
      <c r="H1010" s="14">
        <v>3.4026572135034796E-3</v>
      </c>
    </row>
    <row r="1011" spans="2:8" x14ac:dyDescent="0.25">
      <c r="B1011" s="29">
        <v>1003</v>
      </c>
      <c r="C1011" s="30">
        <v>0.72892441860465118</v>
      </c>
      <c r="D1011" s="28">
        <v>36704</v>
      </c>
      <c r="E1011" s="14">
        <v>4.6223748393388053E-3</v>
      </c>
      <c r="F1011" s="14">
        <v>6.432429152254393E-3</v>
      </c>
      <c r="G1011" s="14">
        <v>3.6216459504476717E-3</v>
      </c>
      <c r="H1011" s="14">
        <v>3.4063743829432893E-3</v>
      </c>
    </row>
    <row r="1012" spans="2:8" x14ac:dyDescent="0.25">
      <c r="B1012" s="29">
        <v>1004</v>
      </c>
      <c r="C1012" s="30">
        <v>0.72965116279069764</v>
      </c>
      <c r="D1012" s="28">
        <v>36705</v>
      </c>
      <c r="E1012" s="14">
        <v>4.623616696398436E-3</v>
      </c>
      <c r="F1012" s="14">
        <v>6.4611334902084927E-3</v>
      </c>
      <c r="G1012" s="14">
        <v>3.6280521285161349E-3</v>
      </c>
      <c r="H1012" s="14">
        <v>3.4244463220125978E-3</v>
      </c>
    </row>
    <row r="1013" spans="2:8" x14ac:dyDescent="0.25">
      <c r="B1013" s="29">
        <v>1005</v>
      </c>
      <c r="C1013" s="30">
        <v>0.73037790697674421</v>
      </c>
      <c r="D1013" s="28">
        <v>36706</v>
      </c>
      <c r="E1013" s="14">
        <v>4.6475422830092317E-3</v>
      </c>
      <c r="F1013" s="14">
        <v>6.4967926360566253E-3</v>
      </c>
      <c r="G1013" s="14">
        <v>3.6324166054055862E-3</v>
      </c>
      <c r="H1013" s="14">
        <v>3.4548778819633252E-3</v>
      </c>
    </row>
    <row r="1014" spans="2:8" x14ac:dyDescent="0.25">
      <c r="B1014" s="29">
        <v>1006</v>
      </c>
      <c r="C1014" s="30">
        <v>0.73110465116279066</v>
      </c>
      <c r="D1014" s="28">
        <v>36707</v>
      </c>
      <c r="E1014" s="14">
        <v>4.6669907632475027E-3</v>
      </c>
      <c r="F1014" s="14">
        <v>6.4982051900512872E-3</v>
      </c>
      <c r="G1014" s="14">
        <v>3.6532388432721774E-3</v>
      </c>
      <c r="H1014" s="14">
        <v>3.4681987807811511E-3</v>
      </c>
    </row>
    <row r="1015" spans="2:8" x14ac:dyDescent="0.25">
      <c r="B1015" s="29">
        <v>1007</v>
      </c>
      <c r="C1015" s="30">
        <v>0.73183139534883723</v>
      </c>
      <c r="D1015" s="28">
        <v>36710</v>
      </c>
      <c r="E1015" s="14">
        <v>4.6758307176100189E-3</v>
      </c>
      <c r="F1015" s="14">
        <v>6.6543145717061769E-3</v>
      </c>
      <c r="G1015" s="14">
        <v>3.6568377060599566E-3</v>
      </c>
      <c r="H1015" s="14">
        <v>3.481756643816203E-3</v>
      </c>
    </row>
    <row r="1016" spans="2:8" x14ac:dyDescent="0.25">
      <c r="B1016" s="29">
        <v>1008</v>
      </c>
      <c r="C1016" s="30">
        <v>0.73255813953488369</v>
      </c>
      <c r="D1016" s="28">
        <v>36711</v>
      </c>
      <c r="E1016" s="14">
        <v>4.739101717305072E-3</v>
      </c>
      <c r="F1016" s="14">
        <v>6.7787216354198154E-3</v>
      </c>
      <c r="G1016" s="14">
        <v>3.6662486642700109E-3</v>
      </c>
      <c r="H1016" s="14">
        <v>3.4909580057585383E-3</v>
      </c>
    </row>
    <row r="1017" spans="2:8" x14ac:dyDescent="0.25">
      <c r="B1017" s="29">
        <v>1009</v>
      </c>
      <c r="C1017" s="30">
        <v>0.73328488372093026</v>
      </c>
      <c r="D1017" s="28">
        <v>36712</v>
      </c>
      <c r="E1017" s="14">
        <v>4.7632562064381379E-3</v>
      </c>
      <c r="F1017" s="14">
        <v>6.8046791394515971E-3</v>
      </c>
      <c r="G1017" s="14">
        <v>3.6825458476590356E-3</v>
      </c>
      <c r="H1017" s="14">
        <v>3.504411689101072E-3</v>
      </c>
    </row>
    <row r="1018" spans="2:8" x14ac:dyDescent="0.25">
      <c r="B1018" s="29">
        <v>1010</v>
      </c>
      <c r="C1018" s="30">
        <v>0.73401162790697672</v>
      </c>
      <c r="D1018" s="28">
        <v>36713</v>
      </c>
      <c r="E1018" s="14">
        <v>4.7784433929281001E-3</v>
      </c>
      <c r="F1018" s="14">
        <v>6.8221495279581212E-3</v>
      </c>
      <c r="G1018" s="14">
        <v>3.7123185195044872E-3</v>
      </c>
      <c r="H1018" s="14">
        <v>3.5180110884750928E-3</v>
      </c>
    </row>
    <row r="1019" spans="2:8" x14ac:dyDescent="0.25">
      <c r="B1019" s="29">
        <v>1011</v>
      </c>
      <c r="C1019" s="30">
        <v>0.73473837209302328</v>
      </c>
      <c r="D1019" s="28">
        <v>36714</v>
      </c>
      <c r="E1019" s="14">
        <v>4.8348106365834198E-3</v>
      </c>
      <c r="F1019" s="14">
        <v>6.8290980279082092E-3</v>
      </c>
      <c r="G1019" s="14">
        <v>3.7847491760707452E-3</v>
      </c>
      <c r="H1019" s="14">
        <v>3.5225680162869191E-3</v>
      </c>
    </row>
    <row r="1020" spans="2:8" x14ac:dyDescent="0.25">
      <c r="B1020" s="29">
        <v>1012</v>
      </c>
      <c r="C1020" s="30">
        <v>0.73546511627906974</v>
      </c>
      <c r="D1020" s="28">
        <v>36717</v>
      </c>
      <c r="E1020" s="14">
        <v>4.8788420881444861E-3</v>
      </c>
      <c r="F1020" s="14">
        <v>6.8755235382811364E-3</v>
      </c>
      <c r="G1020" s="14">
        <v>3.7898664800886106E-3</v>
      </c>
      <c r="H1020" s="14">
        <v>3.5321376499920735E-3</v>
      </c>
    </row>
    <row r="1021" spans="2:8" x14ac:dyDescent="0.25">
      <c r="B1021" s="29">
        <v>1013</v>
      </c>
      <c r="C1021" s="30">
        <v>0.73619186046511631</v>
      </c>
      <c r="D1021" s="28">
        <v>36718</v>
      </c>
      <c r="E1021" s="14">
        <v>4.8935206162210587E-3</v>
      </c>
      <c r="F1021" s="14">
        <v>6.8757299953721152E-3</v>
      </c>
      <c r="G1021" s="14">
        <v>3.7985368598760783E-3</v>
      </c>
      <c r="H1021" s="14">
        <v>3.5450022081647383E-3</v>
      </c>
    </row>
    <row r="1022" spans="2:8" x14ac:dyDescent="0.25">
      <c r="B1022" s="29">
        <v>1014</v>
      </c>
      <c r="C1022" s="30">
        <v>0.73691860465116277</v>
      </c>
      <c r="D1022" s="28">
        <v>36719</v>
      </c>
      <c r="E1022" s="14">
        <v>4.9407114624506754E-3</v>
      </c>
      <c r="F1022" s="14">
        <v>6.8789423731092647E-3</v>
      </c>
      <c r="G1022" s="14">
        <v>3.8037702075293112E-3</v>
      </c>
      <c r="H1022" s="14">
        <v>3.5496568535874134E-3</v>
      </c>
    </row>
    <row r="1023" spans="2:8" x14ac:dyDescent="0.25">
      <c r="B1023" s="29">
        <v>1015</v>
      </c>
      <c r="C1023" s="30">
        <v>0.73764534883720934</v>
      </c>
      <c r="D1023" s="28">
        <v>36720</v>
      </c>
      <c r="E1023" s="14">
        <v>4.9504950495049549E-3</v>
      </c>
      <c r="F1023" s="14">
        <v>6.9052977268226901E-3</v>
      </c>
      <c r="G1023" s="14">
        <v>3.8107681419783379E-3</v>
      </c>
      <c r="H1023" s="14">
        <v>3.5519173942199613E-3</v>
      </c>
    </row>
    <row r="1024" spans="2:8" x14ac:dyDescent="0.25">
      <c r="B1024" s="29">
        <v>1016</v>
      </c>
      <c r="C1024" s="30">
        <v>0.73837209302325579</v>
      </c>
      <c r="D1024" s="28">
        <v>36721</v>
      </c>
      <c r="E1024" s="14">
        <v>4.9866841687722374E-3</v>
      </c>
      <c r="F1024" s="14">
        <v>6.9410014873574344E-3</v>
      </c>
      <c r="G1024" s="14">
        <v>3.8282028423093362E-3</v>
      </c>
      <c r="H1024" s="14">
        <v>3.5838389316692702E-3</v>
      </c>
    </row>
    <row r="1025" spans="2:8" x14ac:dyDescent="0.25">
      <c r="B1025" s="29">
        <v>1017</v>
      </c>
      <c r="C1025" s="30">
        <v>0.73909883720930236</v>
      </c>
      <c r="D1025" s="28">
        <v>36724</v>
      </c>
      <c r="E1025" s="14">
        <v>5.0102489717025467E-3</v>
      </c>
      <c r="F1025" s="14">
        <v>6.952174774122577E-3</v>
      </c>
      <c r="G1025" s="14">
        <v>3.8289559234723214E-3</v>
      </c>
      <c r="H1025" s="14">
        <v>3.6028863527749703E-3</v>
      </c>
    </row>
    <row r="1026" spans="2:8" x14ac:dyDescent="0.25">
      <c r="B1026" s="29">
        <v>1018</v>
      </c>
      <c r="C1026" s="30">
        <v>0.73982558139534882</v>
      </c>
      <c r="D1026" s="28">
        <v>36725</v>
      </c>
      <c r="E1026" s="14">
        <v>5.0295342077688598E-3</v>
      </c>
      <c r="F1026" s="14">
        <v>6.9560859271036168E-3</v>
      </c>
      <c r="G1026" s="14">
        <v>3.8317157686986736E-3</v>
      </c>
      <c r="H1026" s="14">
        <v>3.6156624383924425E-3</v>
      </c>
    </row>
    <row r="1027" spans="2:8" x14ac:dyDescent="0.25">
      <c r="B1027" s="29">
        <v>1019</v>
      </c>
      <c r="C1027" s="30">
        <v>0.74055232558139539</v>
      </c>
      <c r="D1027" s="28">
        <v>36726</v>
      </c>
      <c r="E1027" s="14">
        <v>5.0407940549808128E-3</v>
      </c>
      <c r="F1027" s="14">
        <v>6.9740305554801818E-3</v>
      </c>
      <c r="G1027" s="14">
        <v>3.8530105238945289E-3</v>
      </c>
      <c r="H1027" s="14">
        <v>3.6308094709486486E-3</v>
      </c>
    </row>
    <row r="1028" spans="2:8" x14ac:dyDescent="0.25">
      <c r="B1028" s="29">
        <v>1020</v>
      </c>
      <c r="C1028" s="30">
        <v>0.74127906976744184</v>
      </c>
      <c r="D1028" s="28">
        <v>36727</v>
      </c>
      <c r="E1028" s="14">
        <v>5.0562714076007875E-3</v>
      </c>
      <c r="F1028" s="14">
        <v>6.9853117075737714E-3</v>
      </c>
      <c r="G1028" s="14">
        <v>3.8787804162954131E-3</v>
      </c>
      <c r="H1028" s="14">
        <v>3.6472654464682732E-3</v>
      </c>
    </row>
    <row r="1029" spans="2:8" x14ac:dyDescent="0.25">
      <c r="B1029" s="29">
        <v>1021</v>
      </c>
      <c r="C1029" s="30">
        <v>0.74200581395348841</v>
      </c>
      <c r="D1029" s="28">
        <v>36728</v>
      </c>
      <c r="E1029" s="14">
        <v>5.0763162407820861E-3</v>
      </c>
      <c r="F1029" s="14">
        <v>7.0182251934864937E-3</v>
      </c>
      <c r="G1029" s="14">
        <v>3.8838230327591372E-3</v>
      </c>
      <c r="H1029" s="14">
        <v>3.6570797700353989E-3</v>
      </c>
    </row>
    <row r="1030" spans="2:8" x14ac:dyDescent="0.25">
      <c r="B1030" s="29">
        <v>1022</v>
      </c>
      <c r="C1030" s="30">
        <v>0.74273255813953487</v>
      </c>
      <c r="D1030" s="28">
        <v>36731</v>
      </c>
      <c r="E1030" s="14">
        <v>5.0795800880460984E-3</v>
      </c>
      <c r="F1030" s="14">
        <v>7.0299052491031855E-3</v>
      </c>
      <c r="G1030" s="14">
        <v>3.8919986550260965E-3</v>
      </c>
      <c r="H1030" s="14">
        <v>3.683991524237617E-3</v>
      </c>
    </row>
    <row r="1031" spans="2:8" x14ac:dyDescent="0.25">
      <c r="B1031" s="29">
        <v>1023</v>
      </c>
      <c r="C1031" s="30">
        <v>0.74345930232558144</v>
      </c>
      <c r="D1031" s="28">
        <v>36732</v>
      </c>
      <c r="E1031" s="14">
        <v>5.1135800721076041E-3</v>
      </c>
      <c r="F1031" s="14">
        <v>7.0487198876527657E-3</v>
      </c>
      <c r="G1031" s="14">
        <v>3.8930554760405744E-3</v>
      </c>
      <c r="H1031" s="14">
        <v>3.6877090077980677E-3</v>
      </c>
    </row>
    <row r="1032" spans="2:8" x14ac:dyDescent="0.25">
      <c r="B1032" s="29">
        <v>1024</v>
      </c>
      <c r="C1032" s="30">
        <v>0.7441860465116279</v>
      </c>
      <c r="D1032" s="28">
        <v>36733</v>
      </c>
      <c r="E1032" s="14">
        <v>5.1467252869954461E-3</v>
      </c>
      <c r="F1032" s="14">
        <v>7.0598865211299877E-3</v>
      </c>
      <c r="G1032" s="14">
        <v>3.8948959423321661E-3</v>
      </c>
      <c r="H1032" s="14">
        <v>3.7068143842343029E-3</v>
      </c>
    </row>
    <row r="1033" spans="2:8" x14ac:dyDescent="0.25">
      <c r="B1033" s="29">
        <v>1025</v>
      </c>
      <c r="C1033" s="30">
        <v>0.74491279069767447</v>
      </c>
      <c r="D1033" s="28">
        <v>36734</v>
      </c>
      <c r="E1033" s="14">
        <v>5.1627779876199931E-3</v>
      </c>
      <c r="F1033" s="14">
        <v>7.1036627988254608E-3</v>
      </c>
      <c r="G1033" s="14">
        <v>3.90255439924303E-3</v>
      </c>
      <c r="H1033" s="14">
        <v>3.7169847179021609E-3</v>
      </c>
    </row>
    <row r="1034" spans="2:8" x14ac:dyDescent="0.25">
      <c r="B1034" s="29">
        <v>1026</v>
      </c>
      <c r="C1034" s="30">
        <v>0.74563953488372092</v>
      </c>
      <c r="D1034" s="28">
        <v>36735</v>
      </c>
      <c r="E1034" s="14">
        <v>5.1760196308370254E-3</v>
      </c>
      <c r="F1034" s="14">
        <v>7.1331394081524113E-3</v>
      </c>
      <c r="G1034" s="14">
        <v>3.903458134037141E-3</v>
      </c>
      <c r="H1034" s="14">
        <v>3.7199022973988696E-3</v>
      </c>
    </row>
    <row r="1035" spans="2:8" x14ac:dyDescent="0.25">
      <c r="B1035" s="29">
        <v>1027</v>
      </c>
      <c r="C1035" s="30">
        <v>0.74636627906976749</v>
      </c>
      <c r="D1035" s="28">
        <v>36738</v>
      </c>
      <c r="E1035" s="14">
        <v>5.1813151746147312E-3</v>
      </c>
      <c r="F1035" s="14">
        <v>7.1391198986616722E-3</v>
      </c>
      <c r="G1035" s="14">
        <v>3.906797805520057E-3</v>
      </c>
      <c r="H1035" s="14">
        <v>3.7209775755224538E-3</v>
      </c>
    </row>
    <row r="1036" spans="2:8" x14ac:dyDescent="0.25">
      <c r="B1036" s="29">
        <v>1028</v>
      </c>
      <c r="C1036" s="30">
        <v>0.74709302325581395</v>
      </c>
      <c r="D1036" s="28">
        <v>36739</v>
      </c>
      <c r="E1036" s="14">
        <v>5.1849094398941364E-3</v>
      </c>
      <c r="F1036" s="14">
        <v>7.154466825332273E-3</v>
      </c>
      <c r="G1036" s="14">
        <v>3.9146750928478191E-3</v>
      </c>
      <c r="H1036" s="14">
        <v>3.7253413296115308E-3</v>
      </c>
    </row>
    <row r="1037" spans="2:8" x14ac:dyDescent="0.25">
      <c r="B1037" s="29">
        <v>1029</v>
      </c>
      <c r="C1037" s="30">
        <v>0.74781976744186052</v>
      </c>
      <c r="D1037" s="28">
        <v>36740</v>
      </c>
      <c r="E1037" s="14">
        <v>5.219840027853806E-3</v>
      </c>
      <c r="F1037" s="14">
        <v>7.1643636754663564E-3</v>
      </c>
      <c r="G1037" s="14">
        <v>3.9535220095463508E-3</v>
      </c>
      <c r="H1037" s="14">
        <v>3.7398499845857631E-3</v>
      </c>
    </row>
    <row r="1038" spans="2:8" x14ac:dyDescent="0.25">
      <c r="B1038" s="29">
        <v>1030</v>
      </c>
      <c r="C1038" s="30">
        <v>0.74854651162790697</v>
      </c>
      <c r="D1038" s="28">
        <v>36741</v>
      </c>
      <c r="E1038" s="14">
        <v>5.2329507089803329E-3</v>
      </c>
      <c r="F1038" s="14">
        <v>7.1743974403970512E-3</v>
      </c>
      <c r="G1038" s="14">
        <v>3.9657267931303419E-3</v>
      </c>
      <c r="H1038" s="14">
        <v>3.7567665653340135E-3</v>
      </c>
    </row>
    <row r="1039" spans="2:8" x14ac:dyDescent="0.25">
      <c r="B1039" s="29">
        <v>1031</v>
      </c>
      <c r="C1039" s="30">
        <v>0.74927325581395354</v>
      </c>
      <c r="D1039" s="28">
        <v>36742</v>
      </c>
      <c r="E1039" s="14">
        <v>5.2409849041148426E-3</v>
      </c>
      <c r="F1039" s="14">
        <v>7.18044288533215E-3</v>
      </c>
      <c r="G1039" s="14">
        <v>3.9688756593034835E-3</v>
      </c>
      <c r="H1039" s="14">
        <v>3.7580571428462496E-3</v>
      </c>
    </row>
    <row r="1040" spans="2:8" x14ac:dyDescent="0.25">
      <c r="B1040" s="29">
        <v>1032</v>
      </c>
      <c r="C1040" s="30">
        <v>0.75</v>
      </c>
      <c r="D1040" s="28">
        <v>36745</v>
      </c>
      <c r="E1040" s="14">
        <v>5.2594670406731492E-3</v>
      </c>
      <c r="F1040" s="14">
        <v>7.1844608075584127E-3</v>
      </c>
      <c r="G1040" s="14">
        <v>3.9749078841122554E-3</v>
      </c>
      <c r="H1040" s="14">
        <v>3.7717923559145382E-3</v>
      </c>
    </row>
    <row r="1041" spans="2:8" x14ac:dyDescent="0.25">
      <c r="B1041" s="29">
        <v>1033</v>
      </c>
      <c r="C1041" s="30">
        <v>0.75072674418604646</v>
      </c>
      <c r="D1041" s="28">
        <v>36746</v>
      </c>
      <c r="E1041" s="14">
        <v>5.2664307708962799E-3</v>
      </c>
      <c r="F1041" s="14">
        <v>7.2336210152723623E-3</v>
      </c>
      <c r="G1041" s="14">
        <v>3.9796874952020556E-3</v>
      </c>
      <c r="H1041" s="14">
        <v>3.7829319635696466E-3</v>
      </c>
    </row>
    <row r="1042" spans="2:8" x14ac:dyDescent="0.25">
      <c r="B1042" s="29">
        <v>1034</v>
      </c>
      <c r="C1042" s="30">
        <v>0.75145348837209303</v>
      </c>
      <c r="D1042" s="28">
        <v>36747</v>
      </c>
      <c r="E1042" s="14">
        <v>5.2844570774637223E-3</v>
      </c>
      <c r="F1042" s="14">
        <v>7.3089841357021346E-3</v>
      </c>
      <c r="G1042" s="14">
        <v>4.0001601042751744E-3</v>
      </c>
      <c r="H1042" s="14">
        <v>3.7948128400035145E-3</v>
      </c>
    </row>
    <row r="1043" spans="2:8" x14ac:dyDescent="0.25">
      <c r="B1043" s="29">
        <v>1035</v>
      </c>
      <c r="C1043" s="30">
        <v>0.75218023255813948</v>
      </c>
      <c r="D1043" s="28">
        <v>36748</v>
      </c>
      <c r="E1043" s="14">
        <v>5.2926396141195209E-3</v>
      </c>
      <c r="F1043" s="14">
        <v>7.4296141814389483E-3</v>
      </c>
      <c r="G1043" s="14">
        <v>4.0085351794627577E-3</v>
      </c>
      <c r="H1043" s="14">
        <v>3.8215567524364502E-3</v>
      </c>
    </row>
    <row r="1044" spans="2:8" x14ac:dyDescent="0.25">
      <c r="B1044" s="29">
        <v>1036</v>
      </c>
      <c r="C1044" s="30">
        <v>0.75290697674418605</v>
      </c>
      <c r="D1044" s="28">
        <v>36749</v>
      </c>
      <c r="E1044" s="14">
        <v>5.2966454578764477E-3</v>
      </c>
      <c r="F1044" s="14">
        <v>7.4515081700463615E-3</v>
      </c>
      <c r="G1044" s="14">
        <v>4.0166617078252198E-3</v>
      </c>
      <c r="H1044" s="14">
        <v>3.8368250081151078E-3</v>
      </c>
    </row>
    <row r="1045" spans="2:8" x14ac:dyDescent="0.25">
      <c r="B1045" s="29">
        <v>1037</v>
      </c>
      <c r="C1045" s="30">
        <v>0.75363372093023251</v>
      </c>
      <c r="D1045" s="28">
        <v>36752</v>
      </c>
      <c r="E1045" s="14">
        <v>5.3083830070392857E-3</v>
      </c>
      <c r="F1045" s="14">
        <v>7.4633852738581474E-3</v>
      </c>
      <c r="G1045" s="14">
        <v>4.0321612688012376E-3</v>
      </c>
      <c r="H1045" s="14">
        <v>3.8530101494733239E-3</v>
      </c>
    </row>
    <row r="1046" spans="2:8" x14ac:dyDescent="0.25">
      <c r="B1046" s="29">
        <v>1038</v>
      </c>
      <c r="C1046" s="30">
        <v>0.75436046511627908</v>
      </c>
      <c r="D1046" s="28">
        <v>36753</v>
      </c>
      <c r="E1046" s="14">
        <v>5.3230871560323578E-3</v>
      </c>
      <c r="F1046" s="14">
        <v>7.4985140139911532E-3</v>
      </c>
      <c r="G1046" s="14">
        <v>4.0327729923756994E-3</v>
      </c>
      <c r="H1046" s="14">
        <v>3.8611859507753812E-3</v>
      </c>
    </row>
    <row r="1047" spans="2:8" x14ac:dyDescent="0.25">
      <c r="B1047" s="29">
        <v>1039</v>
      </c>
      <c r="C1047" s="30">
        <v>0.75508720930232553</v>
      </c>
      <c r="D1047" s="28">
        <v>36754</v>
      </c>
      <c r="E1047" s="14">
        <v>5.329989026493287E-3</v>
      </c>
      <c r="F1047" s="14">
        <v>7.5167681751600046E-3</v>
      </c>
      <c r="G1047" s="14">
        <v>4.0673693858845894E-3</v>
      </c>
      <c r="H1047" s="14">
        <v>3.863418606781677E-3</v>
      </c>
    </row>
    <row r="1048" spans="2:8" x14ac:dyDescent="0.25">
      <c r="B1048" s="29">
        <v>1040</v>
      </c>
      <c r="C1048" s="30">
        <v>0.7558139534883721</v>
      </c>
      <c r="D1048" s="28">
        <v>36755</v>
      </c>
      <c r="E1048" s="14">
        <v>5.3857263187662152E-3</v>
      </c>
      <c r="F1048" s="14">
        <v>7.5753402016418558E-3</v>
      </c>
      <c r="G1048" s="14">
        <v>4.0946825218757255E-3</v>
      </c>
      <c r="H1048" s="14">
        <v>3.8748033936526934E-3</v>
      </c>
    </row>
    <row r="1049" spans="2:8" x14ac:dyDescent="0.25">
      <c r="B1049" s="29">
        <v>1041</v>
      </c>
      <c r="C1049" s="30">
        <v>0.75654069767441856</v>
      </c>
      <c r="D1049" s="28">
        <v>36756</v>
      </c>
      <c r="E1049" s="14">
        <v>5.441825023559721E-3</v>
      </c>
      <c r="F1049" s="14">
        <v>7.5825527311059737E-3</v>
      </c>
      <c r="G1049" s="14">
        <v>4.1026173660159149E-3</v>
      </c>
      <c r="H1049" s="14">
        <v>3.8792752553107775E-3</v>
      </c>
    </row>
    <row r="1050" spans="2:8" x14ac:dyDescent="0.25">
      <c r="B1050" s="29">
        <v>1042</v>
      </c>
      <c r="C1050" s="30">
        <v>0.75726744186046513</v>
      </c>
      <c r="D1050" s="28">
        <v>36759</v>
      </c>
      <c r="E1050" s="14">
        <v>5.461813257167325E-3</v>
      </c>
      <c r="F1050" s="14">
        <v>7.631549671821336E-3</v>
      </c>
      <c r="G1050" s="14">
        <v>4.1103934233703843E-3</v>
      </c>
      <c r="H1050" s="14">
        <v>3.8860065399975779E-3</v>
      </c>
    </row>
    <row r="1051" spans="2:8" x14ac:dyDescent="0.25">
      <c r="B1051" s="29">
        <v>1043</v>
      </c>
      <c r="C1051" s="30">
        <v>0.75799418604651159</v>
      </c>
      <c r="D1051" s="28">
        <v>36760</v>
      </c>
      <c r="E1051" s="14">
        <v>5.4854360838321181E-3</v>
      </c>
      <c r="F1051" s="14">
        <v>7.704822204536832E-3</v>
      </c>
      <c r="G1051" s="14">
        <v>4.1337129100946779E-3</v>
      </c>
      <c r="H1051" s="14">
        <v>3.8922210854157148E-3</v>
      </c>
    </row>
    <row r="1052" spans="2:8" x14ac:dyDescent="0.25">
      <c r="B1052" s="29">
        <v>1044</v>
      </c>
      <c r="C1052" s="30">
        <v>0.75872093023255816</v>
      </c>
      <c r="D1052" s="28">
        <v>36761</v>
      </c>
      <c r="E1052" s="14">
        <v>5.490368994111039E-3</v>
      </c>
      <c r="F1052" s="14">
        <v>7.7302567688304347E-3</v>
      </c>
      <c r="G1052" s="14">
        <v>4.1504823761167042E-3</v>
      </c>
      <c r="H1052" s="14">
        <v>3.8956614171635987E-3</v>
      </c>
    </row>
    <row r="1053" spans="2:8" x14ac:dyDescent="0.25">
      <c r="B1053" s="29">
        <v>1045</v>
      </c>
      <c r="C1053" s="30">
        <v>0.75944767441860461</v>
      </c>
      <c r="D1053" s="28">
        <v>36762</v>
      </c>
      <c r="E1053" s="14">
        <v>5.4968219003213026E-3</v>
      </c>
      <c r="F1053" s="14">
        <v>7.7507403115746332E-3</v>
      </c>
      <c r="G1053" s="14">
        <v>4.1631023666950373E-3</v>
      </c>
      <c r="H1053" s="14">
        <v>3.8960235690292948E-3</v>
      </c>
    </row>
    <row r="1054" spans="2:8" x14ac:dyDescent="0.25">
      <c r="B1054" s="29">
        <v>1046</v>
      </c>
      <c r="C1054" s="30">
        <v>0.76017441860465118</v>
      </c>
      <c r="D1054" s="28">
        <v>36763</v>
      </c>
      <c r="E1054" s="14">
        <v>5.5062414379150049E-3</v>
      </c>
      <c r="F1054" s="14">
        <v>7.7939247902252262E-3</v>
      </c>
      <c r="G1054" s="14">
        <v>4.1686968761842635E-3</v>
      </c>
      <c r="H1054" s="14">
        <v>3.8967090595006804E-3</v>
      </c>
    </row>
    <row r="1055" spans="2:8" x14ac:dyDescent="0.25">
      <c r="B1055" s="29">
        <v>1047</v>
      </c>
      <c r="C1055" s="30">
        <v>0.76090116279069764</v>
      </c>
      <c r="D1055" s="28">
        <v>36766</v>
      </c>
      <c r="E1055" s="14">
        <v>5.5160176666859684E-3</v>
      </c>
      <c r="F1055" s="14">
        <v>7.8110946602276687E-3</v>
      </c>
      <c r="G1055" s="14">
        <v>4.1747685939486079E-3</v>
      </c>
      <c r="H1055" s="14">
        <v>3.9124425245721023E-3</v>
      </c>
    </row>
    <row r="1056" spans="2:8" x14ac:dyDescent="0.25">
      <c r="B1056" s="29">
        <v>1048</v>
      </c>
      <c r="C1056" s="30">
        <v>0.76162790697674421</v>
      </c>
      <c r="D1056" s="28">
        <v>36767</v>
      </c>
      <c r="E1056" s="14">
        <v>5.5402201453245148E-3</v>
      </c>
      <c r="F1056" s="14">
        <v>7.8140295026429829E-3</v>
      </c>
      <c r="G1056" s="14">
        <v>4.1931137996957801E-3</v>
      </c>
      <c r="H1056" s="14">
        <v>3.9179062504274935E-3</v>
      </c>
    </row>
    <row r="1057" spans="2:8" x14ac:dyDescent="0.25">
      <c r="B1057" s="29">
        <v>1049</v>
      </c>
      <c r="C1057" s="30">
        <v>0.76235465116279066</v>
      </c>
      <c r="D1057" s="28">
        <v>36768</v>
      </c>
      <c r="E1057" s="14">
        <v>5.5565303854476777E-3</v>
      </c>
      <c r="F1057" s="14">
        <v>7.9369970895393216E-3</v>
      </c>
      <c r="G1057" s="14">
        <v>4.2023022122485987E-3</v>
      </c>
      <c r="H1057" s="14">
        <v>3.9597467574262529E-3</v>
      </c>
    </row>
    <row r="1058" spans="2:8" x14ac:dyDescent="0.25">
      <c r="B1058" s="29">
        <v>1050</v>
      </c>
      <c r="C1058" s="30">
        <v>0.76308139534883723</v>
      </c>
      <c r="D1058" s="28">
        <v>36769</v>
      </c>
      <c r="E1058" s="14">
        <v>5.5761863989718385E-3</v>
      </c>
      <c r="F1058" s="14">
        <v>7.937577070143087E-3</v>
      </c>
      <c r="G1058" s="14">
        <v>4.2034442072855782E-3</v>
      </c>
      <c r="H1058" s="14">
        <v>3.9631096205727358E-3</v>
      </c>
    </row>
    <row r="1059" spans="2:8" x14ac:dyDescent="0.25">
      <c r="B1059" s="29">
        <v>1051</v>
      </c>
      <c r="C1059" s="30">
        <v>0.76380813953488369</v>
      </c>
      <c r="D1059" s="28">
        <v>36770</v>
      </c>
      <c r="E1059" s="14">
        <v>5.5762081784387352E-3</v>
      </c>
      <c r="F1059" s="14">
        <v>7.9873850030507398E-3</v>
      </c>
      <c r="G1059" s="14">
        <v>4.2069410120786355E-3</v>
      </c>
      <c r="H1059" s="14">
        <v>3.9655374368204217E-3</v>
      </c>
    </row>
    <row r="1060" spans="2:8" x14ac:dyDescent="0.25">
      <c r="B1060" s="29">
        <v>1052</v>
      </c>
      <c r="C1060" s="30">
        <v>0.76453488372093026</v>
      </c>
      <c r="D1060" s="28">
        <v>36773</v>
      </c>
      <c r="E1060" s="14">
        <v>5.5875102711584468E-3</v>
      </c>
      <c r="F1060" s="14">
        <v>8.0005981755644218E-3</v>
      </c>
      <c r="G1060" s="14">
        <v>4.2642742426757252E-3</v>
      </c>
      <c r="H1060" s="14">
        <v>3.9702503480566701E-3</v>
      </c>
    </row>
    <row r="1061" spans="2:8" x14ac:dyDescent="0.25">
      <c r="B1061" s="29">
        <v>1053</v>
      </c>
      <c r="C1061" s="30">
        <v>0.76526162790697672</v>
      </c>
      <c r="D1061" s="28">
        <v>36774</v>
      </c>
      <c r="E1061" s="14">
        <v>5.6071698927324665E-3</v>
      </c>
      <c r="F1061" s="14">
        <v>8.0016446067965319E-3</v>
      </c>
      <c r="G1061" s="14">
        <v>4.2903880690448037E-3</v>
      </c>
      <c r="H1061" s="14">
        <v>3.9720410105100312E-3</v>
      </c>
    </row>
    <row r="1062" spans="2:8" x14ac:dyDescent="0.25">
      <c r="B1062" s="29">
        <v>1054</v>
      </c>
      <c r="C1062" s="30">
        <v>0.76598837209302328</v>
      </c>
      <c r="D1062" s="28">
        <v>36775</v>
      </c>
      <c r="E1062" s="14">
        <v>5.6202572738708323E-3</v>
      </c>
      <c r="F1062" s="14">
        <v>8.0269485073132252E-3</v>
      </c>
      <c r="G1062" s="14">
        <v>4.3105686834588042E-3</v>
      </c>
      <c r="H1062" s="14">
        <v>3.9943393162270805E-3</v>
      </c>
    </row>
    <row r="1063" spans="2:8" x14ac:dyDescent="0.25">
      <c r="B1063" s="29">
        <v>1055</v>
      </c>
      <c r="C1063" s="30">
        <v>0.76671511627906974</v>
      </c>
      <c r="D1063" s="28">
        <v>36776</v>
      </c>
      <c r="E1063" s="14">
        <v>5.6652291300085533E-3</v>
      </c>
      <c r="F1063" s="14">
        <v>8.0358892833032325E-3</v>
      </c>
      <c r="G1063" s="14">
        <v>4.3133063317237763E-3</v>
      </c>
      <c r="H1063" s="14">
        <v>4.0046539816598788E-3</v>
      </c>
    </row>
    <row r="1064" spans="2:8" x14ac:dyDescent="0.25">
      <c r="B1064" s="29">
        <v>1056</v>
      </c>
      <c r="C1064" s="30">
        <v>0.76744186046511631</v>
      </c>
      <c r="D1064" s="28">
        <v>36777</v>
      </c>
      <c r="E1064" s="14">
        <v>5.6819411512958329E-3</v>
      </c>
      <c r="F1064" s="14">
        <v>8.051161225176795E-3</v>
      </c>
      <c r="G1064" s="14">
        <v>4.3247493611164867E-3</v>
      </c>
      <c r="H1064" s="14">
        <v>4.0050073105970087E-3</v>
      </c>
    </row>
    <row r="1065" spans="2:8" x14ac:dyDescent="0.25">
      <c r="B1065" s="29">
        <v>1057</v>
      </c>
      <c r="C1065" s="30">
        <v>0.76816860465116277</v>
      </c>
      <c r="D1065" s="28">
        <v>36780</v>
      </c>
      <c r="E1065" s="14">
        <v>5.694883643753812E-3</v>
      </c>
      <c r="F1065" s="14">
        <v>8.0707236215371569E-3</v>
      </c>
      <c r="G1065" s="14">
        <v>4.328438558781178E-3</v>
      </c>
      <c r="H1065" s="14">
        <v>4.0161370651740531E-3</v>
      </c>
    </row>
    <row r="1066" spans="2:8" x14ac:dyDescent="0.25">
      <c r="B1066" s="29">
        <v>1058</v>
      </c>
      <c r="C1066" s="30">
        <v>0.76889534883720934</v>
      </c>
      <c r="D1066" s="28">
        <v>36781</v>
      </c>
      <c r="E1066" s="14">
        <v>5.7358243198948333E-3</v>
      </c>
      <c r="F1066" s="14">
        <v>8.0732499753863873E-3</v>
      </c>
      <c r="G1066" s="14">
        <v>4.346614655893033E-3</v>
      </c>
      <c r="H1066" s="14">
        <v>4.0196675466804615E-3</v>
      </c>
    </row>
    <row r="1067" spans="2:8" x14ac:dyDescent="0.25">
      <c r="B1067" s="29">
        <v>1059</v>
      </c>
      <c r="C1067" s="30">
        <v>0.76962209302325579</v>
      </c>
      <c r="D1067" s="28">
        <v>36782</v>
      </c>
      <c r="E1067" s="14">
        <v>5.7560833696985725E-3</v>
      </c>
      <c r="F1067" s="14">
        <v>8.0989039292562737E-3</v>
      </c>
      <c r="G1067" s="14">
        <v>4.3473264023443647E-3</v>
      </c>
      <c r="H1067" s="14">
        <v>4.019682300751227E-3</v>
      </c>
    </row>
    <row r="1068" spans="2:8" x14ac:dyDescent="0.25">
      <c r="B1068" s="29">
        <v>1060</v>
      </c>
      <c r="C1068" s="30">
        <v>0.77034883720930236</v>
      </c>
      <c r="D1068" s="28">
        <v>36783</v>
      </c>
      <c r="E1068" s="14">
        <v>5.7655242140430829E-3</v>
      </c>
      <c r="F1068" s="14">
        <v>8.114938498845925E-3</v>
      </c>
      <c r="G1068" s="14">
        <v>4.3523899556379142E-3</v>
      </c>
      <c r="H1068" s="14">
        <v>4.0253523418712243E-3</v>
      </c>
    </row>
    <row r="1069" spans="2:8" x14ac:dyDescent="0.25">
      <c r="B1069" s="29">
        <v>1061</v>
      </c>
      <c r="C1069" s="30">
        <v>0.77107558139534882</v>
      </c>
      <c r="D1069" s="28">
        <v>36784</v>
      </c>
      <c r="E1069" s="14">
        <v>5.7715834135030342E-3</v>
      </c>
      <c r="F1069" s="14">
        <v>8.1174729491415576E-3</v>
      </c>
      <c r="G1069" s="14">
        <v>4.3529032160192216E-3</v>
      </c>
      <c r="H1069" s="14">
        <v>4.0322235397820096E-3</v>
      </c>
    </row>
    <row r="1070" spans="2:8" x14ac:dyDescent="0.25">
      <c r="B1070" s="29">
        <v>1062</v>
      </c>
      <c r="C1070" s="30">
        <v>0.77180232558139539</v>
      </c>
      <c r="D1070" s="28">
        <v>36787</v>
      </c>
      <c r="E1070" s="14">
        <v>5.7831361517208801E-3</v>
      </c>
      <c r="F1070" s="14">
        <v>8.1241340137869766E-3</v>
      </c>
      <c r="G1070" s="14">
        <v>4.3714950110058659E-3</v>
      </c>
      <c r="H1070" s="14">
        <v>4.0368002267052285E-3</v>
      </c>
    </row>
    <row r="1071" spans="2:8" x14ac:dyDescent="0.25">
      <c r="B1071" s="29">
        <v>1063</v>
      </c>
      <c r="C1071" s="30">
        <v>0.77252906976744184</v>
      </c>
      <c r="D1071" s="28">
        <v>36788</v>
      </c>
      <c r="E1071" s="14">
        <v>5.790348277457058E-3</v>
      </c>
      <c r="F1071" s="14">
        <v>8.1244584961011057E-3</v>
      </c>
      <c r="G1071" s="14">
        <v>4.378273384848308E-3</v>
      </c>
      <c r="H1071" s="14">
        <v>4.0471003161140825E-3</v>
      </c>
    </row>
    <row r="1072" spans="2:8" x14ac:dyDescent="0.25">
      <c r="B1072" s="29">
        <v>1064</v>
      </c>
      <c r="C1072" s="30">
        <v>0.77325581395348841</v>
      </c>
      <c r="D1072" s="28">
        <v>36789</v>
      </c>
      <c r="E1072" s="14">
        <v>5.8014537760637808E-3</v>
      </c>
      <c r="F1072" s="14">
        <v>8.1303009021662653E-3</v>
      </c>
      <c r="G1072" s="14">
        <v>4.3848721909411914E-3</v>
      </c>
      <c r="H1072" s="14">
        <v>4.0482826097117735E-3</v>
      </c>
    </row>
    <row r="1073" spans="2:8" x14ac:dyDescent="0.25">
      <c r="B1073" s="29">
        <v>1065</v>
      </c>
      <c r="C1073" s="30">
        <v>0.77398255813953487</v>
      </c>
      <c r="D1073" s="28">
        <v>36790</v>
      </c>
      <c r="E1073" s="14">
        <v>5.8258944653579725E-3</v>
      </c>
      <c r="F1073" s="14">
        <v>8.1733819211875502E-3</v>
      </c>
      <c r="G1073" s="14">
        <v>4.3977293228822933E-3</v>
      </c>
      <c r="H1073" s="14">
        <v>4.0497100601181828E-3</v>
      </c>
    </row>
    <row r="1074" spans="2:8" x14ac:dyDescent="0.25">
      <c r="B1074" s="29">
        <v>1066</v>
      </c>
      <c r="C1074" s="30">
        <v>0.77470930232558144</v>
      </c>
      <c r="D1074" s="28">
        <v>36791</v>
      </c>
      <c r="E1074" s="14">
        <v>5.8308783075688986E-3</v>
      </c>
      <c r="F1074" s="14">
        <v>8.1821239883650421E-3</v>
      </c>
      <c r="G1074" s="14">
        <v>4.4174814465780532E-3</v>
      </c>
      <c r="H1074" s="14">
        <v>4.0660903908320105E-3</v>
      </c>
    </row>
    <row r="1075" spans="2:8" x14ac:dyDescent="0.25">
      <c r="B1075" s="29">
        <v>1067</v>
      </c>
      <c r="C1075" s="30">
        <v>0.7754360465116279</v>
      </c>
      <c r="D1075" s="28">
        <v>36794</v>
      </c>
      <c r="E1075" s="14">
        <v>5.8712130134748186E-3</v>
      </c>
      <c r="F1075" s="14">
        <v>8.1825818258183247E-3</v>
      </c>
      <c r="G1075" s="14">
        <v>4.4270103670496219E-3</v>
      </c>
      <c r="H1075" s="14">
        <v>4.0905801288849018E-3</v>
      </c>
    </row>
    <row r="1076" spans="2:8" x14ac:dyDescent="0.25">
      <c r="B1076" s="29">
        <v>1068</v>
      </c>
      <c r="C1076" s="30">
        <v>0.77616279069767447</v>
      </c>
      <c r="D1076" s="28">
        <v>36795</v>
      </c>
      <c r="E1076" s="14">
        <v>5.8788422566862231E-3</v>
      </c>
      <c r="F1076" s="14">
        <v>8.1877184223664301E-3</v>
      </c>
      <c r="G1076" s="14">
        <v>4.4304271226465186E-3</v>
      </c>
      <c r="H1076" s="14">
        <v>4.1090515556692969E-3</v>
      </c>
    </row>
    <row r="1077" spans="2:8" x14ac:dyDescent="0.25">
      <c r="B1077" s="29">
        <v>1069</v>
      </c>
      <c r="C1077" s="30">
        <v>0.77688953488372092</v>
      </c>
      <c r="D1077" s="28">
        <v>36796</v>
      </c>
      <c r="E1077" s="14">
        <v>5.9080852047224131E-3</v>
      </c>
      <c r="F1077" s="14">
        <v>8.1892759821766692E-3</v>
      </c>
      <c r="G1077" s="14">
        <v>4.4383561643834835E-3</v>
      </c>
      <c r="H1077" s="14">
        <v>4.1449792757852332E-3</v>
      </c>
    </row>
    <row r="1078" spans="2:8" x14ac:dyDescent="0.25">
      <c r="B1078" s="29">
        <v>1070</v>
      </c>
      <c r="C1078" s="30">
        <v>0.77761627906976749</v>
      </c>
      <c r="D1078" s="28">
        <v>36797</v>
      </c>
      <c r="E1078" s="14">
        <v>5.9249613758101116E-3</v>
      </c>
      <c r="F1078" s="14">
        <v>8.2151699302273062E-3</v>
      </c>
      <c r="G1078" s="14">
        <v>4.4554303629118497E-3</v>
      </c>
      <c r="H1078" s="14">
        <v>4.1673055336965527E-3</v>
      </c>
    </row>
    <row r="1079" spans="2:8" x14ac:dyDescent="0.25">
      <c r="B1079" s="29">
        <v>1071</v>
      </c>
      <c r="C1079" s="30">
        <v>0.77834302325581395</v>
      </c>
      <c r="D1079" s="28">
        <v>36798</v>
      </c>
      <c r="E1079" s="14">
        <v>5.9349302824454053E-3</v>
      </c>
      <c r="F1079" s="14">
        <v>8.2423913780249602E-3</v>
      </c>
      <c r="G1079" s="14">
        <v>4.4761273209550367E-3</v>
      </c>
      <c r="H1079" s="14">
        <v>4.1715100306221496E-3</v>
      </c>
    </row>
    <row r="1080" spans="2:8" x14ac:dyDescent="0.25">
      <c r="B1080" s="29">
        <v>1072</v>
      </c>
      <c r="C1080" s="30">
        <v>0.77906976744186052</v>
      </c>
      <c r="D1080" s="28">
        <v>36801</v>
      </c>
      <c r="E1080" s="14">
        <v>5.9764948221678882E-3</v>
      </c>
      <c r="F1080" s="14">
        <v>8.2682715246149563E-3</v>
      </c>
      <c r="G1080" s="14">
        <v>4.4909415667262476E-3</v>
      </c>
      <c r="H1080" s="14">
        <v>4.2012261233618457E-3</v>
      </c>
    </row>
    <row r="1081" spans="2:8" x14ac:dyDescent="0.25">
      <c r="B1081" s="29">
        <v>1073</v>
      </c>
      <c r="C1081" s="30">
        <v>0.77979651162790697</v>
      </c>
      <c r="D1081" s="28">
        <v>36802</v>
      </c>
      <c r="E1081" s="14">
        <v>5.9851945188216238E-3</v>
      </c>
      <c r="F1081" s="14">
        <v>8.3202158758712841E-3</v>
      </c>
      <c r="G1081" s="14">
        <v>4.4961131681575672E-3</v>
      </c>
      <c r="H1081" s="14">
        <v>4.2385746690292159E-3</v>
      </c>
    </row>
    <row r="1082" spans="2:8" x14ac:dyDescent="0.25">
      <c r="B1082" s="29">
        <v>1074</v>
      </c>
      <c r="C1082" s="30">
        <v>0.78052325581395354</v>
      </c>
      <c r="D1082" s="28">
        <v>36803</v>
      </c>
      <c r="E1082" s="14">
        <v>6.0021174981093051E-3</v>
      </c>
      <c r="F1082" s="14">
        <v>8.3403702500810528E-3</v>
      </c>
      <c r="G1082" s="14">
        <v>4.49633908246172E-3</v>
      </c>
      <c r="H1082" s="14">
        <v>4.2640806870811072E-3</v>
      </c>
    </row>
    <row r="1083" spans="2:8" x14ac:dyDescent="0.25">
      <c r="B1083" s="29">
        <v>1075</v>
      </c>
      <c r="C1083" s="30">
        <v>0.78125</v>
      </c>
      <c r="D1083" s="28">
        <v>36804</v>
      </c>
      <c r="E1083" s="14">
        <v>6.0076671750766142E-3</v>
      </c>
      <c r="F1083" s="14">
        <v>8.3475959973540181E-3</v>
      </c>
      <c r="G1083" s="14">
        <v>4.5032523489185738E-3</v>
      </c>
      <c r="H1083" s="14">
        <v>4.3025269831785899E-3</v>
      </c>
    </row>
    <row r="1084" spans="2:8" x14ac:dyDescent="0.25">
      <c r="B1084" s="29">
        <v>1076</v>
      </c>
      <c r="C1084" s="30">
        <v>0.78197674418604646</v>
      </c>
      <c r="D1084" s="28">
        <v>36805</v>
      </c>
      <c r="E1084" s="14">
        <v>6.0313264107112463E-3</v>
      </c>
      <c r="F1084" s="14">
        <v>8.4237356625533888E-3</v>
      </c>
      <c r="G1084" s="14">
        <v>4.5159326161963165E-3</v>
      </c>
      <c r="H1084" s="14">
        <v>4.3092205606279693E-3</v>
      </c>
    </row>
    <row r="1085" spans="2:8" x14ac:dyDescent="0.25">
      <c r="B1085" s="29">
        <v>1077</v>
      </c>
      <c r="C1085" s="30">
        <v>0.78270348837209303</v>
      </c>
      <c r="D1085" s="28">
        <v>36808</v>
      </c>
      <c r="E1085" s="14">
        <v>6.0366942244141075E-3</v>
      </c>
      <c r="F1085" s="14">
        <v>8.4651169239939872E-3</v>
      </c>
      <c r="G1085" s="14">
        <v>4.5489006823353773E-3</v>
      </c>
      <c r="H1085" s="14">
        <v>4.3117795021899059E-3</v>
      </c>
    </row>
    <row r="1086" spans="2:8" x14ac:dyDescent="0.25">
      <c r="B1086" s="29">
        <v>1078</v>
      </c>
      <c r="C1086" s="30">
        <v>0.78343023255813948</v>
      </c>
      <c r="D1086" s="28">
        <v>36809</v>
      </c>
      <c r="E1086" s="14">
        <v>6.0978063996777188E-3</v>
      </c>
      <c r="F1086" s="14">
        <v>8.5251410514659565E-3</v>
      </c>
      <c r="G1086" s="14">
        <v>4.6090856128748747E-3</v>
      </c>
      <c r="H1086" s="14">
        <v>4.3268176267513342E-3</v>
      </c>
    </row>
    <row r="1087" spans="2:8" x14ac:dyDescent="0.25">
      <c r="B1087" s="29">
        <v>1079</v>
      </c>
      <c r="C1087" s="30">
        <v>0.78415697674418605</v>
      </c>
      <c r="D1087" s="28">
        <v>36810</v>
      </c>
      <c r="E1087" s="14">
        <v>6.1185798000691349E-3</v>
      </c>
      <c r="F1087" s="14">
        <v>8.5824676969850078E-3</v>
      </c>
      <c r="G1087" s="14">
        <v>4.6130416622198744E-3</v>
      </c>
      <c r="H1087" s="14">
        <v>4.3269982404246839E-3</v>
      </c>
    </row>
    <row r="1088" spans="2:8" x14ac:dyDescent="0.25">
      <c r="B1088" s="29">
        <v>1080</v>
      </c>
      <c r="C1088" s="30">
        <v>0.78488372093023251</v>
      </c>
      <c r="D1088" s="28">
        <v>36811</v>
      </c>
      <c r="E1088" s="14">
        <v>6.1771911739056939E-3</v>
      </c>
      <c r="F1088" s="14">
        <v>8.5905926662575016E-3</v>
      </c>
      <c r="G1088" s="14">
        <v>4.6193529718527859E-3</v>
      </c>
      <c r="H1088" s="14">
        <v>4.4010269218085043E-3</v>
      </c>
    </row>
    <row r="1089" spans="2:8" x14ac:dyDescent="0.25">
      <c r="B1089" s="29">
        <v>1081</v>
      </c>
      <c r="C1089" s="30">
        <v>0.78561046511627908</v>
      </c>
      <c r="D1089" s="28">
        <v>36812</v>
      </c>
      <c r="E1089" s="14">
        <v>6.1994561211509147E-3</v>
      </c>
      <c r="F1089" s="14">
        <v>8.5983127839064366E-3</v>
      </c>
      <c r="G1089" s="14">
        <v>4.639329542053261E-3</v>
      </c>
      <c r="H1089" s="14">
        <v>4.4155155938923503E-3</v>
      </c>
    </row>
    <row r="1090" spans="2:8" x14ac:dyDescent="0.25">
      <c r="B1090" s="29">
        <v>1082</v>
      </c>
      <c r="C1090" s="30">
        <v>0.78633720930232553</v>
      </c>
      <c r="D1090" s="28">
        <v>36815</v>
      </c>
      <c r="E1090" s="14">
        <v>6.2003616151329322E-3</v>
      </c>
      <c r="F1090" s="14">
        <v>8.6049090739033218E-3</v>
      </c>
      <c r="G1090" s="14">
        <v>4.6916075456542305E-3</v>
      </c>
      <c r="H1090" s="14">
        <v>4.4542367153485697E-3</v>
      </c>
    </row>
    <row r="1091" spans="2:8" x14ac:dyDescent="0.25">
      <c r="B1091" s="29">
        <v>1083</v>
      </c>
      <c r="C1091" s="30">
        <v>0.7870639534883721</v>
      </c>
      <c r="D1091" s="28">
        <v>36816</v>
      </c>
      <c r="E1091" s="14">
        <v>6.2720708375059164E-3</v>
      </c>
      <c r="F1091" s="14">
        <v>8.6442637693395774E-3</v>
      </c>
      <c r="G1091" s="14">
        <v>4.695531830763322E-3</v>
      </c>
      <c r="H1091" s="14">
        <v>4.467029454191529E-3</v>
      </c>
    </row>
    <row r="1092" spans="2:8" x14ac:dyDescent="0.25">
      <c r="B1092" s="29">
        <v>1084</v>
      </c>
      <c r="C1092" s="30">
        <v>0.78779069767441856</v>
      </c>
      <c r="D1092" s="28">
        <v>36817</v>
      </c>
      <c r="E1092" s="14">
        <v>6.2893081761006275E-3</v>
      </c>
      <c r="F1092" s="14">
        <v>8.6596097436550945E-3</v>
      </c>
      <c r="G1092" s="14">
        <v>4.7026342308291724E-3</v>
      </c>
      <c r="H1092" s="14">
        <v>4.4714275248709748E-3</v>
      </c>
    </row>
    <row r="1093" spans="2:8" x14ac:dyDescent="0.25">
      <c r="B1093" s="29">
        <v>1085</v>
      </c>
      <c r="C1093" s="30">
        <v>0.78851744186046513</v>
      </c>
      <c r="D1093" s="28">
        <v>36818</v>
      </c>
      <c r="E1093" s="14">
        <v>6.2951021034853838E-3</v>
      </c>
      <c r="F1093" s="14">
        <v>8.6837294332724468E-3</v>
      </c>
      <c r="G1093" s="14">
        <v>4.7067106250089363E-3</v>
      </c>
      <c r="H1093" s="14">
        <v>4.4780239714648845E-3</v>
      </c>
    </row>
    <row r="1094" spans="2:8" x14ac:dyDescent="0.25">
      <c r="B1094" s="29">
        <v>1086</v>
      </c>
      <c r="C1094" s="30">
        <v>0.78924418604651159</v>
      </c>
      <c r="D1094" s="28">
        <v>36819</v>
      </c>
      <c r="E1094" s="14">
        <v>6.3043107854829916E-3</v>
      </c>
      <c r="F1094" s="14">
        <v>8.7087037556285996E-3</v>
      </c>
      <c r="G1094" s="14">
        <v>4.7155762930604084E-3</v>
      </c>
      <c r="H1094" s="14">
        <v>4.4952327526956099E-3</v>
      </c>
    </row>
    <row r="1095" spans="2:8" x14ac:dyDescent="0.25">
      <c r="B1095" s="29">
        <v>1087</v>
      </c>
      <c r="C1095" s="30">
        <v>0.78997093023255816</v>
      </c>
      <c r="D1095" s="28">
        <v>36822</v>
      </c>
      <c r="E1095" s="14">
        <v>6.3072533413426335E-3</v>
      </c>
      <c r="F1095" s="14">
        <v>8.709830550453157E-3</v>
      </c>
      <c r="G1095" s="14">
        <v>4.7177147597075031E-3</v>
      </c>
      <c r="H1095" s="14">
        <v>4.5291618111503512E-3</v>
      </c>
    </row>
    <row r="1096" spans="2:8" x14ac:dyDescent="0.25">
      <c r="B1096" s="29">
        <v>1088</v>
      </c>
      <c r="C1096" s="30">
        <v>0.79069767441860461</v>
      </c>
      <c r="D1096" s="28">
        <v>36823</v>
      </c>
      <c r="E1096" s="14">
        <v>6.3652448010047546E-3</v>
      </c>
      <c r="F1096" s="14">
        <v>8.7099235542245079E-3</v>
      </c>
      <c r="G1096" s="14">
        <v>4.7237530681241147E-3</v>
      </c>
      <c r="H1096" s="14">
        <v>4.5342497757359986E-3</v>
      </c>
    </row>
    <row r="1097" spans="2:8" x14ac:dyDescent="0.25">
      <c r="B1097" s="29">
        <v>1089</v>
      </c>
      <c r="C1097" s="30">
        <v>0.79142441860465118</v>
      </c>
      <c r="D1097" s="28">
        <v>36824</v>
      </c>
      <c r="E1097" s="14">
        <v>6.4102564102566095E-3</v>
      </c>
      <c r="F1097" s="14">
        <v>8.7126062995523945E-3</v>
      </c>
      <c r="G1097" s="14">
        <v>4.7309591889785896E-3</v>
      </c>
      <c r="H1097" s="14">
        <v>4.5698131913193283E-3</v>
      </c>
    </row>
    <row r="1098" spans="2:8" x14ac:dyDescent="0.25">
      <c r="B1098" s="29">
        <v>1090</v>
      </c>
      <c r="C1098" s="30">
        <v>0.79215116279069764</v>
      </c>
      <c r="D1098" s="28">
        <v>36825</v>
      </c>
      <c r="E1098" s="14">
        <v>6.4167510976023134E-3</v>
      </c>
      <c r="F1098" s="14">
        <v>8.7733040889865777E-3</v>
      </c>
      <c r="G1098" s="14">
        <v>4.7504912660558674E-3</v>
      </c>
      <c r="H1098" s="14">
        <v>4.5932003462228373E-3</v>
      </c>
    </row>
    <row r="1099" spans="2:8" x14ac:dyDescent="0.25">
      <c r="B1099" s="29">
        <v>1091</v>
      </c>
      <c r="C1099" s="30">
        <v>0.79287790697674421</v>
      </c>
      <c r="D1099" s="28">
        <v>36826</v>
      </c>
      <c r="E1099" s="14">
        <v>6.4360418342717107E-3</v>
      </c>
      <c r="F1099" s="14">
        <v>8.806047550662166E-3</v>
      </c>
      <c r="G1099" s="14">
        <v>4.7526242769699856E-3</v>
      </c>
      <c r="H1099" s="14">
        <v>4.5946463343961687E-3</v>
      </c>
    </row>
    <row r="1100" spans="2:8" x14ac:dyDescent="0.25">
      <c r="B1100" s="29">
        <v>1092</v>
      </c>
      <c r="C1100" s="30">
        <v>0.79360465116279066</v>
      </c>
      <c r="D1100" s="28">
        <v>36829</v>
      </c>
      <c r="E1100" s="14">
        <v>6.4705287635224984E-3</v>
      </c>
      <c r="F1100" s="14">
        <v>8.8563617724113364E-3</v>
      </c>
      <c r="G1100" s="14">
        <v>4.7544468061304634E-3</v>
      </c>
      <c r="H1100" s="14">
        <v>4.6081482777028619E-3</v>
      </c>
    </row>
    <row r="1101" spans="2:8" x14ac:dyDescent="0.25">
      <c r="B1101" s="29">
        <v>1093</v>
      </c>
      <c r="C1101" s="30">
        <v>0.79433139534883723</v>
      </c>
      <c r="D1101" s="28">
        <v>36830</v>
      </c>
      <c r="E1101" s="14">
        <v>6.4860586096788797E-3</v>
      </c>
      <c r="F1101" s="14">
        <v>8.8885345875600041E-3</v>
      </c>
      <c r="G1101" s="14">
        <v>4.8000726650194725E-3</v>
      </c>
      <c r="H1101" s="14">
        <v>4.6302336048097189E-3</v>
      </c>
    </row>
    <row r="1102" spans="2:8" x14ac:dyDescent="0.25">
      <c r="B1102" s="29">
        <v>1094</v>
      </c>
      <c r="C1102" s="30">
        <v>0.79505813953488369</v>
      </c>
      <c r="D1102" s="28">
        <v>36831</v>
      </c>
      <c r="E1102" s="14">
        <v>6.5008033879812022E-3</v>
      </c>
      <c r="F1102" s="14">
        <v>9.0075684894999064E-3</v>
      </c>
      <c r="G1102" s="14">
        <v>4.8306327840308416E-3</v>
      </c>
      <c r="H1102" s="14">
        <v>4.6349669392350187E-3</v>
      </c>
    </row>
    <row r="1103" spans="2:8" x14ac:dyDescent="0.25">
      <c r="B1103" s="29">
        <v>1095</v>
      </c>
      <c r="C1103" s="30">
        <v>0.79578488372093026</v>
      </c>
      <c r="D1103" s="28">
        <v>36832</v>
      </c>
      <c r="E1103" s="14">
        <v>6.5126127406822665E-3</v>
      </c>
      <c r="F1103" s="14">
        <v>9.1125972857757365E-3</v>
      </c>
      <c r="G1103" s="14">
        <v>4.84049203296677E-3</v>
      </c>
      <c r="H1103" s="14">
        <v>4.6355463892330025E-3</v>
      </c>
    </row>
    <row r="1104" spans="2:8" x14ac:dyDescent="0.25">
      <c r="B1104" s="29">
        <v>1096</v>
      </c>
      <c r="C1104" s="30">
        <v>0.79651162790697672</v>
      </c>
      <c r="D1104" s="28">
        <v>36833</v>
      </c>
      <c r="E1104" s="14">
        <v>6.5300827194652022E-3</v>
      </c>
      <c r="F1104" s="14">
        <v>9.1807820666205409E-3</v>
      </c>
      <c r="G1104" s="14">
        <v>4.8468825732539411E-3</v>
      </c>
      <c r="H1104" s="14">
        <v>4.6389288201856846E-3</v>
      </c>
    </row>
    <row r="1105" spans="2:8" x14ac:dyDescent="0.25">
      <c r="B1105" s="29">
        <v>1097</v>
      </c>
      <c r="C1105" s="30">
        <v>0.79723837209302328</v>
      </c>
      <c r="D1105" s="28">
        <v>36836</v>
      </c>
      <c r="E1105" s="14">
        <v>6.5406565729562161E-3</v>
      </c>
      <c r="F1105" s="14">
        <v>9.183783637884968E-3</v>
      </c>
      <c r="G1105" s="14">
        <v>4.8519742763952767E-3</v>
      </c>
      <c r="H1105" s="14">
        <v>4.6505132046713365E-3</v>
      </c>
    </row>
    <row r="1106" spans="2:8" x14ac:dyDescent="0.25">
      <c r="B1106" s="29">
        <v>1098</v>
      </c>
      <c r="C1106" s="30">
        <v>0.79796511627906974</v>
      </c>
      <c r="D1106" s="28">
        <v>36837</v>
      </c>
      <c r="E1106" s="14">
        <v>6.5448139879831224E-3</v>
      </c>
      <c r="F1106" s="14">
        <v>9.2191136871893065E-3</v>
      </c>
      <c r="G1106" s="14">
        <v>4.8533705401485605E-3</v>
      </c>
      <c r="H1106" s="14">
        <v>4.6533795371252133E-3</v>
      </c>
    </row>
    <row r="1107" spans="2:8" x14ac:dyDescent="0.25">
      <c r="B1107" s="29">
        <v>1099</v>
      </c>
      <c r="C1107" s="30">
        <v>0.79869186046511631</v>
      </c>
      <c r="D1107" s="28">
        <v>36838</v>
      </c>
      <c r="E1107" s="14">
        <v>6.5939884778323243E-3</v>
      </c>
      <c r="F1107" s="14">
        <v>9.2739944026778431E-3</v>
      </c>
      <c r="G1107" s="14">
        <v>4.8775758920220902E-3</v>
      </c>
      <c r="H1107" s="14">
        <v>4.6605597410383833E-3</v>
      </c>
    </row>
    <row r="1108" spans="2:8" x14ac:dyDescent="0.25">
      <c r="B1108" s="29">
        <v>1100</v>
      </c>
      <c r="C1108" s="30">
        <v>0.79941860465116277</v>
      </c>
      <c r="D1108" s="28">
        <v>36839</v>
      </c>
      <c r="E1108" s="14">
        <v>6.6079757823267471E-3</v>
      </c>
      <c r="F1108" s="14">
        <v>9.3138671244286098E-3</v>
      </c>
      <c r="G1108" s="14">
        <v>4.892863168550754E-3</v>
      </c>
      <c r="H1108" s="14">
        <v>4.6788634416782496E-3</v>
      </c>
    </row>
    <row r="1109" spans="2:8" x14ac:dyDescent="0.25">
      <c r="B1109" s="29">
        <v>1101</v>
      </c>
      <c r="C1109" s="30">
        <v>0.80014534883720934</v>
      </c>
      <c r="D1109" s="28">
        <v>36840</v>
      </c>
      <c r="E1109" s="14">
        <v>6.6116381257443901E-3</v>
      </c>
      <c r="F1109" s="14">
        <v>9.340749106768742E-3</v>
      </c>
      <c r="G1109" s="14">
        <v>4.9064946223511541E-3</v>
      </c>
      <c r="H1109" s="14">
        <v>4.6817429601994313E-3</v>
      </c>
    </row>
    <row r="1110" spans="2:8" x14ac:dyDescent="0.25">
      <c r="B1110" s="29">
        <v>1102</v>
      </c>
      <c r="C1110" s="30">
        <v>0.80087209302325579</v>
      </c>
      <c r="D1110" s="28">
        <v>36843</v>
      </c>
      <c r="E1110" s="14">
        <v>6.6213981636598085E-3</v>
      </c>
      <c r="F1110" s="14">
        <v>9.345589203905158E-3</v>
      </c>
      <c r="G1110" s="14">
        <v>4.9187024433696713E-3</v>
      </c>
      <c r="H1110" s="14">
        <v>4.7143906932057174E-3</v>
      </c>
    </row>
    <row r="1111" spans="2:8" x14ac:dyDescent="0.25">
      <c r="B1111" s="29">
        <v>1103</v>
      </c>
      <c r="C1111" s="30">
        <v>0.80159883720930236</v>
      </c>
      <c r="D1111" s="28">
        <v>36844</v>
      </c>
      <c r="E1111" s="14">
        <v>6.6237912687023837E-3</v>
      </c>
      <c r="F1111" s="14">
        <v>9.3924174885873235E-3</v>
      </c>
      <c r="G1111" s="14">
        <v>4.956629491945419E-3</v>
      </c>
      <c r="H1111" s="14">
        <v>4.7151348740710692E-3</v>
      </c>
    </row>
    <row r="1112" spans="2:8" x14ac:dyDescent="0.25">
      <c r="B1112" s="29">
        <v>1104</v>
      </c>
      <c r="C1112" s="30">
        <v>0.80232558139534882</v>
      </c>
      <c r="D1112" s="28">
        <v>36845</v>
      </c>
      <c r="E1112" s="14">
        <v>6.6434410177911296E-3</v>
      </c>
      <c r="F1112" s="14">
        <v>9.4191522762951951E-3</v>
      </c>
      <c r="G1112" s="14">
        <v>4.9720323182098625E-3</v>
      </c>
      <c r="H1112" s="14">
        <v>4.717699470557335E-3</v>
      </c>
    </row>
    <row r="1113" spans="2:8" x14ac:dyDescent="0.25">
      <c r="B1113" s="29">
        <v>1105</v>
      </c>
      <c r="C1113" s="30">
        <v>0.80305232558139539</v>
      </c>
      <c r="D1113" s="28">
        <v>36846</v>
      </c>
      <c r="E1113" s="14">
        <v>6.6780825452537051E-3</v>
      </c>
      <c r="F1113" s="14">
        <v>9.4528826612472194E-3</v>
      </c>
      <c r="G1113" s="14">
        <v>5.0176759037516838E-3</v>
      </c>
      <c r="H1113" s="14">
        <v>4.7189720304233072E-3</v>
      </c>
    </row>
    <row r="1114" spans="2:8" x14ac:dyDescent="0.25">
      <c r="B1114" s="29">
        <v>1106</v>
      </c>
      <c r="C1114" s="30">
        <v>0.80377906976744184</v>
      </c>
      <c r="D1114" s="28">
        <v>36847</v>
      </c>
      <c r="E1114" s="14">
        <v>6.7380845854132509E-3</v>
      </c>
      <c r="F1114" s="14">
        <v>9.491501895697585E-3</v>
      </c>
      <c r="G1114" s="14">
        <v>5.0303156285447237E-3</v>
      </c>
      <c r="H1114" s="14">
        <v>4.7523190347703364E-3</v>
      </c>
    </row>
    <row r="1115" spans="2:8" x14ac:dyDescent="0.25">
      <c r="B1115" s="29">
        <v>1107</v>
      </c>
      <c r="C1115" s="30">
        <v>0.80450581395348841</v>
      </c>
      <c r="D1115" s="28">
        <v>36850</v>
      </c>
      <c r="E1115" s="14">
        <v>6.7552748168620003E-3</v>
      </c>
      <c r="F1115" s="14">
        <v>9.5165820554419245E-3</v>
      </c>
      <c r="G1115" s="14">
        <v>5.0764077873142188E-3</v>
      </c>
      <c r="H1115" s="14">
        <v>4.7523403449216683E-3</v>
      </c>
    </row>
    <row r="1116" spans="2:8" x14ac:dyDescent="0.25">
      <c r="B1116" s="29">
        <v>1108</v>
      </c>
      <c r="C1116" s="30">
        <v>0.80523255813953487</v>
      </c>
      <c r="D1116" s="28">
        <v>36851</v>
      </c>
      <c r="E1116" s="14">
        <v>6.7755548069501348E-3</v>
      </c>
      <c r="F1116" s="14">
        <v>9.5437067626997774E-3</v>
      </c>
      <c r="G1116" s="14">
        <v>5.0851059012730904E-3</v>
      </c>
      <c r="H1116" s="14">
        <v>4.7671670654859666E-3</v>
      </c>
    </row>
    <row r="1117" spans="2:8" x14ac:dyDescent="0.25">
      <c r="B1117" s="29">
        <v>1109</v>
      </c>
      <c r="C1117" s="30">
        <v>0.80595930232558144</v>
      </c>
      <c r="D1117" s="28">
        <v>36852</v>
      </c>
      <c r="E1117" s="14">
        <v>6.7761792762206507E-3</v>
      </c>
      <c r="F1117" s="14">
        <v>9.5864083640837539E-3</v>
      </c>
      <c r="G1117" s="14">
        <v>5.1178580686794817E-3</v>
      </c>
      <c r="H1117" s="14">
        <v>4.8460914732629378E-3</v>
      </c>
    </row>
    <row r="1118" spans="2:8" x14ac:dyDescent="0.25">
      <c r="B1118" s="29">
        <v>1110</v>
      </c>
      <c r="C1118" s="30">
        <v>0.8066860465116279</v>
      </c>
      <c r="D1118" s="28">
        <v>36853</v>
      </c>
      <c r="E1118" s="14">
        <v>6.8153296650255157E-3</v>
      </c>
      <c r="F1118" s="14">
        <v>9.5943058523184632E-3</v>
      </c>
      <c r="G1118" s="14">
        <v>5.1366531800582926E-3</v>
      </c>
      <c r="H1118" s="14">
        <v>4.8544587289035771E-3</v>
      </c>
    </row>
    <row r="1119" spans="2:8" x14ac:dyDescent="0.25">
      <c r="B1119" s="29">
        <v>1111</v>
      </c>
      <c r="C1119" s="30">
        <v>0.80741279069767447</v>
      </c>
      <c r="D1119" s="28">
        <v>36854</v>
      </c>
      <c r="E1119" s="14">
        <v>6.8899354613640718E-3</v>
      </c>
      <c r="F1119" s="14">
        <v>9.6082779009607489E-3</v>
      </c>
      <c r="G1119" s="14">
        <v>5.1383860796450076E-3</v>
      </c>
      <c r="H1119" s="14">
        <v>4.8550638087133885E-3</v>
      </c>
    </row>
    <row r="1120" spans="2:8" x14ac:dyDescent="0.25">
      <c r="B1120" s="29">
        <v>1112</v>
      </c>
      <c r="C1120" s="30">
        <v>0.80813953488372092</v>
      </c>
      <c r="D1120" s="28">
        <v>36857</v>
      </c>
      <c r="E1120" s="14">
        <v>6.9108923001650613E-3</v>
      </c>
      <c r="F1120" s="14">
        <v>9.6336970876484962E-3</v>
      </c>
      <c r="G1120" s="14">
        <v>5.1666749465943962E-3</v>
      </c>
      <c r="H1120" s="14">
        <v>4.8606587712226373E-3</v>
      </c>
    </row>
    <row r="1121" spans="2:8" x14ac:dyDescent="0.25">
      <c r="B1121" s="29">
        <v>1113</v>
      </c>
      <c r="C1121" s="30">
        <v>0.80886627906976749</v>
      </c>
      <c r="D1121" s="28">
        <v>36858</v>
      </c>
      <c r="E1121" s="14">
        <v>6.9202342769489888E-3</v>
      </c>
      <c r="F1121" s="14">
        <v>9.6601029091627488E-3</v>
      </c>
      <c r="G1121" s="14">
        <v>5.179150747987471E-3</v>
      </c>
      <c r="H1121" s="14">
        <v>4.9007731691757435E-3</v>
      </c>
    </row>
    <row r="1122" spans="2:8" x14ac:dyDescent="0.25">
      <c r="B1122" s="29">
        <v>1114</v>
      </c>
      <c r="C1122" s="30">
        <v>0.80959302325581395</v>
      </c>
      <c r="D1122" s="28">
        <v>36859</v>
      </c>
      <c r="E1122" s="14">
        <v>6.9394777028202181E-3</v>
      </c>
      <c r="F1122" s="14">
        <v>9.7218572876394127E-3</v>
      </c>
      <c r="G1122" s="14">
        <v>5.2200240121105246E-3</v>
      </c>
      <c r="H1122" s="14">
        <v>4.9220659742018396E-3</v>
      </c>
    </row>
    <row r="1123" spans="2:8" x14ac:dyDescent="0.25">
      <c r="B1123" s="29">
        <v>1115</v>
      </c>
      <c r="C1123" s="30">
        <v>0.81031976744186052</v>
      </c>
      <c r="D1123" s="28">
        <v>36860</v>
      </c>
      <c r="E1123" s="14">
        <v>7.0387523412969166E-3</v>
      </c>
      <c r="F1123" s="14">
        <v>9.7775221562834691E-3</v>
      </c>
      <c r="G1123" s="14">
        <v>5.2294831622210491E-3</v>
      </c>
      <c r="H1123" s="14">
        <v>4.9452682476201389E-3</v>
      </c>
    </row>
    <row r="1124" spans="2:8" x14ac:dyDescent="0.25">
      <c r="B1124" s="29">
        <v>1116</v>
      </c>
      <c r="C1124" s="30">
        <v>0.81104651162790697</v>
      </c>
      <c r="D1124" s="28">
        <v>36861</v>
      </c>
      <c r="E1124" s="14">
        <v>7.0577164366374401E-3</v>
      </c>
      <c r="F1124" s="14">
        <v>9.7868823334028576E-3</v>
      </c>
      <c r="G1124" s="14">
        <v>5.2360168336695878E-3</v>
      </c>
      <c r="H1124" s="14">
        <v>4.9508143309334729E-3</v>
      </c>
    </row>
    <row r="1125" spans="2:8" x14ac:dyDescent="0.25">
      <c r="B1125" s="29">
        <v>1117</v>
      </c>
      <c r="C1125" s="30">
        <v>0.81177325581395354</v>
      </c>
      <c r="D1125" s="28">
        <v>36864</v>
      </c>
      <c r="E1125" s="14">
        <v>7.0591557249752857E-3</v>
      </c>
      <c r="F1125" s="14">
        <v>9.8234928180795933E-3</v>
      </c>
      <c r="G1125" s="14">
        <v>5.2392783839254609E-3</v>
      </c>
      <c r="H1125" s="14">
        <v>4.9731217447508639E-3</v>
      </c>
    </row>
    <row r="1126" spans="2:8" x14ac:dyDescent="0.25">
      <c r="B1126" s="29">
        <v>1118</v>
      </c>
      <c r="C1126" s="30">
        <v>0.8125</v>
      </c>
      <c r="D1126" s="28">
        <v>36865</v>
      </c>
      <c r="E1126" s="14">
        <v>7.118876447944178E-3</v>
      </c>
      <c r="F1126" s="14">
        <v>9.8368830226882586E-3</v>
      </c>
      <c r="G1126" s="14">
        <v>5.2437075509388364E-3</v>
      </c>
      <c r="H1126" s="14">
        <v>5.0037337831331692E-3</v>
      </c>
    </row>
    <row r="1127" spans="2:8" x14ac:dyDescent="0.25">
      <c r="B1127" s="29">
        <v>1119</v>
      </c>
      <c r="C1127" s="30">
        <v>0.81322674418604646</v>
      </c>
      <c r="D1127" s="28">
        <v>36866</v>
      </c>
      <c r="E1127" s="14">
        <v>7.1738892336898896E-3</v>
      </c>
      <c r="F1127" s="14">
        <v>9.9167722800737046E-3</v>
      </c>
      <c r="G1127" s="14">
        <v>5.2447014399463754E-3</v>
      </c>
      <c r="H1127" s="14">
        <v>5.0047580651490179E-3</v>
      </c>
    </row>
    <row r="1128" spans="2:8" x14ac:dyDescent="0.25">
      <c r="B1128" s="29">
        <v>1120</v>
      </c>
      <c r="C1128" s="30">
        <v>0.81395348837209303</v>
      </c>
      <c r="D1128" s="28">
        <v>36867</v>
      </c>
      <c r="E1128" s="14">
        <v>7.1792562851262787E-3</v>
      </c>
      <c r="F1128" s="14">
        <v>9.9713085783192934E-3</v>
      </c>
      <c r="G1128" s="14">
        <v>5.2478267054454353E-3</v>
      </c>
      <c r="H1128" s="14">
        <v>5.0081545946881745E-3</v>
      </c>
    </row>
    <row r="1129" spans="2:8" x14ac:dyDescent="0.25">
      <c r="B1129" s="29">
        <v>1121</v>
      </c>
      <c r="C1129" s="30">
        <v>0.81468023255813948</v>
      </c>
      <c r="D1129" s="28">
        <v>36868</v>
      </c>
      <c r="E1129" s="14">
        <v>7.220316042627184E-3</v>
      </c>
      <c r="F1129" s="14">
        <v>9.9755757479342844E-3</v>
      </c>
      <c r="G1129" s="14">
        <v>5.2529392289082377E-3</v>
      </c>
      <c r="H1129" s="14">
        <v>5.030861133556731E-3</v>
      </c>
    </row>
    <row r="1130" spans="2:8" x14ac:dyDescent="0.25">
      <c r="B1130" s="29">
        <v>1122</v>
      </c>
      <c r="C1130" s="30">
        <v>0.81540697674418605</v>
      </c>
      <c r="D1130" s="28">
        <v>36871</v>
      </c>
      <c r="E1130" s="14">
        <v>7.2265976614691585E-3</v>
      </c>
      <c r="F1130" s="14">
        <v>9.981792694520264E-3</v>
      </c>
      <c r="G1130" s="14">
        <v>5.2746759441111291E-3</v>
      </c>
      <c r="H1130" s="14">
        <v>5.1040418230443151E-3</v>
      </c>
    </row>
    <row r="1131" spans="2:8" x14ac:dyDescent="0.25">
      <c r="B1131" s="29">
        <v>1123</v>
      </c>
      <c r="C1131" s="30">
        <v>0.81613372093023251</v>
      </c>
      <c r="D1131" s="28">
        <v>36872</v>
      </c>
      <c r="E1131" s="14">
        <v>7.2412299696837934E-3</v>
      </c>
      <c r="F1131" s="14">
        <v>9.9977353564149052E-3</v>
      </c>
      <c r="G1131" s="14">
        <v>5.3093259464451759E-3</v>
      </c>
      <c r="H1131" s="14">
        <v>5.1504322965017172E-3</v>
      </c>
    </row>
    <row r="1132" spans="2:8" x14ac:dyDescent="0.25">
      <c r="B1132" s="29">
        <v>1124</v>
      </c>
      <c r="C1132" s="30">
        <v>0.81686046511627908</v>
      </c>
      <c r="D1132" s="28">
        <v>36873</v>
      </c>
      <c r="E1132" s="14">
        <v>7.3958946702388229E-3</v>
      </c>
      <c r="F1132" s="14">
        <v>1.0011773501886312E-2</v>
      </c>
      <c r="G1132" s="14">
        <v>5.317592437490859E-3</v>
      </c>
      <c r="H1132" s="14">
        <v>5.1895106394608701E-3</v>
      </c>
    </row>
    <row r="1133" spans="2:8" x14ac:dyDescent="0.25">
      <c r="B1133" s="29">
        <v>1125</v>
      </c>
      <c r="C1133" s="30">
        <v>0.81758720930232553</v>
      </c>
      <c r="D1133" s="28">
        <v>36874</v>
      </c>
      <c r="E1133" s="14">
        <v>7.4916634044213115E-3</v>
      </c>
      <c r="F1133" s="14">
        <v>1.0044316469079773E-2</v>
      </c>
      <c r="G1133" s="14">
        <v>5.3214234807812399E-3</v>
      </c>
      <c r="H1133" s="14">
        <v>5.2041705031145025E-3</v>
      </c>
    </row>
    <row r="1134" spans="2:8" x14ac:dyDescent="0.25">
      <c r="B1134" s="29">
        <v>1126</v>
      </c>
      <c r="C1134" s="30">
        <v>0.8183139534883721</v>
      </c>
      <c r="D1134" s="28">
        <v>36875</v>
      </c>
      <c r="E1134" s="14">
        <v>7.4996213586511207E-3</v>
      </c>
      <c r="F1134" s="14">
        <v>1.0061843894888067E-2</v>
      </c>
      <c r="G1134" s="14">
        <v>5.3216229259291925E-3</v>
      </c>
      <c r="H1134" s="14">
        <v>5.2215310444724498E-3</v>
      </c>
    </row>
    <row r="1135" spans="2:8" x14ac:dyDescent="0.25">
      <c r="B1135" s="29">
        <v>1127</v>
      </c>
      <c r="C1135" s="30">
        <v>0.81904069767441856</v>
      </c>
      <c r="D1135" s="28">
        <v>36878</v>
      </c>
      <c r="E1135" s="14">
        <v>7.5643668460843028E-3</v>
      </c>
      <c r="F1135" s="14">
        <v>1.0068765226157073E-2</v>
      </c>
      <c r="G1135" s="14">
        <v>5.3299109274538292E-3</v>
      </c>
      <c r="H1135" s="14">
        <v>5.2579218863110901E-3</v>
      </c>
    </row>
    <row r="1136" spans="2:8" x14ac:dyDescent="0.25">
      <c r="B1136" s="29">
        <v>1128</v>
      </c>
      <c r="C1136" s="30">
        <v>0.81976744186046513</v>
      </c>
      <c r="D1136" s="28">
        <v>36879</v>
      </c>
      <c r="E1136" s="14">
        <v>7.5767185461128594E-3</v>
      </c>
      <c r="F1136" s="14">
        <v>1.0086902545003218E-2</v>
      </c>
      <c r="G1136" s="14">
        <v>5.3321882412420418E-3</v>
      </c>
      <c r="H1136" s="14">
        <v>5.2604462122336493E-3</v>
      </c>
    </row>
    <row r="1137" spans="2:8" x14ac:dyDescent="0.25">
      <c r="B1137" s="29">
        <v>1129</v>
      </c>
      <c r="C1137" s="30">
        <v>0.82049418604651159</v>
      </c>
      <c r="D1137" s="28">
        <v>36880</v>
      </c>
      <c r="E1137" s="14">
        <v>7.6123731271147133E-3</v>
      </c>
      <c r="F1137" s="14">
        <v>1.0087119252007781E-2</v>
      </c>
      <c r="G1137" s="14">
        <v>5.3357401396105786E-3</v>
      </c>
      <c r="H1137" s="14">
        <v>5.2656364587218459E-3</v>
      </c>
    </row>
    <row r="1138" spans="2:8" x14ac:dyDescent="0.25">
      <c r="B1138" s="29">
        <v>1130</v>
      </c>
      <c r="C1138" s="30">
        <v>0.82122093023255816</v>
      </c>
      <c r="D1138" s="28">
        <v>36881</v>
      </c>
      <c r="E1138" s="14">
        <v>7.612663040043266E-3</v>
      </c>
      <c r="F1138" s="14">
        <v>1.0102356327966744E-2</v>
      </c>
      <c r="G1138" s="14">
        <v>5.3376653515895267E-3</v>
      </c>
      <c r="H1138" s="14">
        <v>5.2659578822709776E-3</v>
      </c>
    </row>
    <row r="1139" spans="2:8" x14ac:dyDescent="0.25">
      <c r="B1139" s="29">
        <v>1131</v>
      </c>
      <c r="C1139" s="30">
        <v>0.82194767441860461</v>
      </c>
      <c r="D1139" s="28">
        <v>36882</v>
      </c>
      <c r="E1139" s="14">
        <v>7.6385005664296735E-3</v>
      </c>
      <c r="F1139" s="14">
        <v>1.0119620514230654E-2</v>
      </c>
      <c r="G1139" s="14">
        <v>5.3608942916634206E-3</v>
      </c>
      <c r="H1139" s="14">
        <v>5.2957987056484919E-3</v>
      </c>
    </row>
    <row r="1140" spans="2:8" x14ac:dyDescent="0.25">
      <c r="B1140" s="29">
        <v>1132</v>
      </c>
      <c r="C1140" s="30">
        <v>0.82267441860465118</v>
      </c>
      <c r="D1140" s="28">
        <v>36885</v>
      </c>
      <c r="E1140" s="14">
        <v>7.6425707237870455E-3</v>
      </c>
      <c r="F1140" s="14">
        <v>1.0150174077217633E-2</v>
      </c>
      <c r="G1140" s="14">
        <v>5.3650765530557365E-3</v>
      </c>
      <c r="H1140" s="14">
        <v>5.3036556092791905E-3</v>
      </c>
    </row>
    <row r="1141" spans="2:8" x14ac:dyDescent="0.25">
      <c r="B1141" s="29">
        <v>1133</v>
      </c>
      <c r="C1141" s="30">
        <v>0.82340116279069764</v>
      </c>
      <c r="D1141" s="28">
        <v>36886</v>
      </c>
      <c r="E1141" s="14">
        <v>7.6867048856954501E-3</v>
      </c>
      <c r="F1141" s="14">
        <v>1.0282449477824418E-2</v>
      </c>
      <c r="G1141" s="14">
        <v>5.4178731837901672E-3</v>
      </c>
      <c r="H1141" s="14">
        <v>5.3381129847309703E-3</v>
      </c>
    </row>
    <row r="1142" spans="2:8" x14ac:dyDescent="0.25">
      <c r="B1142" s="29">
        <v>1134</v>
      </c>
      <c r="C1142" s="30">
        <v>0.82412790697674421</v>
      </c>
      <c r="D1142" s="28">
        <v>36887</v>
      </c>
      <c r="E1142" s="14">
        <v>7.7062556663645143E-3</v>
      </c>
      <c r="F1142" s="14">
        <v>1.0348214761625396E-2</v>
      </c>
      <c r="G1142" s="14">
        <v>5.4387614094530967E-3</v>
      </c>
      <c r="H1142" s="14">
        <v>5.3631324224233442E-3</v>
      </c>
    </row>
    <row r="1143" spans="2:8" x14ac:dyDescent="0.25">
      <c r="B1143" s="29">
        <v>1135</v>
      </c>
      <c r="C1143" s="30">
        <v>0.82485465116279066</v>
      </c>
      <c r="D1143" s="28">
        <v>36888</v>
      </c>
      <c r="E1143" s="14">
        <v>7.7410117010090485E-3</v>
      </c>
      <c r="F1143" s="14">
        <v>1.0349838726828153E-2</v>
      </c>
      <c r="G1143" s="14">
        <v>5.4589051579001513E-3</v>
      </c>
      <c r="H1143" s="14">
        <v>5.3701723249819158E-3</v>
      </c>
    </row>
    <row r="1144" spans="2:8" x14ac:dyDescent="0.25">
      <c r="B1144" s="29">
        <v>1136</v>
      </c>
      <c r="C1144" s="30">
        <v>0.82558139534883723</v>
      </c>
      <c r="D1144" s="28">
        <v>36889</v>
      </c>
      <c r="E1144" s="14">
        <v>7.7595360614228781E-3</v>
      </c>
      <c r="F1144" s="14">
        <v>1.0439556261832905E-2</v>
      </c>
      <c r="G1144" s="14">
        <v>5.467545542495289E-3</v>
      </c>
      <c r="H1144" s="14">
        <v>5.3726069247285405E-3</v>
      </c>
    </row>
    <row r="1145" spans="2:8" x14ac:dyDescent="0.25">
      <c r="B1145" s="29">
        <v>1137</v>
      </c>
      <c r="C1145" s="30">
        <v>0.82630813953488369</v>
      </c>
      <c r="D1145" s="28">
        <v>36892</v>
      </c>
      <c r="E1145" s="14">
        <v>7.7770087592303749E-3</v>
      </c>
      <c r="F1145" s="14">
        <v>1.0449478786046074E-2</v>
      </c>
      <c r="G1145" s="14">
        <v>5.4983190231943091E-3</v>
      </c>
      <c r="H1145" s="14">
        <v>5.3995841000032746E-3</v>
      </c>
    </row>
    <row r="1146" spans="2:8" x14ac:dyDescent="0.25">
      <c r="B1146" s="29">
        <v>1138</v>
      </c>
      <c r="C1146" s="30">
        <v>0.82703488372093026</v>
      </c>
      <c r="D1146" s="28">
        <v>36893</v>
      </c>
      <c r="E1146" s="14">
        <v>7.7909330715906222E-3</v>
      </c>
      <c r="F1146" s="14">
        <v>1.0484909371329953E-2</v>
      </c>
      <c r="G1146" s="14">
        <v>5.4992452016391358E-3</v>
      </c>
      <c r="H1146" s="14">
        <v>5.4093695797899251E-3</v>
      </c>
    </row>
    <row r="1147" spans="2:8" x14ac:dyDescent="0.25">
      <c r="B1147" s="29">
        <v>1139</v>
      </c>
      <c r="C1147" s="30">
        <v>0.82776162790697672</v>
      </c>
      <c r="D1147" s="28">
        <v>36894</v>
      </c>
      <c r="E1147" s="14">
        <v>7.8053335449110861E-3</v>
      </c>
      <c r="F1147" s="14">
        <v>1.0488887024197924E-2</v>
      </c>
      <c r="G1147" s="14">
        <v>5.5030503145299114E-3</v>
      </c>
      <c r="H1147" s="14">
        <v>5.4365365250626848E-3</v>
      </c>
    </row>
    <row r="1148" spans="2:8" x14ac:dyDescent="0.25">
      <c r="B1148" s="29">
        <v>1140</v>
      </c>
      <c r="C1148" s="30">
        <v>0.82848837209302328</v>
      </c>
      <c r="D1148" s="28">
        <v>36895</v>
      </c>
      <c r="E1148" s="14">
        <v>7.8092186114524509E-3</v>
      </c>
      <c r="F1148" s="14">
        <v>1.0568528947634936E-2</v>
      </c>
      <c r="G1148" s="14">
        <v>5.5169334375133605E-3</v>
      </c>
      <c r="H1148" s="14">
        <v>5.4395188641767301E-3</v>
      </c>
    </row>
    <row r="1149" spans="2:8" x14ac:dyDescent="0.25">
      <c r="B1149" s="29">
        <v>1141</v>
      </c>
      <c r="C1149" s="30">
        <v>0.82921511627906974</v>
      </c>
      <c r="D1149" s="28">
        <v>36896</v>
      </c>
      <c r="E1149" s="14">
        <v>7.948004080400306E-3</v>
      </c>
      <c r="F1149" s="14">
        <v>1.0612444152012568E-2</v>
      </c>
      <c r="G1149" s="14">
        <v>5.5283551674467635E-3</v>
      </c>
      <c r="H1149" s="14">
        <v>5.4487033621107191E-3</v>
      </c>
    </row>
    <row r="1150" spans="2:8" x14ac:dyDescent="0.25">
      <c r="B1150" s="29">
        <v>1142</v>
      </c>
      <c r="C1150" s="30">
        <v>0.82994186046511631</v>
      </c>
      <c r="D1150" s="28">
        <v>36899</v>
      </c>
      <c r="E1150" s="14">
        <v>7.9543902772090114E-3</v>
      </c>
      <c r="F1150" s="14">
        <v>1.0614016488519118E-2</v>
      </c>
      <c r="G1150" s="14">
        <v>5.5754567098613705E-3</v>
      </c>
      <c r="H1150" s="14">
        <v>5.4731726154928937E-3</v>
      </c>
    </row>
    <row r="1151" spans="2:8" x14ac:dyDescent="0.25">
      <c r="B1151" s="29">
        <v>1143</v>
      </c>
      <c r="C1151" s="30">
        <v>0.83066860465116277</v>
      </c>
      <c r="D1151" s="28">
        <v>36900</v>
      </c>
      <c r="E1151" s="14">
        <v>7.9985501729948894E-3</v>
      </c>
      <c r="F1151" s="14">
        <v>1.0627769889419492E-2</v>
      </c>
      <c r="G1151" s="14">
        <v>5.587557603686788E-3</v>
      </c>
      <c r="H1151" s="14">
        <v>5.5058843354711222E-3</v>
      </c>
    </row>
    <row r="1152" spans="2:8" x14ac:dyDescent="0.25">
      <c r="B1152" s="29">
        <v>1144</v>
      </c>
      <c r="C1152" s="30">
        <v>0.83139534883720934</v>
      </c>
      <c r="D1152" s="28">
        <v>36901</v>
      </c>
      <c r="E1152" s="14">
        <v>8.0198335931485065E-3</v>
      </c>
      <c r="F1152" s="14">
        <v>1.0633458920862537E-2</v>
      </c>
      <c r="G1152" s="14">
        <v>5.5878284923926991E-3</v>
      </c>
      <c r="H1152" s="14">
        <v>5.5063759311167366E-3</v>
      </c>
    </row>
    <row r="1153" spans="2:8" x14ac:dyDescent="0.25">
      <c r="B1153" s="29">
        <v>1145</v>
      </c>
      <c r="C1153" s="30">
        <v>0.83212209302325579</v>
      </c>
      <c r="D1153" s="28">
        <v>36902</v>
      </c>
      <c r="E1153" s="14">
        <v>8.0301838064686937E-3</v>
      </c>
      <c r="F1153" s="14">
        <v>1.0654131850939219E-2</v>
      </c>
      <c r="G1153" s="14">
        <v>5.6534923163900075E-3</v>
      </c>
      <c r="H1153" s="14">
        <v>5.5677595826628679E-3</v>
      </c>
    </row>
    <row r="1154" spans="2:8" x14ac:dyDescent="0.25">
      <c r="B1154" s="29">
        <v>1146</v>
      </c>
      <c r="C1154" s="30">
        <v>0.83284883720930236</v>
      </c>
      <c r="D1154" s="28">
        <v>36903</v>
      </c>
      <c r="E1154" s="14">
        <v>8.10552593460101E-3</v>
      </c>
      <c r="F1154" s="14">
        <v>1.0671320567297693E-2</v>
      </c>
      <c r="G1154" s="14">
        <v>5.6626192030317934E-3</v>
      </c>
      <c r="H1154" s="14">
        <v>5.5868971223680839E-3</v>
      </c>
    </row>
    <row r="1155" spans="2:8" x14ac:dyDescent="0.25">
      <c r="B1155" s="29">
        <v>1147</v>
      </c>
      <c r="C1155" s="30">
        <v>0.83357558139534882</v>
      </c>
      <c r="D1155" s="28">
        <v>36906</v>
      </c>
      <c r="E1155" s="14">
        <v>8.12737931377705E-3</v>
      </c>
      <c r="F1155" s="14">
        <v>1.0702522221720745E-2</v>
      </c>
      <c r="G1155" s="14">
        <v>5.6808780541615089E-3</v>
      </c>
      <c r="H1155" s="14">
        <v>5.614451890226491E-3</v>
      </c>
    </row>
    <row r="1156" spans="2:8" x14ac:dyDescent="0.25">
      <c r="B1156" s="29">
        <v>1148</v>
      </c>
      <c r="C1156" s="30">
        <v>0.83430232558139539</v>
      </c>
      <c r="D1156" s="28">
        <v>36907</v>
      </c>
      <c r="E1156" s="14">
        <v>8.2963234108568429E-3</v>
      </c>
      <c r="F1156" s="14">
        <v>1.0722840781749454E-2</v>
      </c>
      <c r="G1156" s="14">
        <v>5.6837454746152538E-3</v>
      </c>
      <c r="H1156" s="14">
        <v>5.6307451442787699E-3</v>
      </c>
    </row>
    <row r="1157" spans="2:8" x14ac:dyDescent="0.25">
      <c r="B1157" s="29">
        <v>1149</v>
      </c>
      <c r="C1157" s="30">
        <v>0.83502906976744184</v>
      </c>
      <c r="D1157" s="28">
        <v>36908</v>
      </c>
      <c r="E1157" s="14">
        <v>8.3562681983166964E-3</v>
      </c>
      <c r="F1157" s="14">
        <v>1.0783010546976834E-2</v>
      </c>
      <c r="G1157" s="14">
        <v>5.6988174953696014E-3</v>
      </c>
      <c r="H1157" s="14">
        <v>5.6377970416878753E-3</v>
      </c>
    </row>
    <row r="1158" spans="2:8" x14ac:dyDescent="0.25">
      <c r="B1158" s="29">
        <v>1150</v>
      </c>
      <c r="C1158" s="30">
        <v>0.83575581395348841</v>
      </c>
      <c r="D1158" s="28">
        <v>36909</v>
      </c>
      <c r="E1158" s="14">
        <v>8.3764006764339705E-3</v>
      </c>
      <c r="F1158" s="14">
        <v>1.0784441831090064E-2</v>
      </c>
      <c r="G1158" s="14">
        <v>5.7027595788965435E-3</v>
      </c>
      <c r="H1158" s="14">
        <v>5.6639720184811461E-3</v>
      </c>
    </row>
    <row r="1159" spans="2:8" x14ac:dyDescent="0.25">
      <c r="B1159" s="29">
        <v>1151</v>
      </c>
      <c r="C1159" s="30">
        <v>0.83648255813953487</v>
      </c>
      <c r="D1159" s="28">
        <v>36910</v>
      </c>
      <c r="E1159" s="14">
        <v>8.3848164673174796E-3</v>
      </c>
      <c r="F1159" s="14">
        <v>1.0786087655810128E-2</v>
      </c>
      <c r="G1159" s="14">
        <v>5.7611402870973993E-3</v>
      </c>
      <c r="H1159" s="14">
        <v>5.7102474066738742E-3</v>
      </c>
    </row>
    <row r="1160" spans="2:8" x14ac:dyDescent="0.25">
      <c r="B1160" s="29">
        <v>1152</v>
      </c>
      <c r="C1160" s="30">
        <v>0.83720930232558144</v>
      </c>
      <c r="D1160" s="28">
        <v>36913</v>
      </c>
      <c r="E1160" s="14">
        <v>8.3960606884261324E-3</v>
      </c>
      <c r="F1160" s="14">
        <v>1.0817367021839441E-2</v>
      </c>
      <c r="G1160" s="14">
        <v>5.8243306812197915E-3</v>
      </c>
      <c r="H1160" s="14">
        <v>5.7123072094785073E-3</v>
      </c>
    </row>
    <row r="1161" spans="2:8" x14ac:dyDescent="0.25">
      <c r="B1161" s="29">
        <v>1153</v>
      </c>
      <c r="C1161" s="30">
        <v>0.8379360465116279</v>
      </c>
      <c r="D1161" s="28">
        <v>36914</v>
      </c>
      <c r="E1161" s="14">
        <v>8.4302767633723796E-3</v>
      </c>
      <c r="F1161" s="14">
        <v>1.0824898082563372E-2</v>
      </c>
      <c r="G1161" s="14">
        <v>5.831470502478453E-3</v>
      </c>
      <c r="H1161" s="14">
        <v>5.7347834301701541E-3</v>
      </c>
    </row>
    <row r="1162" spans="2:8" x14ac:dyDescent="0.25">
      <c r="B1162" s="29">
        <v>1154</v>
      </c>
      <c r="C1162" s="30">
        <v>0.83866279069767447</v>
      </c>
      <c r="D1162" s="28">
        <v>36915</v>
      </c>
      <c r="E1162" s="14">
        <v>8.4419309892631578E-3</v>
      </c>
      <c r="F1162" s="14">
        <v>1.0892091185117359E-2</v>
      </c>
      <c r="G1162" s="14">
        <v>5.8981701294011923E-3</v>
      </c>
      <c r="H1162" s="14">
        <v>5.7395532577984689E-3</v>
      </c>
    </row>
    <row r="1163" spans="2:8" x14ac:dyDescent="0.25">
      <c r="B1163" s="29">
        <v>1155</v>
      </c>
      <c r="C1163" s="30">
        <v>0.83938953488372092</v>
      </c>
      <c r="D1163" s="28">
        <v>36916</v>
      </c>
      <c r="E1163" s="14">
        <v>8.4439083232812351E-3</v>
      </c>
      <c r="F1163" s="14">
        <v>1.089887147060109E-2</v>
      </c>
      <c r="G1163" s="14">
        <v>5.9008280194157159E-3</v>
      </c>
      <c r="H1163" s="14">
        <v>5.7506323982080779E-3</v>
      </c>
    </row>
    <row r="1164" spans="2:8" x14ac:dyDescent="0.25">
      <c r="B1164" s="29">
        <v>1156</v>
      </c>
      <c r="C1164" s="30">
        <v>0.84011627906976749</v>
      </c>
      <c r="D1164" s="28">
        <v>36917</v>
      </c>
      <c r="E1164" s="14">
        <v>8.468234113472306E-3</v>
      </c>
      <c r="F1164" s="14">
        <v>1.0910544195031013E-2</v>
      </c>
      <c r="G1164" s="14">
        <v>5.9018182457435397E-3</v>
      </c>
      <c r="H1164" s="14">
        <v>5.7520277242667731E-3</v>
      </c>
    </row>
    <row r="1165" spans="2:8" x14ac:dyDescent="0.25">
      <c r="B1165" s="29">
        <v>1157</v>
      </c>
      <c r="C1165" s="30">
        <v>0.84084302325581395</v>
      </c>
      <c r="D1165" s="28">
        <v>36920</v>
      </c>
      <c r="E1165" s="14">
        <v>8.4799118561367237E-3</v>
      </c>
      <c r="F1165" s="14">
        <v>1.0960570328073738E-2</v>
      </c>
      <c r="G1165" s="14">
        <v>5.9150136578971502E-3</v>
      </c>
      <c r="H1165" s="14">
        <v>5.7544179526254798E-3</v>
      </c>
    </row>
    <row r="1166" spans="2:8" x14ac:dyDescent="0.25">
      <c r="B1166" s="29">
        <v>1158</v>
      </c>
      <c r="C1166" s="30">
        <v>0.84156976744186052</v>
      </c>
      <c r="D1166" s="28">
        <v>36921</v>
      </c>
      <c r="E1166" s="14">
        <v>8.502672993151883E-3</v>
      </c>
      <c r="F1166" s="14">
        <v>1.0985510225053785E-2</v>
      </c>
      <c r="G1166" s="14">
        <v>5.9516974131494926E-3</v>
      </c>
      <c r="H1166" s="14">
        <v>5.755947833237852E-3</v>
      </c>
    </row>
    <row r="1167" spans="2:8" x14ac:dyDescent="0.25">
      <c r="B1167" s="29">
        <v>1159</v>
      </c>
      <c r="C1167" s="30">
        <v>0.84229651162790697</v>
      </c>
      <c r="D1167" s="28">
        <v>36922</v>
      </c>
      <c r="E1167" s="14">
        <v>8.5382162706719722E-3</v>
      </c>
      <c r="F1167" s="14">
        <v>1.101727965440702E-2</v>
      </c>
      <c r="G1167" s="14">
        <v>5.9665871121719061E-3</v>
      </c>
      <c r="H1167" s="14">
        <v>5.7642984325074753E-3</v>
      </c>
    </row>
    <row r="1168" spans="2:8" x14ac:dyDescent="0.25">
      <c r="B1168" s="29">
        <v>1160</v>
      </c>
      <c r="C1168" s="30">
        <v>0.84302325581395354</v>
      </c>
      <c r="D1168" s="28">
        <v>36923</v>
      </c>
      <c r="E1168" s="14">
        <v>8.583690987124637E-3</v>
      </c>
      <c r="F1168" s="14">
        <v>1.1081178974057027E-2</v>
      </c>
      <c r="G1168" s="14">
        <v>5.9697998361232241E-3</v>
      </c>
      <c r="H1168" s="14">
        <v>5.776829183418597E-3</v>
      </c>
    </row>
    <row r="1169" spans="2:8" x14ac:dyDescent="0.25">
      <c r="B1169" s="29">
        <v>1161</v>
      </c>
      <c r="C1169" s="30">
        <v>0.84375</v>
      </c>
      <c r="D1169" s="28">
        <v>36924</v>
      </c>
      <c r="E1169" s="14">
        <v>8.6294416243655192E-3</v>
      </c>
      <c r="F1169" s="14">
        <v>1.1085438008360704E-2</v>
      </c>
      <c r="G1169" s="14">
        <v>5.9729604123737179E-3</v>
      </c>
      <c r="H1169" s="14">
        <v>5.7821198862054064E-3</v>
      </c>
    </row>
    <row r="1170" spans="2:8" x14ac:dyDescent="0.25">
      <c r="B1170" s="29">
        <v>1162</v>
      </c>
      <c r="C1170" s="30">
        <v>0.84447674418604646</v>
      </c>
      <c r="D1170" s="28">
        <v>36927</v>
      </c>
      <c r="E1170" s="14">
        <v>8.7182378476728939E-3</v>
      </c>
      <c r="F1170" s="14">
        <v>1.1096208673218699E-2</v>
      </c>
      <c r="G1170" s="14">
        <v>6.0050568900125167E-3</v>
      </c>
      <c r="H1170" s="14">
        <v>5.792063639985745E-3</v>
      </c>
    </row>
    <row r="1171" spans="2:8" x14ac:dyDescent="0.25">
      <c r="B1171" s="29">
        <v>1163</v>
      </c>
      <c r="C1171" s="30">
        <v>0.84520348837209303</v>
      </c>
      <c r="D1171" s="28">
        <v>36928</v>
      </c>
      <c r="E1171" s="14">
        <v>8.7540122556168942E-3</v>
      </c>
      <c r="F1171" s="14">
        <v>1.1175454637813553E-2</v>
      </c>
      <c r="G1171" s="14">
        <v>6.0167130919221989E-3</v>
      </c>
      <c r="H1171" s="14">
        <v>5.8754772118077897E-3</v>
      </c>
    </row>
    <row r="1172" spans="2:8" x14ac:dyDescent="0.25">
      <c r="B1172" s="29">
        <v>1164</v>
      </c>
      <c r="C1172" s="30">
        <v>0.84593023255813948</v>
      </c>
      <c r="D1172" s="28">
        <v>36929</v>
      </c>
      <c r="E1172" s="14">
        <v>8.7627007472619312E-3</v>
      </c>
      <c r="F1172" s="14">
        <v>1.118893571555768E-2</v>
      </c>
      <c r="G1172" s="14">
        <v>6.0199909132214735E-3</v>
      </c>
      <c r="H1172" s="14">
        <v>5.9167855553705195E-3</v>
      </c>
    </row>
    <row r="1173" spans="2:8" x14ac:dyDescent="0.25">
      <c r="B1173" s="29">
        <v>1165</v>
      </c>
      <c r="C1173" s="30">
        <v>0.84665697674418605</v>
      </c>
      <c r="D1173" s="28">
        <v>36930</v>
      </c>
      <c r="E1173" s="14">
        <v>8.7686436808556145E-3</v>
      </c>
      <c r="F1173" s="14">
        <v>1.1189965798802604E-2</v>
      </c>
      <c r="G1173" s="14">
        <v>6.0346913319515583E-3</v>
      </c>
      <c r="H1173" s="14">
        <v>5.9183002817683851E-3</v>
      </c>
    </row>
    <row r="1174" spans="2:8" x14ac:dyDescent="0.25">
      <c r="B1174" s="29">
        <v>1166</v>
      </c>
      <c r="C1174" s="30">
        <v>0.84738372093023251</v>
      </c>
      <c r="D1174" s="28">
        <v>36931</v>
      </c>
      <c r="E1174" s="14">
        <v>8.8105681587109519E-3</v>
      </c>
      <c r="F1174" s="14">
        <v>1.1203543573513386E-2</v>
      </c>
      <c r="G1174" s="14">
        <v>6.047811947281545E-3</v>
      </c>
      <c r="H1174" s="14">
        <v>5.9294445134137064E-3</v>
      </c>
    </row>
    <row r="1175" spans="2:8" x14ac:dyDescent="0.25">
      <c r="B1175" s="29">
        <v>1167</v>
      </c>
      <c r="C1175" s="30">
        <v>0.84811046511627908</v>
      </c>
      <c r="D1175" s="28">
        <v>36934</v>
      </c>
      <c r="E1175" s="14">
        <v>8.8266784735151482E-3</v>
      </c>
      <c r="F1175" s="14">
        <v>1.1248154876802641E-2</v>
      </c>
      <c r="G1175" s="14">
        <v>6.0875287923660704E-3</v>
      </c>
      <c r="H1175" s="14">
        <v>5.9407933016977221E-3</v>
      </c>
    </row>
    <row r="1176" spans="2:8" x14ac:dyDescent="0.25">
      <c r="B1176" s="29">
        <v>1168</v>
      </c>
      <c r="C1176" s="30">
        <v>0.84883720930232553</v>
      </c>
      <c r="D1176" s="28">
        <v>36935</v>
      </c>
      <c r="E1176" s="14">
        <v>8.9153046062406816E-3</v>
      </c>
      <c r="F1176" s="14">
        <v>1.127346562527265E-2</v>
      </c>
      <c r="G1176" s="14">
        <v>6.1088920295444549E-3</v>
      </c>
      <c r="H1176" s="14">
        <v>5.9686792756585838E-3</v>
      </c>
    </row>
    <row r="1177" spans="2:8" x14ac:dyDescent="0.25">
      <c r="B1177" s="29">
        <v>1169</v>
      </c>
      <c r="C1177" s="30">
        <v>0.8495639534883721</v>
      </c>
      <c r="D1177" s="28">
        <v>36936</v>
      </c>
      <c r="E1177" s="14">
        <v>8.9365456778855989E-3</v>
      </c>
      <c r="F1177" s="14">
        <v>1.1277333902337094E-2</v>
      </c>
      <c r="G1177" s="14">
        <v>6.1291580765587828E-3</v>
      </c>
      <c r="H1177" s="14">
        <v>5.9730560320203629E-3</v>
      </c>
    </row>
    <row r="1178" spans="2:8" x14ac:dyDescent="0.25">
      <c r="B1178" s="29">
        <v>1170</v>
      </c>
      <c r="C1178" s="30">
        <v>0.85029069767441856</v>
      </c>
      <c r="D1178" s="28">
        <v>36937</v>
      </c>
      <c r="E1178" s="14">
        <v>8.9680589680589673E-3</v>
      </c>
      <c r="F1178" s="14">
        <v>1.1282384215190122E-2</v>
      </c>
      <c r="G1178" s="14">
        <v>6.1501227063134323E-3</v>
      </c>
      <c r="H1178" s="14">
        <v>5.9968048893318301E-3</v>
      </c>
    </row>
    <row r="1179" spans="2:8" x14ac:dyDescent="0.25">
      <c r="B1179" s="29">
        <v>1171</v>
      </c>
      <c r="C1179" s="30">
        <v>0.85101744186046513</v>
      </c>
      <c r="D1179" s="28">
        <v>36938</v>
      </c>
      <c r="E1179" s="14">
        <v>9.0172976923030834E-3</v>
      </c>
      <c r="F1179" s="14">
        <v>1.1305849239575227E-2</v>
      </c>
      <c r="G1179" s="14">
        <v>6.1586606308254854E-3</v>
      </c>
      <c r="H1179" s="14">
        <v>6.0065659634900518E-3</v>
      </c>
    </row>
    <row r="1180" spans="2:8" x14ac:dyDescent="0.25">
      <c r="B1180" s="29">
        <v>1172</v>
      </c>
      <c r="C1180" s="30">
        <v>0.85174418604651159</v>
      </c>
      <c r="D1180" s="28">
        <v>36941</v>
      </c>
      <c r="E1180" s="14">
        <v>9.0257879991550993E-3</v>
      </c>
      <c r="F1180" s="14">
        <v>1.1338655559412159E-2</v>
      </c>
      <c r="G1180" s="14">
        <v>6.2156382317348768E-3</v>
      </c>
      <c r="H1180" s="14">
        <v>6.0386664707904551E-3</v>
      </c>
    </row>
    <row r="1181" spans="2:8" x14ac:dyDescent="0.25">
      <c r="B1181" s="29">
        <v>1173</v>
      </c>
      <c r="C1181" s="30">
        <v>0.85247093023255816</v>
      </c>
      <c r="D1181" s="28">
        <v>36942</v>
      </c>
      <c r="E1181" s="14">
        <v>9.028960817717202E-3</v>
      </c>
      <c r="F1181" s="14">
        <v>1.1346466345468542E-2</v>
      </c>
      <c r="G1181" s="14">
        <v>6.2171480246422384E-3</v>
      </c>
      <c r="H1181" s="14">
        <v>6.0560290380118342E-3</v>
      </c>
    </row>
    <row r="1182" spans="2:8" x14ac:dyDescent="0.25">
      <c r="B1182" s="29">
        <v>1174</v>
      </c>
      <c r="C1182" s="30">
        <v>0.85319767441860461</v>
      </c>
      <c r="D1182" s="28">
        <v>36943</v>
      </c>
      <c r="E1182" s="14">
        <v>9.1807278669000514E-3</v>
      </c>
      <c r="F1182" s="14">
        <v>1.1364193796294719E-2</v>
      </c>
      <c r="G1182" s="14">
        <v>6.2221795630752474E-3</v>
      </c>
      <c r="H1182" s="14">
        <v>6.0586098439332266E-3</v>
      </c>
    </row>
    <row r="1183" spans="2:8" x14ac:dyDescent="0.25">
      <c r="B1183" s="29">
        <v>1175</v>
      </c>
      <c r="C1183" s="30">
        <v>0.85392441860465118</v>
      </c>
      <c r="D1183" s="28">
        <v>36944</v>
      </c>
      <c r="E1183" s="14">
        <v>9.246746764593361E-3</v>
      </c>
      <c r="F1183" s="14">
        <v>1.1422815787510254E-2</v>
      </c>
      <c r="G1183" s="14">
        <v>6.2350386906420141E-3</v>
      </c>
      <c r="H1183" s="14">
        <v>6.1313377896866864E-3</v>
      </c>
    </row>
    <row r="1184" spans="2:8" x14ac:dyDescent="0.25">
      <c r="B1184" s="29">
        <v>1176</v>
      </c>
      <c r="C1184" s="30">
        <v>0.85465116279069764</v>
      </c>
      <c r="D1184" s="28">
        <v>36945</v>
      </c>
      <c r="E1184" s="14">
        <v>9.2576815830582859E-3</v>
      </c>
      <c r="F1184" s="14">
        <v>1.1457474188387495E-2</v>
      </c>
      <c r="G1184" s="14">
        <v>6.2466894133639261E-3</v>
      </c>
      <c r="H1184" s="14">
        <v>6.1460324511346982E-3</v>
      </c>
    </row>
    <row r="1185" spans="2:8" x14ac:dyDescent="0.25">
      <c r="B1185" s="29">
        <v>1177</v>
      </c>
      <c r="C1185" s="30">
        <v>0.85537790697674421</v>
      </c>
      <c r="D1185" s="28">
        <v>36948</v>
      </c>
      <c r="E1185" s="14">
        <v>9.2723558070091361E-3</v>
      </c>
      <c r="F1185" s="14">
        <v>1.1493993993993978E-2</v>
      </c>
      <c r="G1185" s="14">
        <v>6.2681107256161717E-3</v>
      </c>
      <c r="H1185" s="14">
        <v>6.1498133062419134E-3</v>
      </c>
    </row>
    <row r="1186" spans="2:8" x14ac:dyDescent="0.25">
      <c r="B1186" s="29">
        <v>1178</v>
      </c>
      <c r="C1186" s="30">
        <v>0.85610465116279066</v>
      </c>
      <c r="D1186" s="28">
        <v>36949</v>
      </c>
      <c r="E1186" s="14">
        <v>9.2770873446526014E-3</v>
      </c>
      <c r="F1186" s="14">
        <v>1.1545272289006148E-2</v>
      </c>
      <c r="G1186" s="14">
        <v>6.2797869358004466E-3</v>
      </c>
      <c r="H1186" s="14">
        <v>6.2179607445614687E-3</v>
      </c>
    </row>
    <row r="1187" spans="2:8" x14ac:dyDescent="0.25">
      <c r="B1187" s="29">
        <v>1179</v>
      </c>
      <c r="C1187" s="30">
        <v>0.85683139534883723</v>
      </c>
      <c r="D1187" s="28">
        <v>36950</v>
      </c>
      <c r="E1187" s="14">
        <v>9.3167861306151512E-3</v>
      </c>
      <c r="F1187" s="14">
        <v>1.1673203307186686E-2</v>
      </c>
      <c r="G1187" s="14">
        <v>6.3192350257537111E-3</v>
      </c>
      <c r="H1187" s="14">
        <v>6.219238239778436E-3</v>
      </c>
    </row>
    <row r="1188" spans="2:8" x14ac:dyDescent="0.25">
      <c r="B1188" s="29">
        <v>1180</v>
      </c>
      <c r="C1188" s="30">
        <v>0.85755813953488369</v>
      </c>
      <c r="D1188" s="28">
        <v>36951</v>
      </c>
      <c r="E1188" s="14">
        <v>9.3227904292696451E-3</v>
      </c>
      <c r="F1188" s="14">
        <v>1.1698496370549538E-2</v>
      </c>
      <c r="G1188" s="14">
        <v>6.3213985823280527E-3</v>
      </c>
      <c r="H1188" s="14">
        <v>6.2397930572778209E-3</v>
      </c>
    </row>
    <row r="1189" spans="2:8" x14ac:dyDescent="0.25">
      <c r="B1189" s="29">
        <v>1181</v>
      </c>
      <c r="C1189" s="30">
        <v>0.85828488372093026</v>
      </c>
      <c r="D1189" s="28">
        <v>36952</v>
      </c>
      <c r="E1189" s="14">
        <v>9.351716302139268E-3</v>
      </c>
      <c r="F1189" s="14">
        <v>1.170593563934097E-2</v>
      </c>
      <c r="G1189" s="14">
        <v>6.3315019264393868E-3</v>
      </c>
      <c r="H1189" s="14">
        <v>6.2465039482923809E-3</v>
      </c>
    </row>
    <row r="1190" spans="2:8" x14ac:dyDescent="0.25">
      <c r="B1190" s="29">
        <v>1182</v>
      </c>
      <c r="C1190" s="30">
        <v>0.85901162790697672</v>
      </c>
      <c r="D1190" s="28">
        <v>36955</v>
      </c>
      <c r="E1190" s="14">
        <v>9.3812905921226708E-3</v>
      </c>
      <c r="F1190" s="14">
        <v>1.1731879587081995E-2</v>
      </c>
      <c r="G1190" s="14">
        <v>6.3389679715302183E-3</v>
      </c>
      <c r="H1190" s="14">
        <v>6.3223699387015232E-3</v>
      </c>
    </row>
    <row r="1191" spans="2:8" x14ac:dyDescent="0.25">
      <c r="B1191" s="29">
        <v>1183</v>
      </c>
      <c r="C1191" s="30">
        <v>0.85973837209302328</v>
      </c>
      <c r="D1191" s="28">
        <v>36956</v>
      </c>
      <c r="E1191" s="14">
        <v>9.4829493574537516E-3</v>
      </c>
      <c r="F1191" s="14">
        <v>1.1768774973376805E-2</v>
      </c>
      <c r="G1191" s="14">
        <v>6.3820422535210142E-3</v>
      </c>
      <c r="H1191" s="14">
        <v>6.3278463536792012E-3</v>
      </c>
    </row>
    <row r="1192" spans="2:8" x14ac:dyDescent="0.25">
      <c r="B1192" s="29">
        <v>1184</v>
      </c>
      <c r="C1192" s="30">
        <v>0.86046511627906974</v>
      </c>
      <c r="D1192" s="28">
        <v>36957</v>
      </c>
      <c r="E1192" s="14">
        <v>9.5073995939203293E-3</v>
      </c>
      <c r="F1192" s="14">
        <v>1.1810675968033868E-2</v>
      </c>
      <c r="G1192" s="14">
        <v>6.4275249302898629E-3</v>
      </c>
      <c r="H1192" s="14">
        <v>6.32888785187975E-3</v>
      </c>
    </row>
    <row r="1193" spans="2:8" x14ac:dyDescent="0.25">
      <c r="B1193" s="29">
        <v>1185</v>
      </c>
      <c r="C1193" s="30">
        <v>0.86119186046511631</v>
      </c>
      <c r="D1193" s="28">
        <v>36958</v>
      </c>
      <c r="E1193" s="14">
        <v>9.5220117871599452E-3</v>
      </c>
      <c r="F1193" s="14">
        <v>1.1828513182516653E-2</v>
      </c>
      <c r="G1193" s="14">
        <v>6.4301393836916354E-3</v>
      </c>
      <c r="H1193" s="14">
        <v>6.3497616386688494E-3</v>
      </c>
    </row>
    <row r="1194" spans="2:8" x14ac:dyDescent="0.25">
      <c r="B1194" s="29">
        <v>1186</v>
      </c>
      <c r="C1194" s="30">
        <v>0.86191860465116277</v>
      </c>
      <c r="D1194" s="28">
        <v>36959</v>
      </c>
      <c r="E1194" s="14">
        <v>9.6003049350759095E-3</v>
      </c>
      <c r="F1194" s="14">
        <v>1.1870628412805617E-2</v>
      </c>
      <c r="G1194" s="14">
        <v>6.4412457362412745E-3</v>
      </c>
      <c r="H1194" s="14">
        <v>6.3748683769000447E-3</v>
      </c>
    </row>
    <row r="1195" spans="2:8" x14ac:dyDescent="0.25">
      <c r="B1195" s="29">
        <v>1187</v>
      </c>
      <c r="C1195" s="30">
        <v>0.86264534883720934</v>
      </c>
      <c r="D1195" s="28">
        <v>36962</v>
      </c>
      <c r="E1195" s="14">
        <v>9.6212751479407554E-3</v>
      </c>
      <c r="F1195" s="14">
        <v>1.1960803580201684E-2</v>
      </c>
      <c r="G1195" s="14">
        <v>6.4509191500201624E-3</v>
      </c>
      <c r="H1195" s="14">
        <v>6.4825756318054317E-3</v>
      </c>
    </row>
    <row r="1196" spans="2:8" x14ac:dyDescent="0.25">
      <c r="B1196" s="29">
        <v>1188</v>
      </c>
      <c r="C1196" s="30">
        <v>0.86337209302325579</v>
      </c>
      <c r="D1196" s="28">
        <v>36963</v>
      </c>
      <c r="E1196" s="14">
        <v>9.6675307548510503E-3</v>
      </c>
      <c r="F1196" s="14">
        <v>1.1974072349014264E-2</v>
      </c>
      <c r="G1196" s="14">
        <v>6.4565357750776542E-3</v>
      </c>
      <c r="H1196" s="14">
        <v>6.4894360733536612E-3</v>
      </c>
    </row>
    <row r="1197" spans="2:8" x14ac:dyDescent="0.25">
      <c r="B1197" s="29">
        <v>1189</v>
      </c>
      <c r="C1197" s="30">
        <v>0.86409883720930236</v>
      </c>
      <c r="D1197" s="28">
        <v>36964</v>
      </c>
      <c r="E1197" s="14">
        <v>9.6689526712387952E-3</v>
      </c>
      <c r="F1197" s="14">
        <v>1.2061782990450576E-2</v>
      </c>
      <c r="G1197" s="14">
        <v>6.4949020058224782E-3</v>
      </c>
      <c r="H1197" s="14">
        <v>6.4951594509799152E-3</v>
      </c>
    </row>
    <row r="1198" spans="2:8" x14ac:dyDescent="0.25">
      <c r="B1198" s="29">
        <v>1190</v>
      </c>
      <c r="C1198" s="30">
        <v>0.86482558139534882</v>
      </c>
      <c r="D1198" s="28">
        <v>36965</v>
      </c>
      <c r="E1198" s="14">
        <v>9.7155760463665253E-3</v>
      </c>
      <c r="F1198" s="14">
        <v>1.2106055240793223E-2</v>
      </c>
      <c r="G1198" s="14">
        <v>6.5037540050689735E-3</v>
      </c>
      <c r="H1198" s="14">
        <v>6.4966497163477799E-3</v>
      </c>
    </row>
    <row r="1199" spans="2:8" x14ac:dyDescent="0.25">
      <c r="B1199" s="29">
        <v>1191</v>
      </c>
      <c r="C1199" s="30">
        <v>0.86555232558139539</v>
      </c>
      <c r="D1199" s="28">
        <v>36966</v>
      </c>
      <c r="E1199" s="14">
        <v>9.7188995215313767E-3</v>
      </c>
      <c r="F1199" s="14">
        <v>1.2127181833587519E-2</v>
      </c>
      <c r="G1199" s="14">
        <v>6.5228787741327121E-3</v>
      </c>
      <c r="H1199" s="14">
        <v>6.534611407750069E-3</v>
      </c>
    </row>
    <row r="1200" spans="2:8" x14ac:dyDescent="0.25">
      <c r="B1200" s="29">
        <v>1192</v>
      </c>
      <c r="C1200" s="30">
        <v>0.86627906976744184</v>
      </c>
      <c r="D1200" s="28">
        <v>36969</v>
      </c>
      <c r="E1200" s="14">
        <v>9.7925575282222788E-3</v>
      </c>
      <c r="F1200" s="14">
        <v>1.2169663117472584E-2</v>
      </c>
      <c r="G1200" s="14">
        <v>6.5419532783679291E-3</v>
      </c>
      <c r="H1200" s="14">
        <v>6.5455478852957773E-3</v>
      </c>
    </row>
    <row r="1201" spans="2:8" x14ac:dyDescent="0.25">
      <c r="B1201" s="29">
        <v>1193</v>
      </c>
      <c r="C1201" s="30">
        <v>0.86700581395348841</v>
      </c>
      <c r="D1201" s="28">
        <v>36970</v>
      </c>
      <c r="E1201" s="14">
        <v>9.7993956689608197E-3</v>
      </c>
      <c r="F1201" s="14">
        <v>1.2194843801081046E-2</v>
      </c>
      <c r="G1201" s="14">
        <v>6.5684676211561488E-3</v>
      </c>
      <c r="H1201" s="14">
        <v>6.5714103664531462E-3</v>
      </c>
    </row>
    <row r="1202" spans="2:8" x14ac:dyDescent="0.25">
      <c r="B1202" s="29">
        <v>1194</v>
      </c>
      <c r="C1202" s="30">
        <v>0.86773255813953487</v>
      </c>
      <c r="D1202" s="28">
        <v>36971</v>
      </c>
      <c r="E1202" s="14">
        <v>9.7999431887350053E-3</v>
      </c>
      <c r="F1202" s="14">
        <v>1.227321237993606E-2</v>
      </c>
      <c r="G1202" s="14">
        <v>6.5842650153500326E-3</v>
      </c>
      <c r="H1202" s="14">
        <v>6.5887151860279051E-3</v>
      </c>
    </row>
    <row r="1203" spans="2:8" x14ac:dyDescent="0.25">
      <c r="B1203" s="29">
        <v>1195</v>
      </c>
      <c r="C1203" s="30">
        <v>0.86845930232558144</v>
      </c>
      <c r="D1203" s="28">
        <v>36972</v>
      </c>
      <c r="E1203" s="14">
        <v>9.8004045167703335E-3</v>
      </c>
      <c r="F1203" s="14">
        <v>1.2310568656107357E-2</v>
      </c>
      <c r="G1203" s="14">
        <v>6.6137128632755005E-3</v>
      </c>
      <c r="H1203" s="14">
        <v>6.6160170195301632E-3</v>
      </c>
    </row>
    <row r="1204" spans="2:8" x14ac:dyDescent="0.25">
      <c r="B1204" s="29">
        <v>1196</v>
      </c>
      <c r="C1204" s="30">
        <v>0.8691860465116279</v>
      </c>
      <c r="D1204" s="28">
        <v>36973</v>
      </c>
      <c r="E1204" s="14">
        <v>9.8199672667758087E-3</v>
      </c>
      <c r="F1204" s="14">
        <v>1.2314630127482351E-2</v>
      </c>
      <c r="G1204" s="14">
        <v>6.6217472118959009E-3</v>
      </c>
      <c r="H1204" s="14">
        <v>6.6725893926686385E-3</v>
      </c>
    </row>
    <row r="1205" spans="2:8" x14ac:dyDescent="0.25">
      <c r="B1205" s="29">
        <v>1197</v>
      </c>
      <c r="C1205" s="30">
        <v>0.86991279069767447</v>
      </c>
      <c r="D1205" s="28">
        <v>36976</v>
      </c>
      <c r="E1205" s="14">
        <v>9.8247194086529266E-3</v>
      </c>
      <c r="F1205" s="14">
        <v>1.2323084431429931E-2</v>
      </c>
      <c r="G1205" s="14">
        <v>6.6384658967897359E-3</v>
      </c>
      <c r="H1205" s="14">
        <v>6.7037592859005906E-3</v>
      </c>
    </row>
    <row r="1206" spans="2:8" x14ac:dyDescent="0.25">
      <c r="B1206" s="29">
        <v>1198</v>
      </c>
      <c r="C1206" s="30">
        <v>0.87063953488372092</v>
      </c>
      <c r="D1206" s="28">
        <v>36977</v>
      </c>
      <c r="E1206" s="14">
        <v>9.8260066127242585E-3</v>
      </c>
      <c r="F1206" s="14">
        <v>1.2404256018584414E-2</v>
      </c>
      <c r="G1206" s="14">
        <v>6.6388991864267943E-3</v>
      </c>
      <c r="H1206" s="14">
        <v>6.7102274297360601E-3</v>
      </c>
    </row>
    <row r="1207" spans="2:8" x14ac:dyDescent="0.25">
      <c r="B1207" s="29">
        <v>1199</v>
      </c>
      <c r="C1207" s="30">
        <v>0.87136627906976749</v>
      </c>
      <c r="D1207" s="28">
        <v>36978</v>
      </c>
      <c r="E1207" s="14">
        <v>9.8347390370669974E-3</v>
      </c>
      <c r="F1207" s="14">
        <v>1.241794133816243E-2</v>
      </c>
      <c r="G1207" s="14">
        <v>6.6659668276294326E-3</v>
      </c>
      <c r="H1207" s="14">
        <v>6.7385694481571614E-3</v>
      </c>
    </row>
    <row r="1208" spans="2:8" x14ac:dyDescent="0.25">
      <c r="B1208" s="29">
        <v>1200</v>
      </c>
      <c r="C1208" s="30">
        <v>0.87209302325581395</v>
      </c>
      <c r="D1208" s="28">
        <v>36979</v>
      </c>
      <c r="E1208" s="14">
        <v>9.8851262914774196E-3</v>
      </c>
      <c r="F1208" s="14">
        <v>1.2466015167967193E-2</v>
      </c>
      <c r="G1208" s="14">
        <v>6.727032405666078E-3</v>
      </c>
      <c r="H1208" s="14">
        <v>6.7530726439130719E-3</v>
      </c>
    </row>
    <row r="1209" spans="2:8" x14ac:dyDescent="0.25">
      <c r="B1209" s="29">
        <v>1201</v>
      </c>
      <c r="C1209" s="30">
        <v>0.87281976744186052</v>
      </c>
      <c r="D1209" s="28">
        <v>36980</v>
      </c>
      <c r="E1209" s="14">
        <v>9.8923868725351305E-3</v>
      </c>
      <c r="F1209" s="14">
        <v>1.2493084627643425E-2</v>
      </c>
      <c r="G1209" s="14">
        <v>6.7545382053568748E-3</v>
      </c>
      <c r="H1209" s="14">
        <v>6.7907614685019718E-3</v>
      </c>
    </row>
    <row r="1210" spans="2:8" x14ac:dyDescent="0.25">
      <c r="B1210" s="29">
        <v>1202</v>
      </c>
      <c r="C1210" s="30">
        <v>0.87354651162790697</v>
      </c>
      <c r="D1210" s="28">
        <v>36983</v>
      </c>
      <c r="E1210" s="14">
        <v>9.8948047237112924E-3</v>
      </c>
      <c r="F1210" s="14">
        <v>1.2529230058604623E-2</v>
      </c>
      <c r="G1210" s="14">
        <v>6.7678077942587844E-3</v>
      </c>
      <c r="H1210" s="14">
        <v>6.8000473131736077E-3</v>
      </c>
    </row>
    <row r="1211" spans="2:8" x14ac:dyDescent="0.25">
      <c r="B1211" s="29">
        <v>1203</v>
      </c>
      <c r="C1211" s="30">
        <v>0.87427325581395354</v>
      </c>
      <c r="D1211" s="28">
        <v>36984</v>
      </c>
      <c r="E1211" s="14">
        <v>9.8951496070056599E-3</v>
      </c>
      <c r="F1211" s="14">
        <v>1.2550881953866888E-2</v>
      </c>
      <c r="G1211" s="14">
        <v>6.7796610169492677E-3</v>
      </c>
      <c r="H1211" s="14">
        <v>6.8017143570587198E-3</v>
      </c>
    </row>
    <row r="1212" spans="2:8" x14ac:dyDescent="0.25">
      <c r="B1212" s="29">
        <v>1204</v>
      </c>
      <c r="C1212" s="30">
        <v>0.875</v>
      </c>
      <c r="D1212" s="28">
        <v>36985</v>
      </c>
      <c r="E1212" s="14">
        <v>9.9708885763971633E-3</v>
      </c>
      <c r="F1212" s="14">
        <v>1.2612989184387802E-2</v>
      </c>
      <c r="G1212" s="14">
        <v>6.8478718921196613E-3</v>
      </c>
      <c r="H1212" s="14">
        <v>6.8280165150553795E-3</v>
      </c>
    </row>
    <row r="1213" spans="2:8" x14ac:dyDescent="0.25">
      <c r="B1213" s="29">
        <v>1205</v>
      </c>
      <c r="C1213" s="30">
        <v>0.87572674418604646</v>
      </c>
      <c r="D1213" s="28">
        <v>36986</v>
      </c>
      <c r="E1213" s="14">
        <v>1.0046769443963433E-2</v>
      </c>
      <c r="F1213" s="14">
        <v>1.275282002050937E-2</v>
      </c>
      <c r="G1213" s="14">
        <v>6.8542395628625741E-3</v>
      </c>
      <c r="H1213" s="14">
        <v>6.8294731298353967E-3</v>
      </c>
    </row>
    <row r="1214" spans="2:8" x14ac:dyDescent="0.25">
      <c r="B1214" s="29">
        <v>1206</v>
      </c>
      <c r="C1214" s="30">
        <v>0.87645348837209303</v>
      </c>
      <c r="D1214" s="28">
        <v>36987</v>
      </c>
      <c r="E1214" s="14">
        <v>1.0047408158885496E-2</v>
      </c>
      <c r="F1214" s="14">
        <v>1.2848128147563864E-2</v>
      </c>
      <c r="G1214" s="14">
        <v>6.8808643730451369E-3</v>
      </c>
      <c r="H1214" s="14">
        <v>6.8486740453997724E-3</v>
      </c>
    </row>
    <row r="1215" spans="2:8" x14ac:dyDescent="0.25">
      <c r="B1215" s="29">
        <v>1207</v>
      </c>
      <c r="C1215" s="30">
        <v>0.87718023255813948</v>
      </c>
      <c r="D1215" s="28">
        <v>36990</v>
      </c>
      <c r="E1215" s="14">
        <v>1.0063876067872179E-2</v>
      </c>
      <c r="F1215" s="14">
        <v>1.2879741350074081E-2</v>
      </c>
      <c r="G1215" s="14">
        <v>6.8818101246026497E-3</v>
      </c>
      <c r="H1215" s="14">
        <v>6.8587778482510856E-3</v>
      </c>
    </row>
    <row r="1216" spans="2:8" x14ac:dyDescent="0.25">
      <c r="B1216" s="29">
        <v>1208</v>
      </c>
      <c r="C1216" s="30">
        <v>0.87790697674418605</v>
      </c>
      <c r="D1216" s="28">
        <v>36991</v>
      </c>
      <c r="E1216" s="14">
        <v>1.0206162277152764E-2</v>
      </c>
      <c r="F1216" s="14">
        <v>1.2943201910847746E-2</v>
      </c>
      <c r="G1216" s="14">
        <v>6.9074518527190154E-3</v>
      </c>
      <c r="H1216" s="14">
        <v>6.8638588585590915E-3</v>
      </c>
    </row>
    <row r="1217" spans="2:8" x14ac:dyDescent="0.25">
      <c r="B1217" s="29">
        <v>1209</v>
      </c>
      <c r="C1217" s="30">
        <v>0.87863372093023251</v>
      </c>
      <c r="D1217" s="28">
        <v>36992</v>
      </c>
      <c r="E1217" s="14">
        <v>1.0304384802515942E-2</v>
      </c>
      <c r="F1217" s="14">
        <v>1.2966108280325628E-2</v>
      </c>
      <c r="G1217" s="14">
        <v>6.9150122685703863E-3</v>
      </c>
      <c r="H1217" s="14">
        <v>6.8665807093285739E-3</v>
      </c>
    </row>
    <row r="1218" spans="2:8" x14ac:dyDescent="0.25">
      <c r="B1218" s="29">
        <v>1210</v>
      </c>
      <c r="C1218" s="30">
        <v>0.87936046511627908</v>
      </c>
      <c r="D1218" s="28">
        <v>36993</v>
      </c>
      <c r="E1218" s="14">
        <v>1.030933419761193E-2</v>
      </c>
      <c r="F1218" s="14">
        <v>1.2982431383616655E-2</v>
      </c>
      <c r="G1218" s="14">
        <v>6.988934187536211E-3</v>
      </c>
      <c r="H1218" s="14">
        <v>6.8769070751116164E-3</v>
      </c>
    </row>
    <row r="1219" spans="2:8" x14ac:dyDescent="0.25">
      <c r="B1219" s="29">
        <v>1211</v>
      </c>
      <c r="C1219" s="30">
        <v>0.88008720930232553</v>
      </c>
      <c r="D1219" s="28">
        <v>36994</v>
      </c>
      <c r="E1219" s="14">
        <v>1.037431924522525E-2</v>
      </c>
      <c r="F1219" s="14">
        <v>1.2990190275508962E-2</v>
      </c>
      <c r="G1219" s="14">
        <v>6.9967707212057473E-3</v>
      </c>
      <c r="H1219" s="14">
        <v>6.8971876703933796E-3</v>
      </c>
    </row>
    <row r="1220" spans="2:8" x14ac:dyDescent="0.25">
      <c r="B1220" s="29">
        <v>1212</v>
      </c>
      <c r="C1220" s="30">
        <v>0.8808139534883721</v>
      </c>
      <c r="D1220" s="28">
        <v>36997</v>
      </c>
      <c r="E1220" s="14">
        <v>1.0433912139529378E-2</v>
      </c>
      <c r="F1220" s="14">
        <v>1.3031498994712898E-2</v>
      </c>
      <c r="G1220" s="14">
        <v>7.0041881095257441E-3</v>
      </c>
      <c r="H1220" s="14">
        <v>6.9183619700572416E-3</v>
      </c>
    </row>
    <row r="1221" spans="2:8" x14ac:dyDescent="0.25">
      <c r="B1221" s="29">
        <v>1213</v>
      </c>
      <c r="C1221" s="30">
        <v>0.88154069767441856</v>
      </c>
      <c r="D1221" s="28">
        <v>36998</v>
      </c>
      <c r="E1221" s="14">
        <v>1.0442098937009314E-2</v>
      </c>
      <c r="F1221" s="14">
        <v>1.3129754460055709E-2</v>
      </c>
      <c r="G1221" s="14">
        <v>7.0046582632328214E-3</v>
      </c>
      <c r="H1221" s="14">
        <v>6.9253173321367273E-3</v>
      </c>
    </row>
    <row r="1222" spans="2:8" x14ac:dyDescent="0.25">
      <c r="B1222" s="29">
        <v>1214</v>
      </c>
      <c r="C1222" s="30">
        <v>0.88226744186046513</v>
      </c>
      <c r="D1222" s="28">
        <v>36999</v>
      </c>
      <c r="E1222" s="14">
        <v>1.0444244234182554E-2</v>
      </c>
      <c r="F1222" s="14">
        <v>1.3317122130739545E-2</v>
      </c>
      <c r="G1222" s="14">
        <v>7.0609501214482506E-3</v>
      </c>
      <c r="H1222" s="14">
        <v>6.9658218561880593E-3</v>
      </c>
    </row>
    <row r="1223" spans="2:8" x14ac:dyDescent="0.25">
      <c r="B1223" s="29">
        <v>1215</v>
      </c>
      <c r="C1223" s="30">
        <v>0.88299418604651159</v>
      </c>
      <c r="D1223" s="28">
        <v>37000</v>
      </c>
      <c r="E1223" s="14">
        <v>1.0475440202695419E-2</v>
      </c>
      <c r="F1223" s="14">
        <v>1.3398195456027828E-2</v>
      </c>
      <c r="G1223" s="14">
        <v>7.0847843525478904E-3</v>
      </c>
      <c r="H1223" s="14">
        <v>6.9676746156722936E-3</v>
      </c>
    </row>
    <row r="1224" spans="2:8" x14ac:dyDescent="0.25">
      <c r="B1224" s="29">
        <v>1216</v>
      </c>
      <c r="C1224" s="30">
        <v>0.88372093023255816</v>
      </c>
      <c r="D1224" s="28">
        <v>37001</v>
      </c>
      <c r="E1224" s="14">
        <v>1.0521356783919522E-2</v>
      </c>
      <c r="F1224" s="14">
        <v>1.3414008067473393E-2</v>
      </c>
      <c r="G1224" s="14">
        <v>7.1078071535948251E-3</v>
      </c>
      <c r="H1224" s="14">
        <v>7.0061963679290302E-3</v>
      </c>
    </row>
    <row r="1225" spans="2:8" x14ac:dyDescent="0.25">
      <c r="B1225" s="29">
        <v>1217</v>
      </c>
      <c r="C1225" s="30">
        <v>0.88444767441860461</v>
      </c>
      <c r="D1225" s="28">
        <v>37004</v>
      </c>
      <c r="E1225" s="14">
        <v>1.0533356177996556E-2</v>
      </c>
      <c r="F1225" s="14">
        <v>1.3531222381373276E-2</v>
      </c>
      <c r="G1225" s="14">
        <v>7.1318324551601364E-3</v>
      </c>
      <c r="H1225" s="14">
        <v>7.1420150327174085E-3</v>
      </c>
    </row>
    <row r="1226" spans="2:8" x14ac:dyDescent="0.25">
      <c r="B1226" s="29">
        <v>1218</v>
      </c>
      <c r="C1226" s="30">
        <v>0.88517441860465118</v>
      </c>
      <c r="D1226" s="28">
        <v>37005</v>
      </c>
      <c r="E1226" s="14">
        <v>1.0551807645736044E-2</v>
      </c>
      <c r="F1226" s="14">
        <v>1.3569685430019351E-2</v>
      </c>
      <c r="G1226" s="14">
        <v>7.1788975844022662E-3</v>
      </c>
      <c r="H1226" s="14">
        <v>7.1955597544329127E-3</v>
      </c>
    </row>
    <row r="1227" spans="2:8" x14ac:dyDescent="0.25">
      <c r="B1227" s="29">
        <v>1219</v>
      </c>
      <c r="C1227" s="30">
        <v>0.88590116279069764</v>
      </c>
      <c r="D1227" s="28">
        <v>37006</v>
      </c>
      <c r="E1227" s="14">
        <v>1.0580314203270103E-2</v>
      </c>
      <c r="F1227" s="14">
        <v>1.3581955866786233E-2</v>
      </c>
      <c r="G1227" s="14">
        <v>7.1976401179942862E-3</v>
      </c>
      <c r="H1227" s="14">
        <v>7.1957049134781844E-3</v>
      </c>
    </row>
    <row r="1228" spans="2:8" x14ac:dyDescent="0.25">
      <c r="B1228" s="29">
        <v>1220</v>
      </c>
      <c r="C1228" s="30">
        <v>0.88662790697674421</v>
      </c>
      <c r="D1228" s="28">
        <v>37007</v>
      </c>
      <c r="E1228" s="14">
        <v>1.0612860506180155E-2</v>
      </c>
      <c r="F1228" s="14">
        <v>1.358987082419616E-2</v>
      </c>
      <c r="G1228" s="14">
        <v>7.2190668294493943E-3</v>
      </c>
      <c r="H1228" s="14">
        <v>7.2034521426330052E-3</v>
      </c>
    </row>
    <row r="1229" spans="2:8" x14ac:dyDescent="0.25">
      <c r="B1229" s="29">
        <v>1221</v>
      </c>
      <c r="C1229" s="30">
        <v>0.88735465116279066</v>
      </c>
      <c r="D1229" s="28">
        <v>37008</v>
      </c>
      <c r="E1229" s="14">
        <v>1.0650135113654313E-2</v>
      </c>
      <c r="F1229" s="14">
        <v>1.360601201445566E-2</v>
      </c>
      <c r="G1229" s="14">
        <v>7.303807705642873E-3</v>
      </c>
      <c r="H1229" s="14">
        <v>7.2051140981886251E-3</v>
      </c>
    </row>
    <row r="1230" spans="2:8" x14ac:dyDescent="0.25">
      <c r="B1230" s="29">
        <v>1222</v>
      </c>
      <c r="C1230" s="30">
        <v>0.88808139534883723</v>
      </c>
      <c r="D1230" s="28">
        <v>37011</v>
      </c>
      <c r="E1230" s="14">
        <v>1.0653478507340219E-2</v>
      </c>
      <c r="F1230" s="14">
        <v>1.3627090983272305E-2</v>
      </c>
      <c r="G1230" s="14">
        <v>7.3234877012011701E-3</v>
      </c>
      <c r="H1230" s="14">
        <v>7.2365415210253756E-3</v>
      </c>
    </row>
    <row r="1231" spans="2:8" x14ac:dyDescent="0.25">
      <c r="B1231" s="29">
        <v>1223</v>
      </c>
      <c r="C1231" s="30">
        <v>0.88880813953488369</v>
      </c>
      <c r="D1231" s="28">
        <v>37012</v>
      </c>
      <c r="E1231" s="14">
        <v>1.0672970300608542E-2</v>
      </c>
      <c r="F1231" s="14">
        <v>1.3721747309596743E-2</v>
      </c>
      <c r="G1231" s="14">
        <v>7.3334595003786696E-3</v>
      </c>
      <c r="H1231" s="14">
        <v>7.2488091664168145E-3</v>
      </c>
    </row>
    <row r="1232" spans="2:8" x14ac:dyDescent="0.25">
      <c r="B1232" s="29">
        <v>1224</v>
      </c>
      <c r="C1232" s="30">
        <v>0.88953488372093026</v>
      </c>
      <c r="D1232" s="28">
        <v>37013</v>
      </c>
      <c r="E1232" s="14">
        <v>1.068158697863697E-2</v>
      </c>
      <c r="F1232" s="14">
        <v>1.3737155219037289E-2</v>
      </c>
      <c r="G1232" s="14">
        <v>7.356418475119364E-3</v>
      </c>
      <c r="H1232" s="14">
        <v>7.284410597522095E-3</v>
      </c>
    </row>
    <row r="1233" spans="2:8" x14ac:dyDescent="0.25">
      <c r="B1233" s="29">
        <v>1225</v>
      </c>
      <c r="C1233" s="30">
        <v>0.89026162790697672</v>
      </c>
      <c r="D1233" s="28">
        <v>37014</v>
      </c>
      <c r="E1233" s="14">
        <v>1.0703363914372988E-2</v>
      </c>
      <c r="F1233" s="14">
        <v>1.3745594701930264E-2</v>
      </c>
      <c r="G1233" s="14">
        <v>7.3664825046038107E-3</v>
      </c>
      <c r="H1233" s="14">
        <v>7.2964206726585214E-3</v>
      </c>
    </row>
    <row r="1234" spans="2:8" x14ac:dyDescent="0.25">
      <c r="B1234" s="29">
        <v>1226</v>
      </c>
      <c r="C1234" s="30">
        <v>0.89098837209302328</v>
      </c>
      <c r="D1234" s="28">
        <v>37015</v>
      </c>
      <c r="E1234" s="14">
        <v>1.0779029887310054E-2</v>
      </c>
      <c r="F1234" s="14">
        <v>1.3800935605661868E-2</v>
      </c>
      <c r="G1234" s="14">
        <v>7.3927251299084062E-3</v>
      </c>
      <c r="H1234" s="14">
        <v>7.3002311328849608E-3</v>
      </c>
    </row>
    <row r="1235" spans="2:8" x14ac:dyDescent="0.25">
      <c r="B1235" s="29">
        <v>1227</v>
      </c>
      <c r="C1235" s="30">
        <v>0.89171511627906974</v>
      </c>
      <c r="D1235" s="28">
        <v>37018</v>
      </c>
      <c r="E1235" s="14">
        <v>1.0801837224553745E-2</v>
      </c>
      <c r="F1235" s="14">
        <v>1.3837645063316861E-2</v>
      </c>
      <c r="G1235" s="14">
        <v>7.4659132316061694E-3</v>
      </c>
      <c r="H1235" s="14">
        <v>7.3099342165522828E-3</v>
      </c>
    </row>
    <row r="1236" spans="2:8" x14ac:dyDescent="0.25">
      <c r="B1236" s="29">
        <v>1228</v>
      </c>
      <c r="C1236" s="30">
        <v>0.89244186046511631</v>
      </c>
      <c r="D1236" s="28">
        <v>37019</v>
      </c>
      <c r="E1236" s="14">
        <v>1.0843885442338941E-2</v>
      </c>
      <c r="F1236" s="14">
        <v>1.3949181870617E-2</v>
      </c>
      <c r="G1236" s="14">
        <v>7.4794700483431509E-3</v>
      </c>
      <c r="H1236" s="14">
        <v>7.3169501154142225E-3</v>
      </c>
    </row>
    <row r="1237" spans="2:8" x14ac:dyDescent="0.25">
      <c r="B1237" s="29">
        <v>1229</v>
      </c>
      <c r="C1237" s="30">
        <v>0.89316860465116277</v>
      </c>
      <c r="D1237" s="28">
        <v>37020</v>
      </c>
      <c r="E1237" s="14">
        <v>1.0869466382576576E-2</v>
      </c>
      <c r="F1237" s="14">
        <v>1.3957898729376028E-2</v>
      </c>
      <c r="G1237" s="14">
        <v>7.5163219399791981E-3</v>
      </c>
      <c r="H1237" s="14">
        <v>7.3236286253291379E-3</v>
      </c>
    </row>
    <row r="1238" spans="2:8" x14ac:dyDescent="0.25">
      <c r="B1238" s="29">
        <v>1230</v>
      </c>
      <c r="C1238" s="30">
        <v>0.89389534883720934</v>
      </c>
      <c r="D1238" s="28">
        <v>37021</v>
      </c>
      <c r="E1238" s="14">
        <v>1.0941453625338049E-2</v>
      </c>
      <c r="F1238" s="14">
        <v>1.3990911122699901E-2</v>
      </c>
      <c r="G1238" s="14">
        <v>7.6146157332324105E-3</v>
      </c>
      <c r="H1238" s="14">
        <v>7.3892797480775933E-3</v>
      </c>
    </row>
    <row r="1239" spans="2:8" x14ac:dyDescent="0.25">
      <c r="B1239" s="29">
        <v>1231</v>
      </c>
      <c r="C1239" s="30">
        <v>0.89462209302325579</v>
      </c>
      <c r="D1239" s="28">
        <v>37022</v>
      </c>
      <c r="E1239" s="14">
        <v>1.0983293521581894E-2</v>
      </c>
      <c r="F1239" s="14">
        <v>1.4054113009403402E-2</v>
      </c>
      <c r="G1239" s="14">
        <v>7.6168224299064669E-3</v>
      </c>
      <c r="H1239" s="14">
        <v>7.4620197600458573E-3</v>
      </c>
    </row>
    <row r="1240" spans="2:8" x14ac:dyDescent="0.25">
      <c r="B1240" s="29">
        <v>1232</v>
      </c>
      <c r="C1240" s="30">
        <v>0.89534883720930236</v>
      </c>
      <c r="D1240" s="28">
        <v>37025</v>
      </c>
      <c r="E1240" s="14">
        <v>1.0985178605143364E-2</v>
      </c>
      <c r="F1240" s="14">
        <v>1.425658103986982E-2</v>
      </c>
      <c r="G1240" s="14">
        <v>7.646656014608455E-3</v>
      </c>
      <c r="H1240" s="14">
        <v>7.4714006325893763E-3</v>
      </c>
    </row>
    <row r="1241" spans="2:8" x14ac:dyDescent="0.25">
      <c r="B1241" s="29">
        <v>1233</v>
      </c>
      <c r="C1241" s="30">
        <v>0.89607558139534882</v>
      </c>
      <c r="D1241" s="28">
        <v>37026</v>
      </c>
      <c r="E1241" s="14">
        <v>1.1044060191094829E-2</v>
      </c>
      <c r="F1241" s="14">
        <v>1.4258376381314664E-2</v>
      </c>
      <c r="G1241" s="14">
        <v>7.6534517771713606E-3</v>
      </c>
      <c r="H1241" s="14">
        <v>7.4728824634809682E-3</v>
      </c>
    </row>
    <row r="1242" spans="2:8" x14ac:dyDescent="0.25">
      <c r="B1242" s="29">
        <v>1234</v>
      </c>
      <c r="C1242" s="30">
        <v>0.89680232558139539</v>
      </c>
      <c r="D1242" s="28">
        <v>37027</v>
      </c>
      <c r="E1242" s="14">
        <v>1.1142308785897059E-2</v>
      </c>
      <c r="F1242" s="14">
        <v>1.4311994113318516E-2</v>
      </c>
      <c r="G1242" s="14">
        <v>7.7192598270010571E-3</v>
      </c>
      <c r="H1242" s="14">
        <v>7.4952127438041149E-3</v>
      </c>
    </row>
    <row r="1243" spans="2:8" x14ac:dyDescent="0.25">
      <c r="B1243" s="29">
        <v>1235</v>
      </c>
      <c r="C1243" s="30">
        <v>0.89752906976744184</v>
      </c>
      <c r="D1243" s="28">
        <v>37028</v>
      </c>
      <c r="E1243" s="14">
        <v>1.1144704255250604E-2</v>
      </c>
      <c r="F1243" s="14">
        <v>1.4405891945011406E-2</v>
      </c>
      <c r="G1243" s="14">
        <v>7.7305356156818217E-3</v>
      </c>
      <c r="H1243" s="14">
        <v>7.5268163647312925E-3</v>
      </c>
    </row>
    <row r="1244" spans="2:8" x14ac:dyDescent="0.25">
      <c r="B1244" s="29">
        <v>1236</v>
      </c>
      <c r="C1244" s="30">
        <v>0.89825581395348841</v>
      </c>
      <c r="D1244" s="28">
        <v>37029</v>
      </c>
      <c r="E1244" s="14">
        <v>1.1361737677527017E-2</v>
      </c>
      <c r="F1244" s="14">
        <v>1.4431893482917513E-2</v>
      </c>
      <c r="G1244" s="14">
        <v>7.7330747321744386E-3</v>
      </c>
      <c r="H1244" s="14">
        <v>7.5366251058004881E-3</v>
      </c>
    </row>
    <row r="1245" spans="2:8" x14ac:dyDescent="0.25">
      <c r="B1245" s="29">
        <v>1237</v>
      </c>
      <c r="C1245" s="30">
        <v>0.89898255813953487</v>
      </c>
      <c r="D1245" s="28">
        <v>37032</v>
      </c>
      <c r="E1245" s="14">
        <v>1.137343544833791E-2</v>
      </c>
      <c r="F1245" s="14">
        <v>1.444040429928406E-2</v>
      </c>
      <c r="G1245" s="14">
        <v>7.7336348241332509E-3</v>
      </c>
      <c r="H1245" s="14">
        <v>7.5418263256164632E-3</v>
      </c>
    </row>
    <row r="1246" spans="2:8" x14ac:dyDescent="0.25">
      <c r="B1246" s="29">
        <v>1238</v>
      </c>
      <c r="C1246" s="30">
        <v>0.89970930232558144</v>
      </c>
      <c r="D1246" s="28">
        <v>37033</v>
      </c>
      <c r="E1246" s="14">
        <v>1.1442240327233177E-2</v>
      </c>
      <c r="F1246" s="14">
        <v>1.4518118176212402E-2</v>
      </c>
      <c r="G1246" s="14">
        <v>7.7367917564421518E-3</v>
      </c>
      <c r="H1246" s="14">
        <v>7.5535850548829504E-3</v>
      </c>
    </row>
    <row r="1247" spans="2:8" x14ac:dyDescent="0.25">
      <c r="B1247" s="29">
        <v>1239</v>
      </c>
      <c r="C1247" s="30">
        <v>0.9004360465116279</v>
      </c>
      <c r="D1247" s="28">
        <v>37034</v>
      </c>
      <c r="E1247" s="14">
        <v>1.1517899516279906E-2</v>
      </c>
      <c r="F1247" s="14">
        <v>1.4567324255905678E-2</v>
      </c>
      <c r="G1247" s="14">
        <v>7.7596006523996675E-3</v>
      </c>
      <c r="H1247" s="14">
        <v>7.5553765732576219E-3</v>
      </c>
    </row>
    <row r="1248" spans="2:8" x14ac:dyDescent="0.25">
      <c r="B1248" s="29">
        <v>1240</v>
      </c>
      <c r="C1248" s="30">
        <v>0.90116279069767447</v>
      </c>
      <c r="D1248" s="28">
        <v>37035</v>
      </c>
      <c r="E1248" s="14">
        <v>1.1572823602742366E-2</v>
      </c>
      <c r="F1248" s="14">
        <v>1.4589856682715618E-2</v>
      </c>
      <c r="G1248" s="14">
        <v>7.7837472995663237E-3</v>
      </c>
      <c r="H1248" s="14">
        <v>7.5863931971298822E-3</v>
      </c>
    </row>
    <row r="1249" spans="2:8" x14ac:dyDescent="0.25">
      <c r="B1249" s="29">
        <v>1241</v>
      </c>
      <c r="C1249" s="30">
        <v>0.90188953488372092</v>
      </c>
      <c r="D1249" s="28">
        <v>37036</v>
      </c>
      <c r="E1249" s="14">
        <v>1.1636916447294476E-2</v>
      </c>
      <c r="F1249" s="14">
        <v>1.463298512896638E-2</v>
      </c>
      <c r="G1249" s="14">
        <v>7.840807840807873E-3</v>
      </c>
      <c r="H1249" s="14">
        <v>7.6357811821907706E-3</v>
      </c>
    </row>
    <row r="1250" spans="2:8" x14ac:dyDescent="0.25">
      <c r="B1250" s="29">
        <v>1242</v>
      </c>
      <c r="C1250" s="30">
        <v>0.90261627906976749</v>
      </c>
      <c r="D1250" s="28">
        <v>37039</v>
      </c>
      <c r="E1250" s="14">
        <v>1.1647349420482733E-2</v>
      </c>
      <c r="F1250" s="14">
        <v>1.4667522499760999E-2</v>
      </c>
      <c r="G1250" s="14">
        <v>7.8774903634521998E-3</v>
      </c>
      <c r="H1250" s="14">
        <v>7.6567673010376602E-3</v>
      </c>
    </row>
    <row r="1251" spans="2:8" x14ac:dyDescent="0.25">
      <c r="B1251" s="29">
        <v>1243</v>
      </c>
      <c r="C1251" s="30">
        <v>0.90334302325581395</v>
      </c>
      <c r="D1251" s="28">
        <v>37040</v>
      </c>
      <c r="E1251" s="14">
        <v>1.1774563925188053E-2</v>
      </c>
      <c r="F1251" s="14">
        <v>1.4678302428990708E-2</v>
      </c>
      <c r="G1251" s="14">
        <v>7.8812097109093315E-3</v>
      </c>
      <c r="H1251" s="14">
        <v>7.6998752877547091E-3</v>
      </c>
    </row>
    <row r="1252" spans="2:8" x14ac:dyDescent="0.25">
      <c r="B1252" s="29">
        <v>1244</v>
      </c>
      <c r="C1252" s="30">
        <v>0.90406976744186052</v>
      </c>
      <c r="D1252" s="28">
        <v>37041</v>
      </c>
      <c r="E1252" s="14">
        <v>1.1862613437512826E-2</v>
      </c>
      <c r="F1252" s="14">
        <v>1.4729342663427625E-2</v>
      </c>
      <c r="G1252" s="14">
        <v>7.8874061656664107E-3</v>
      </c>
      <c r="H1252" s="14">
        <v>7.7002589847966268E-3</v>
      </c>
    </row>
    <row r="1253" spans="2:8" x14ac:dyDescent="0.25">
      <c r="B1253" s="29">
        <v>1245</v>
      </c>
      <c r="C1253" s="30">
        <v>0.90479651162790697</v>
      </c>
      <c r="D1253" s="28">
        <v>37042</v>
      </c>
      <c r="E1253" s="14">
        <v>1.1898805259229928E-2</v>
      </c>
      <c r="F1253" s="14">
        <v>1.477686794939026E-2</v>
      </c>
      <c r="G1253" s="14">
        <v>7.9178886587525366E-3</v>
      </c>
      <c r="H1253" s="14">
        <v>7.7538773250160906E-3</v>
      </c>
    </row>
    <row r="1254" spans="2:8" x14ac:dyDescent="0.25">
      <c r="B1254" s="29">
        <v>1246</v>
      </c>
      <c r="C1254" s="30">
        <v>0.90552325581395354</v>
      </c>
      <c r="D1254" s="28">
        <v>37043</v>
      </c>
      <c r="E1254" s="14">
        <v>1.1965424829200044E-2</v>
      </c>
      <c r="F1254" s="14">
        <v>1.4816600729870899E-2</v>
      </c>
      <c r="G1254" s="14">
        <v>7.9649685893923294E-3</v>
      </c>
      <c r="H1254" s="14">
        <v>7.8084580788052357E-3</v>
      </c>
    </row>
    <row r="1255" spans="2:8" x14ac:dyDescent="0.25">
      <c r="B1255" s="29">
        <v>1247</v>
      </c>
      <c r="C1255" s="30">
        <v>0.90625</v>
      </c>
      <c r="D1255" s="28">
        <v>37046</v>
      </c>
      <c r="E1255" s="14">
        <v>1.2106980627297093E-2</v>
      </c>
      <c r="F1255" s="14">
        <v>1.4854373652733344E-2</v>
      </c>
      <c r="G1255" s="14">
        <v>8.0043492860555343E-3</v>
      </c>
      <c r="H1255" s="14">
        <v>7.8705636687218528E-3</v>
      </c>
    </row>
    <row r="1256" spans="2:8" x14ac:dyDescent="0.25">
      <c r="B1256" s="29">
        <v>1248</v>
      </c>
      <c r="C1256" s="30">
        <v>0.90697674418604646</v>
      </c>
      <c r="D1256" s="28">
        <v>37047</v>
      </c>
      <c r="E1256" s="14">
        <v>1.2115423925079138E-2</v>
      </c>
      <c r="F1256" s="14">
        <v>1.4948899171200569E-2</v>
      </c>
      <c r="G1256" s="14">
        <v>8.0381209087410088E-3</v>
      </c>
      <c r="H1256" s="14">
        <v>7.9088961307474115E-3</v>
      </c>
    </row>
    <row r="1257" spans="2:8" x14ac:dyDescent="0.25">
      <c r="B1257" s="29">
        <v>1249</v>
      </c>
      <c r="C1257" s="30">
        <v>0.90770348837209303</v>
      </c>
      <c r="D1257" s="28">
        <v>37048</v>
      </c>
      <c r="E1257" s="14">
        <v>1.2166893042297344E-2</v>
      </c>
      <c r="F1257" s="14">
        <v>1.4952307295694744E-2</v>
      </c>
      <c r="G1257" s="14">
        <v>8.047026595137341E-3</v>
      </c>
      <c r="H1257" s="14">
        <v>7.9322011100660048E-3</v>
      </c>
    </row>
    <row r="1258" spans="2:8" x14ac:dyDescent="0.25">
      <c r="B1258" s="29">
        <v>1250</v>
      </c>
      <c r="C1258" s="30">
        <v>0.90843023255813948</v>
      </c>
      <c r="D1258" s="28">
        <v>37049</v>
      </c>
      <c r="E1258" s="14">
        <v>1.2181069958847823E-2</v>
      </c>
      <c r="F1258" s="14">
        <v>1.5009882383436368E-2</v>
      </c>
      <c r="G1258" s="14">
        <v>8.0528921240978768E-3</v>
      </c>
      <c r="H1258" s="14">
        <v>7.9357211233250791E-3</v>
      </c>
    </row>
    <row r="1259" spans="2:8" x14ac:dyDescent="0.25">
      <c r="B1259" s="29">
        <v>1251</v>
      </c>
      <c r="C1259" s="30">
        <v>0.90915697674418605</v>
      </c>
      <c r="D1259" s="28">
        <v>37050</v>
      </c>
      <c r="E1259" s="14">
        <v>1.2186299275251056E-2</v>
      </c>
      <c r="F1259" s="14">
        <v>1.5097457467983633E-2</v>
      </c>
      <c r="G1259" s="14">
        <v>8.0688209756307749E-3</v>
      </c>
      <c r="H1259" s="14">
        <v>7.9368305265867349E-3</v>
      </c>
    </row>
    <row r="1260" spans="2:8" x14ac:dyDescent="0.25">
      <c r="B1260" s="29">
        <v>1252</v>
      </c>
      <c r="C1260" s="30">
        <v>0.90988372093023251</v>
      </c>
      <c r="D1260" s="28">
        <v>37053</v>
      </c>
      <c r="E1260" s="14">
        <v>1.2327282855803423E-2</v>
      </c>
      <c r="F1260" s="14">
        <v>1.5104340889792178E-2</v>
      </c>
      <c r="G1260" s="14">
        <v>8.100337937348101E-3</v>
      </c>
      <c r="H1260" s="14">
        <v>7.9666067405867579E-3</v>
      </c>
    </row>
    <row r="1261" spans="2:8" x14ac:dyDescent="0.25">
      <c r="B1261" s="29">
        <v>1253</v>
      </c>
      <c r="C1261" s="30">
        <v>0.91061046511627908</v>
      </c>
      <c r="D1261" s="28">
        <v>37054</v>
      </c>
      <c r="E1261" s="14">
        <v>1.2654339947171245E-2</v>
      </c>
      <c r="F1261" s="14">
        <v>1.5106796116504784E-2</v>
      </c>
      <c r="G1261" s="14">
        <v>8.1341788329405418E-3</v>
      </c>
      <c r="H1261" s="14">
        <v>8.0418872554749669E-3</v>
      </c>
    </row>
    <row r="1262" spans="2:8" x14ac:dyDescent="0.25">
      <c r="B1262" s="29">
        <v>1254</v>
      </c>
      <c r="C1262" s="30">
        <v>0.91133720930232553</v>
      </c>
      <c r="D1262" s="28">
        <v>37055</v>
      </c>
      <c r="E1262" s="14">
        <v>1.2738644922552833E-2</v>
      </c>
      <c r="F1262" s="14">
        <v>1.5219685607954059E-2</v>
      </c>
      <c r="G1262" s="14">
        <v>8.1515499425945936E-3</v>
      </c>
      <c r="H1262" s="14">
        <v>8.0685953251300457E-3</v>
      </c>
    </row>
    <row r="1263" spans="2:8" x14ac:dyDescent="0.25">
      <c r="B1263" s="29">
        <v>1255</v>
      </c>
      <c r="C1263" s="30">
        <v>0.9120639534883721</v>
      </c>
      <c r="D1263" s="28">
        <v>37056</v>
      </c>
      <c r="E1263" s="14">
        <v>1.2750943941238324E-2</v>
      </c>
      <c r="F1263" s="14">
        <v>1.5234122741083489E-2</v>
      </c>
      <c r="G1263" s="14">
        <v>8.1632653061225469E-3</v>
      </c>
      <c r="H1263" s="14">
        <v>8.0828178369066091E-3</v>
      </c>
    </row>
    <row r="1264" spans="2:8" x14ac:dyDescent="0.25">
      <c r="B1264" s="29">
        <v>1256</v>
      </c>
      <c r="C1264" s="30">
        <v>0.91279069767441856</v>
      </c>
      <c r="D1264" s="28">
        <v>37057</v>
      </c>
      <c r="E1264" s="14">
        <v>1.2782073536373728E-2</v>
      </c>
      <c r="F1264" s="14">
        <v>1.5260834643398891E-2</v>
      </c>
      <c r="G1264" s="14">
        <v>8.205113430083566E-3</v>
      </c>
      <c r="H1264" s="14">
        <v>8.0908076277535837E-3</v>
      </c>
    </row>
    <row r="1265" spans="2:8" x14ac:dyDescent="0.25">
      <c r="B1265" s="29">
        <v>1257</v>
      </c>
      <c r="C1265" s="30">
        <v>0.91351744186046513</v>
      </c>
      <c r="D1265" s="28">
        <v>37060</v>
      </c>
      <c r="E1265" s="14">
        <v>1.2919463087248229E-2</v>
      </c>
      <c r="F1265" s="14">
        <v>1.526325198891576E-2</v>
      </c>
      <c r="G1265" s="14">
        <v>8.2439188768270721E-3</v>
      </c>
      <c r="H1265" s="14">
        <v>8.1446243883029016E-3</v>
      </c>
    </row>
    <row r="1266" spans="2:8" x14ac:dyDescent="0.25">
      <c r="B1266" s="29">
        <v>1258</v>
      </c>
      <c r="C1266" s="30">
        <v>0.91424418604651159</v>
      </c>
      <c r="D1266" s="28">
        <v>37061</v>
      </c>
      <c r="E1266" s="14">
        <v>1.2925450266176419E-2</v>
      </c>
      <c r="F1266" s="14">
        <v>1.5297703946080432E-2</v>
      </c>
      <c r="G1266" s="14">
        <v>8.2520211876218053E-3</v>
      </c>
      <c r="H1266" s="14">
        <v>8.1799785144251562E-3</v>
      </c>
    </row>
    <row r="1267" spans="2:8" x14ac:dyDescent="0.25">
      <c r="B1267" s="29">
        <v>1259</v>
      </c>
      <c r="C1267" s="30">
        <v>0.91497093023255816</v>
      </c>
      <c r="D1267" s="28">
        <v>37062</v>
      </c>
      <c r="E1267" s="14">
        <v>1.2982082136862694E-2</v>
      </c>
      <c r="F1267" s="14">
        <v>1.5427221633949717E-2</v>
      </c>
      <c r="G1267" s="14">
        <v>8.3109033385275755E-3</v>
      </c>
      <c r="H1267" s="14">
        <v>8.1869155781749258E-3</v>
      </c>
    </row>
    <row r="1268" spans="2:8" x14ac:dyDescent="0.25">
      <c r="B1268" s="29">
        <v>1260</v>
      </c>
      <c r="C1268" s="30">
        <v>0.91569767441860461</v>
      </c>
      <c r="D1268" s="28">
        <v>37063</v>
      </c>
      <c r="E1268" s="14">
        <v>1.3211129092493445E-2</v>
      </c>
      <c r="F1268" s="14">
        <v>1.5465173765605966E-2</v>
      </c>
      <c r="G1268" s="14">
        <v>8.3434727023150579E-3</v>
      </c>
      <c r="H1268" s="14">
        <v>8.2146718475965223E-3</v>
      </c>
    </row>
    <row r="1269" spans="2:8" x14ac:dyDescent="0.25">
      <c r="B1269" s="29">
        <v>1261</v>
      </c>
      <c r="C1269" s="30">
        <v>0.91642441860465118</v>
      </c>
      <c r="D1269" s="28">
        <v>37064</v>
      </c>
      <c r="E1269" s="14">
        <v>1.3266239707227845E-2</v>
      </c>
      <c r="F1269" s="14">
        <v>1.552575864502459E-2</v>
      </c>
      <c r="G1269" s="14">
        <v>8.3492099069821801E-3</v>
      </c>
      <c r="H1269" s="14">
        <v>8.2200329289744637E-3</v>
      </c>
    </row>
    <row r="1270" spans="2:8" x14ac:dyDescent="0.25">
      <c r="B1270" s="29">
        <v>1262</v>
      </c>
      <c r="C1270" s="30">
        <v>0.91715116279069764</v>
      </c>
      <c r="D1270" s="28">
        <v>37067</v>
      </c>
      <c r="E1270" s="14">
        <v>1.3348447966065935E-2</v>
      </c>
      <c r="F1270" s="14">
        <v>1.5616285554935772E-2</v>
      </c>
      <c r="G1270" s="14">
        <v>8.3825952127145609E-3</v>
      </c>
      <c r="H1270" s="14">
        <v>8.3174429504221607E-3</v>
      </c>
    </row>
    <row r="1271" spans="2:8" x14ac:dyDescent="0.25">
      <c r="B1271" s="29">
        <v>1263</v>
      </c>
      <c r="C1271" s="30">
        <v>0.91787790697674421</v>
      </c>
      <c r="D1271" s="28">
        <v>37068</v>
      </c>
      <c r="E1271" s="14">
        <v>1.3440916407115644E-2</v>
      </c>
      <c r="F1271" s="14">
        <v>1.563998794113064E-2</v>
      </c>
      <c r="G1271" s="14">
        <v>8.4103358601228528E-3</v>
      </c>
      <c r="H1271" s="14">
        <v>8.3325572937226425E-3</v>
      </c>
    </row>
    <row r="1272" spans="2:8" x14ac:dyDescent="0.25">
      <c r="B1272" s="29">
        <v>1264</v>
      </c>
      <c r="C1272" s="30">
        <v>0.91860465116279066</v>
      </c>
      <c r="D1272" s="28">
        <v>37069</v>
      </c>
      <c r="E1272" s="14">
        <v>1.3506178581057737E-2</v>
      </c>
      <c r="F1272" s="14">
        <v>1.573125161863187E-2</v>
      </c>
      <c r="G1272" s="14">
        <v>8.4302912212919079E-3</v>
      </c>
      <c r="H1272" s="14">
        <v>8.3760268667693039E-3</v>
      </c>
    </row>
    <row r="1273" spans="2:8" x14ac:dyDescent="0.25">
      <c r="B1273" s="29">
        <v>1265</v>
      </c>
      <c r="C1273" s="30">
        <v>0.91933139534883723</v>
      </c>
      <c r="D1273" s="28">
        <v>37070</v>
      </c>
      <c r="E1273" s="14">
        <v>1.3548276453438479E-2</v>
      </c>
      <c r="F1273" s="14">
        <v>1.5765945912318502E-2</v>
      </c>
      <c r="G1273" s="14">
        <v>8.5194908118282342E-3</v>
      </c>
      <c r="H1273" s="14">
        <v>8.3897267617763401E-3</v>
      </c>
    </row>
    <row r="1274" spans="2:8" x14ac:dyDescent="0.25">
      <c r="B1274" s="29">
        <v>1266</v>
      </c>
      <c r="C1274" s="30">
        <v>0.92005813953488369</v>
      </c>
      <c r="D1274" s="28">
        <v>37071</v>
      </c>
      <c r="E1274" s="14">
        <v>1.3557745314222602E-2</v>
      </c>
      <c r="F1274" s="14">
        <v>1.5851759576455793E-2</v>
      </c>
      <c r="G1274" s="14">
        <v>8.6233289111135036E-3</v>
      </c>
      <c r="H1274" s="14">
        <v>8.4040433594630773E-3</v>
      </c>
    </row>
    <row r="1275" spans="2:8" x14ac:dyDescent="0.25">
      <c r="B1275" s="29">
        <v>1267</v>
      </c>
      <c r="C1275" s="30">
        <v>0.92078488372093026</v>
      </c>
      <c r="D1275" s="28">
        <v>37074</v>
      </c>
      <c r="E1275" s="14">
        <v>1.3590921936046607E-2</v>
      </c>
      <c r="F1275" s="14">
        <v>1.5940866660603348E-2</v>
      </c>
      <c r="G1275" s="14">
        <v>8.6523191501013397E-3</v>
      </c>
      <c r="H1275" s="14">
        <v>8.4867587912059502E-3</v>
      </c>
    </row>
    <row r="1276" spans="2:8" x14ac:dyDescent="0.25">
      <c r="B1276" s="29">
        <v>1268</v>
      </c>
      <c r="C1276" s="30">
        <v>0.92151162790697672</v>
      </c>
      <c r="D1276" s="28">
        <v>37075</v>
      </c>
      <c r="E1276" s="14">
        <v>1.3596491228070162E-2</v>
      </c>
      <c r="F1276" s="14">
        <v>1.5943374876112859E-2</v>
      </c>
      <c r="G1276" s="14">
        <v>8.6556667568298273E-3</v>
      </c>
      <c r="H1276" s="14">
        <v>8.5627335130863194E-3</v>
      </c>
    </row>
    <row r="1277" spans="2:8" x14ac:dyDescent="0.25">
      <c r="B1277" s="29">
        <v>1269</v>
      </c>
      <c r="C1277" s="30">
        <v>0.92223837209302328</v>
      </c>
      <c r="D1277" s="28">
        <v>37076</v>
      </c>
      <c r="E1277" s="14">
        <v>1.3672251396614987E-2</v>
      </c>
      <c r="F1277" s="14">
        <v>1.5996412019733786E-2</v>
      </c>
      <c r="G1277" s="14">
        <v>8.690254500310246E-3</v>
      </c>
      <c r="H1277" s="14">
        <v>8.6172073663823411E-3</v>
      </c>
    </row>
    <row r="1278" spans="2:8" x14ac:dyDescent="0.25">
      <c r="B1278" s="29">
        <v>1270</v>
      </c>
      <c r="C1278" s="30">
        <v>0.92296511627906974</v>
      </c>
      <c r="D1278" s="28">
        <v>37077</v>
      </c>
      <c r="E1278" s="14">
        <v>1.3703259591350658E-2</v>
      </c>
      <c r="F1278" s="14">
        <v>1.599775251086677E-2</v>
      </c>
      <c r="G1278" s="14">
        <v>8.7156555709742012E-3</v>
      </c>
      <c r="H1278" s="14">
        <v>8.6226664258531194E-3</v>
      </c>
    </row>
    <row r="1279" spans="2:8" x14ac:dyDescent="0.25">
      <c r="B1279" s="29">
        <v>1271</v>
      </c>
      <c r="C1279" s="30">
        <v>0.92369186046511631</v>
      </c>
      <c r="D1279" s="28">
        <v>37078</v>
      </c>
      <c r="E1279" s="14">
        <v>1.3711325006845243E-2</v>
      </c>
      <c r="F1279" s="14">
        <v>1.6079887338368959E-2</v>
      </c>
      <c r="G1279" s="14">
        <v>8.772959378299916E-3</v>
      </c>
      <c r="H1279" s="14">
        <v>8.6236272151523075E-3</v>
      </c>
    </row>
    <row r="1280" spans="2:8" x14ac:dyDescent="0.25">
      <c r="B1280" s="29">
        <v>1272</v>
      </c>
      <c r="C1280" s="30">
        <v>0.92441860465116277</v>
      </c>
      <c r="D1280" s="28">
        <v>37081</v>
      </c>
      <c r="E1280" s="14">
        <v>1.393584401289405E-2</v>
      </c>
      <c r="F1280" s="14">
        <v>1.6153750890120389E-2</v>
      </c>
      <c r="G1280" s="14">
        <v>8.9459919074807992E-3</v>
      </c>
      <c r="H1280" s="14">
        <v>8.7331322341588375E-3</v>
      </c>
    </row>
    <row r="1281" spans="2:8" x14ac:dyDescent="0.25">
      <c r="B1281" s="29">
        <v>1273</v>
      </c>
      <c r="C1281" s="30">
        <v>0.92514534883720934</v>
      </c>
      <c r="D1281" s="28">
        <v>37082</v>
      </c>
      <c r="E1281" s="14">
        <v>1.3969677715963025E-2</v>
      </c>
      <c r="F1281" s="14">
        <v>1.6176511299565322E-2</v>
      </c>
      <c r="G1281" s="14">
        <v>8.9930054402131976E-3</v>
      </c>
      <c r="H1281" s="14">
        <v>8.7449133474423405E-3</v>
      </c>
    </row>
    <row r="1282" spans="2:8" x14ac:dyDescent="0.25">
      <c r="B1282" s="29">
        <v>1274</v>
      </c>
      <c r="C1282" s="30">
        <v>0.92587209302325579</v>
      </c>
      <c r="D1282" s="28">
        <v>37083</v>
      </c>
      <c r="E1282" s="14">
        <v>1.4034630341741128E-2</v>
      </c>
      <c r="F1282" s="14">
        <v>1.6237897648686106E-2</v>
      </c>
      <c r="G1282" s="14">
        <v>9.0141642047771864E-3</v>
      </c>
      <c r="H1282" s="14">
        <v>8.813983295606476E-3</v>
      </c>
    </row>
    <row r="1283" spans="2:8" x14ac:dyDescent="0.25">
      <c r="B1283" s="29">
        <v>1275</v>
      </c>
      <c r="C1283" s="30">
        <v>0.92659883720930236</v>
      </c>
      <c r="D1283" s="28">
        <v>37084</v>
      </c>
      <c r="E1283" s="14">
        <v>1.4061300529873311E-2</v>
      </c>
      <c r="F1283" s="14">
        <v>1.643366214174935E-2</v>
      </c>
      <c r="G1283" s="14">
        <v>9.0638577928359165E-3</v>
      </c>
      <c r="H1283" s="14">
        <v>8.8631516711330949E-3</v>
      </c>
    </row>
    <row r="1284" spans="2:8" x14ac:dyDescent="0.25">
      <c r="B1284" s="29">
        <v>1276</v>
      </c>
      <c r="C1284" s="30">
        <v>0.92732558139534882</v>
      </c>
      <c r="D1284" s="28">
        <v>37085</v>
      </c>
      <c r="E1284" s="14">
        <v>1.4099122790081076E-2</v>
      </c>
      <c r="F1284" s="14">
        <v>1.6496615533071246E-2</v>
      </c>
      <c r="G1284" s="14">
        <v>9.0744396651689652E-3</v>
      </c>
      <c r="H1284" s="14">
        <v>9.0267070046110131E-3</v>
      </c>
    </row>
    <row r="1285" spans="2:8" x14ac:dyDescent="0.25">
      <c r="B1285" s="29">
        <v>1277</v>
      </c>
      <c r="C1285" s="30">
        <v>0.92805232558139539</v>
      </c>
      <c r="D1285" s="28">
        <v>37088</v>
      </c>
      <c r="E1285" s="14">
        <v>1.4103545697749409E-2</v>
      </c>
      <c r="F1285" s="14">
        <v>1.666463819946995E-2</v>
      </c>
      <c r="G1285" s="14">
        <v>9.1100845997482693E-3</v>
      </c>
      <c r="H1285" s="14">
        <v>9.1672464480170301E-3</v>
      </c>
    </row>
    <row r="1286" spans="2:8" x14ac:dyDescent="0.25">
      <c r="B1286" s="29">
        <v>1278</v>
      </c>
      <c r="C1286" s="30">
        <v>0.92877906976744184</v>
      </c>
      <c r="D1286" s="28">
        <v>37089</v>
      </c>
      <c r="E1286" s="14">
        <v>1.4152571625819954E-2</v>
      </c>
      <c r="F1286" s="14">
        <v>1.6692207348117272E-2</v>
      </c>
      <c r="G1286" s="14">
        <v>9.1362996711550348E-3</v>
      </c>
      <c r="H1286" s="14">
        <v>9.1841074640446781E-3</v>
      </c>
    </row>
    <row r="1287" spans="2:8" x14ac:dyDescent="0.25">
      <c r="B1287" s="29">
        <v>1279</v>
      </c>
      <c r="C1287" s="30">
        <v>0.92950581395348841</v>
      </c>
      <c r="D1287" s="28">
        <v>37090</v>
      </c>
      <c r="E1287" s="14">
        <v>1.4218009478673244E-2</v>
      </c>
      <c r="F1287" s="14">
        <v>1.6869122411496296E-2</v>
      </c>
      <c r="G1287" s="14">
        <v>9.1675207835097972E-3</v>
      </c>
      <c r="H1287" s="14">
        <v>9.2220894374864578E-3</v>
      </c>
    </row>
    <row r="1288" spans="2:8" x14ac:dyDescent="0.25">
      <c r="B1288" s="29">
        <v>1280</v>
      </c>
      <c r="C1288" s="30">
        <v>0.93023255813953487</v>
      </c>
      <c r="D1288" s="28">
        <v>37091</v>
      </c>
      <c r="E1288" s="14">
        <v>1.4236932426135773E-2</v>
      </c>
      <c r="F1288" s="14">
        <v>1.6986147597851664E-2</v>
      </c>
      <c r="G1288" s="14">
        <v>9.1723202170963525E-3</v>
      </c>
      <c r="H1288" s="14">
        <v>9.237702414886818E-3</v>
      </c>
    </row>
    <row r="1289" spans="2:8" x14ac:dyDescent="0.25">
      <c r="B1289" s="29">
        <v>1281</v>
      </c>
      <c r="C1289" s="30">
        <v>0.93095930232558144</v>
      </c>
      <c r="D1289" s="28">
        <v>37092</v>
      </c>
      <c r="E1289" s="14">
        <v>1.4258060487480018E-2</v>
      </c>
      <c r="F1289" s="14">
        <v>1.6989491961799885E-2</v>
      </c>
      <c r="G1289" s="14">
        <v>9.1792366740031106E-3</v>
      </c>
      <c r="H1289" s="14">
        <v>9.24537125263627E-3</v>
      </c>
    </row>
    <row r="1290" spans="2:8" x14ac:dyDescent="0.25">
      <c r="B1290" s="29">
        <v>1282</v>
      </c>
      <c r="C1290" s="30">
        <v>0.9316860465116279</v>
      </c>
      <c r="D1290" s="28">
        <v>37095</v>
      </c>
      <c r="E1290" s="14">
        <v>1.4359009579487214E-2</v>
      </c>
      <c r="F1290" s="14">
        <v>1.7217396241412608E-2</v>
      </c>
      <c r="G1290" s="14">
        <v>9.1967465844453589E-3</v>
      </c>
      <c r="H1290" s="14">
        <v>9.2489069878144651E-3</v>
      </c>
    </row>
    <row r="1291" spans="2:8" x14ac:dyDescent="0.25">
      <c r="B1291" s="29">
        <v>1283</v>
      </c>
      <c r="C1291" s="30">
        <v>0.93241279069767447</v>
      </c>
      <c r="D1291" s="28">
        <v>37096</v>
      </c>
      <c r="E1291" s="14">
        <v>1.4410574272138765E-2</v>
      </c>
      <c r="F1291" s="14">
        <v>1.7286556086456573E-2</v>
      </c>
      <c r="G1291" s="14">
        <v>9.2665646275813529E-3</v>
      </c>
      <c r="H1291" s="14">
        <v>9.3710596733614267E-3</v>
      </c>
    </row>
    <row r="1292" spans="2:8" x14ac:dyDescent="0.25">
      <c r="B1292" s="29">
        <v>1284</v>
      </c>
      <c r="C1292" s="30">
        <v>0.93313953488372092</v>
      </c>
      <c r="D1292" s="28">
        <v>37097</v>
      </c>
      <c r="E1292" s="14">
        <v>1.4483545128706421E-2</v>
      </c>
      <c r="F1292" s="14">
        <v>1.7381693961619593E-2</v>
      </c>
      <c r="G1292" s="14">
        <v>9.4172979022626446E-3</v>
      </c>
      <c r="H1292" s="14">
        <v>9.3852322573904981E-3</v>
      </c>
    </row>
    <row r="1293" spans="2:8" x14ac:dyDescent="0.25">
      <c r="B1293" s="29">
        <v>1285</v>
      </c>
      <c r="C1293" s="30">
        <v>0.93386627906976749</v>
      </c>
      <c r="D1293" s="28">
        <v>37098</v>
      </c>
      <c r="E1293" s="14">
        <v>1.4539200156960863E-2</v>
      </c>
      <c r="F1293" s="14">
        <v>1.7444354914661897E-2</v>
      </c>
      <c r="G1293" s="14">
        <v>9.4479234366102727E-3</v>
      </c>
      <c r="H1293" s="14">
        <v>9.4018193707909436E-3</v>
      </c>
    </row>
    <row r="1294" spans="2:8" x14ac:dyDescent="0.25">
      <c r="B1294" s="29">
        <v>1286</v>
      </c>
      <c r="C1294" s="30">
        <v>0.93459302325581395</v>
      </c>
      <c r="D1294" s="28">
        <v>37099</v>
      </c>
      <c r="E1294" s="14">
        <v>1.4594783070715822E-2</v>
      </c>
      <c r="F1294" s="14">
        <v>1.7483864752913858E-2</v>
      </c>
      <c r="G1294" s="14">
        <v>9.4640317756093939E-3</v>
      </c>
      <c r="H1294" s="14">
        <v>9.4421950585778201E-3</v>
      </c>
    </row>
    <row r="1295" spans="2:8" x14ac:dyDescent="0.25">
      <c r="B1295" s="29">
        <v>1287</v>
      </c>
      <c r="C1295" s="30">
        <v>0.93531976744186052</v>
      </c>
      <c r="D1295" s="28">
        <v>37102</v>
      </c>
      <c r="E1295" s="14">
        <v>1.4750187207216658E-2</v>
      </c>
      <c r="F1295" s="14">
        <v>1.7664090497602203E-2</v>
      </c>
      <c r="G1295" s="14">
        <v>9.5283468318247966E-3</v>
      </c>
      <c r="H1295" s="14">
        <v>9.4661931526169654E-3</v>
      </c>
    </row>
    <row r="1296" spans="2:8" x14ac:dyDescent="0.25">
      <c r="B1296" s="29">
        <v>1288</v>
      </c>
      <c r="C1296" s="30">
        <v>0.93604651162790697</v>
      </c>
      <c r="D1296" s="28">
        <v>37103</v>
      </c>
      <c r="E1296" s="14">
        <v>1.4893148022246505E-2</v>
      </c>
      <c r="F1296" s="14">
        <v>1.7741655076495055E-2</v>
      </c>
      <c r="G1296" s="14">
        <v>9.5524876264694303E-3</v>
      </c>
      <c r="H1296" s="14">
        <v>9.4911647070747857E-3</v>
      </c>
    </row>
    <row r="1297" spans="2:8" x14ac:dyDescent="0.25">
      <c r="B1297" s="29">
        <v>1289</v>
      </c>
      <c r="C1297" s="30">
        <v>0.93677325581395354</v>
      </c>
      <c r="D1297" s="28">
        <v>37104</v>
      </c>
      <c r="E1297" s="14">
        <v>1.494347364028048E-2</v>
      </c>
      <c r="F1297" s="14">
        <v>1.7774126114133093E-2</v>
      </c>
      <c r="G1297" s="14">
        <v>9.5582106140592593E-3</v>
      </c>
      <c r="H1297" s="14">
        <v>9.5078928127794622E-3</v>
      </c>
    </row>
    <row r="1298" spans="2:8" x14ac:dyDescent="0.25">
      <c r="B1298" s="29">
        <v>1290</v>
      </c>
      <c r="C1298" s="30">
        <v>0.9375</v>
      </c>
      <c r="D1298" s="28">
        <v>37105</v>
      </c>
      <c r="E1298" s="14">
        <v>1.4988078209617894E-2</v>
      </c>
      <c r="F1298" s="14">
        <v>1.7799072395777715E-2</v>
      </c>
      <c r="G1298" s="14">
        <v>9.587757060911084E-3</v>
      </c>
      <c r="H1298" s="14">
        <v>9.5870979716187622E-3</v>
      </c>
    </row>
    <row r="1299" spans="2:8" x14ac:dyDescent="0.25">
      <c r="B1299" s="29">
        <v>1291</v>
      </c>
      <c r="C1299" s="30">
        <v>0.93822674418604646</v>
      </c>
      <c r="D1299" s="28">
        <v>37106</v>
      </c>
      <c r="E1299" s="14">
        <v>1.5023161368106885E-2</v>
      </c>
      <c r="F1299" s="14">
        <v>1.7857573783151004E-2</v>
      </c>
      <c r="G1299" s="14">
        <v>9.6764958488406716E-3</v>
      </c>
      <c r="H1299" s="14">
        <v>9.5945698530902849E-3</v>
      </c>
    </row>
    <row r="1300" spans="2:8" x14ac:dyDescent="0.25">
      <c r="B1300" s="29">
        <v>1292</v>
      </c>
      <c r="C1300" s="30">
        <v>0.93895348837209303</v>
      </c>
      <c r="D1300" s="28">
        <v>37109</v>
      </c>
      <c r="E1300" s="14">
        <v>1.5220582554276607E-2</v>
      </c>
      <c r="F1300" s="14">
        <v>1.7902461950037862E-2</v>
      </c>
      <c r="G1300" s="14">
        <v>9.7389599344659405E-3</v>
      </c>
      <c r="H1300" s="14">
        <v>9.6388817953443357E-3</v>
      </c>
    </row>
    <row r="1301" spans="2:8" x14ac:dyDescent="0.25">
      <c r="B1301" s="29">
        <v>1293</v>
      </c>
      <c r="C1301" s="30">
        <v>0.93968023255813948</v>
      </c>
      <c r="D1301" s="28">
        <v>37110</v>
      </c>
      <c r="E1301" s="14">
        <v>1.5386982612709987E-2</v>
      </c>
      <c r="F1301" s="14">
        <v>1.794793994060262E-2</v>
      </c>
      <c r="G1301" s="14">
        <v>9.7764625059451049E-3</v>
      </c>
      <c r="H1301" s="14">
        <v>9.6591472610618734E-3</v>
      </c>
    </row>
    <row r="1302" spans="2:8" x14ac:dyDescent="0.25">
      <c r="B1302" s="29">
        <v>1294</v>
      </c>
      <c r="C1302" s="30">
        <v>0.94040697674418605</v>
      </c>
      <c r="D1302" s="28">
        <v>37111</v>
      </c>
      <c r="E1302" s="14">
        <v>1.5402451142762619E-2</v>
      </c>
      <c r="F1302" s="14">
        <v>1.8036007944813415E-2</v>
      </c>
      <c r="G1302" s="14">
        <v>9.7915726390960245E-3</v>
      </c>
      <c r="H1302" s="14">
        <v>9.6911570654497417E-3</v>
      </c>
    </row>
    <row r="1303" spans="2:8" x14ac:dyDescent="0.25">
      <c r="B1303" s="29">
        <v>1295</v>
      </c>
      <c r="C1303" s="30">
        <v>0.94113372093023251</v>
      </c>
      <c r="D1303" s="28">
        <v>37112</v>
      </c>
      <c r="E1303" s="14">
        <v>1.5643598027546224E-2</v>
      </c>
      <c r="F1303" s="14">
        <v>1.8083227931323886E-2</v>
      </c>
      <c r="G1303" s="14">
        <v>9.8341484159047976E-3</v>
      </c>
      <c r="H1303" s="14">
        <v>9.7101559438545169E-3</v>
      </c>
    </row>
    <row r="1304" spans="2:8" x14ac:dyDescent="0.25">
      <c r="B1304" s="29">
        <v>1296</v>
      </c>
      <c r="C1304" s="30">
        <v>0.94186046511627908</v>
      </c>
      <c r="D1304" s="28">
        <v>37113</v>
      </c>
      <c r="E1304" s="14">
        <v>1.56832784025982E-2</v>
      </c>
      <c r="F1304" s="14">
        <v>1.8244537037700903E-2</v>
      </c>
      <c r="G1304" s="14">
        <v>9.8379939047212872E-3</v>
      </c>
      <c r="H1304" s="14">
        <v>9.782146295831318E-3</v>
      </c>
    </row>
    <row r="1305" spans="2:8" x14ac:dyDescent="0.25">
      <c r="B1305" s="29">
        <v>1297</v>
      </c>
      <c r="C1305" s="30">
        <v>0.94258720930232553</v>
      </c>
      <c r="D1305" s="28">
        <v>37116</v>
      </c>
      <c r="E1305" s="14">
        <v>1.6020750686603469E-2</v>
      </c>
      <c r="F1305" s="14">
        <v>1.8335201548920654E-2</v>
      </c>
      <c r="G1305" s="14">
        <v>9.9150780788312964E-3</v>
      </c>
      <c r="H1305" s="14">
        <v>9.7862661016723251E-3</v>
      </c>
    </row>
    <row r="1306" spans="2:8" x14ac:dyDescent="0.25">
      <c r="B1306" s="29">
        <v>1298</v>
      </c>
      <c r="C1306" s="30">
        <v>0.9433139534883721</v>
      </c>
      <c r="D1306" s="28">
        <v>37117</v>
      </c>
      <c r="E1306" s="14">
        <v>1.6106465904926814E-2</v>
      </c>
      <c r="F1306" s="14">
        <v>1.8345833114805643E-2</v>
      </c>
      <c r="G1306" s="14">
        <v>9.9249855741487814E-3</v>
      </c>
      <c r="H1306" s="14">
        <v>9.7904114297114649E-3</v>
      </c>
    </row>
    <row r="1307" spans="2:8" x14ac:dyDescent="0.25">
      <c r="B1307" s="29">
        <v>1299</v>
      </c>
      <c r="C1307" s="30">
        <v>0.94404069767441856</v>
      </c>
      <c r="D1307" s="28">
        <v>37118</v>
      </c>
      <c r="E1307" s="14">
        <v>1.6170055823849783E-2</v>
      </c>
      <c r="F1307" s="14">
        <v>1.8480808391286185E-2</v>
      </c>
      <c r="G1307" s="14">
        <v>9.9270759821217247E-3</v>
      </c>
      <c r="H1307" s="14">
        <v>9.8341867755212583E-3</v>
      </c>
    </row>
    <row r="1308" spans="2:8" x14ac:dyDescent="0.25">
      <c r="B1308" s="29">
        <v>1300</v>
      </c>
      <c r="C1308" s="30">
        <v>0.94476744186046513</v>
      </c>
      <c r="D1308" s="28">
        <v>37119</v>
      </c>
      <c r="E1308" s="14">
        <v>1.6185207010903646E-2</v>
      </c>
      <c r="F1308" s="14">
        <v>1.8563393631575664E-2</v>
      </c>
      <c r="G1308" s="14">
        <v>1.0034562010358794E-2</v>
      </c>
      <c r="H1308" s="14">
        <v>9.8451119070439141E-3</v>
      </c>
    </row>
    <row r="1309" spans="2:8" x14ac:dyDescent="0.25">
      <c r="B1309" s="29">
        <v>1301</v>
      </c>
      <c r="C1309" s="30">
        <v>0.94549418604651159</v>
      </c>
      <c r="D1309" s="28">
        <v>37120</v>
      </c>
      <c r="E1309" s="14">
        <v>1.6308919280974443E-2</v>
      </c>
      <c r="F1309" s="14">
        <v>1.8727724660362766E-2</v>
      </c>
      <c r="G1309" s="14">
        <v>1.0044327077242343E-2</v>
      </c>
      <c r="H1309" s="14">
        <v>9.9000519520668923E-3</v>
      </c>
    </row>
    <row r="1310" spans="2:8" x14ac:dyDescent="0.25">
      <c r="B1310" s="29">
        <v>1302</v>
      </c>
      <c r="C1310" s="30">
        <v>0.94622093023255816</v>
      </c>
      <c r="D1310" s="28">
        <v>37123</v>
      </c>
      <c r="E1310" s="14">
        <v>1.6342053766689402E-2</v>
      </c>
      <c r="F1310" s="14">
        <v>1.8953732912723398E-2</v>
      </c>
      <c r="G1310" s="14">
        <v>1.0052400812747164E-2</v>
      </c>
      <c r="H1310" s="14">
        <v>9.9227679363342886E-3</v>
      </c>
    </row>
    <row r="1311" spans="2:8" x14ac:dyDescent="0.25">
      <c r="B1311" s="29">
        <v>1303</v>
      </c>
      <c r="C1311" s="30">
        <v>0.94694767441860461</v>
      </c>
      <c r="D1311" s="28">
        <v>37124</v>
      </c>
      <c r="E1311" s="14">
        <v>1.6379457430472755E-2</v>
      </c>
      <c r="F1311" s="14">
        <v>1.9009482412135181E-2</v>
      </c>
      <c r="G1311" s="14">
        <v>1.0065227170490409E-2</v>
      </c>
      <c r="H1311" s="14">
        <v>9.9375913812817639E-3</v>
      </c>
    </row>
    <row r="1312" spans="2:8" x14ac:dyDescent="0.25">
      <c r="B1312" s="29">
        <v>1304</v>
      </c>
      <c r="C1312" s="30">
        <v>0.94767441860465118</v>
      </c>
      <c r="D1312" s="28">
        <v>37125</v>
      </c>
      <c r="E1312" s="14">
        <v>1.642222192691678E-2</v>
      </c>
      <c r="F1312" s="14">
        <v>1.9227661980933952E-2</v>
      </c>
      <c r="G1312" s="14">
        <v>1.0124063670411854E-2</v>
      </c>
      <c r="H1312" s="14">
        <v>1.005028359768634E-2</v>
      </c>
    </row>
    <row r="1313" spans="2:8" x14ac:dyDescent="0.25">
      <c r="B1313" s="29">
        <v>1305</v>
      </c>
      <c r="C1313" s="30">
        <v>0.94840116279069764</v>
      </c>
      <c r="D1313" s="28">
        <v>37126</v>
      </c>
      <c r="E1313" s="14">
        <v>1.6447826288683798E-2</v>
      </c>
      <c r="F1313" s="14">
        <v>1.9438444924406051E-2</v>
      </c>
      <c r="G1313" s="14">
        <v>1.0134117570739454E-2</v>
      </c>
      <c r="H1313" s="14">
        <v>1.0221806929896849E-2</v>
      </c>
    </row>
    <row r="1314" spans="2:8" x14ac:dyDescent="0.25">
      <c r="B1314" s="29">
        <v>1306</v>
      </c>
      <c r="C1314" s="30">
        <v>0.94912790697674421</v>
      </c>
      <c r="D1314" s="28">
        <v>37127</v>
      </c>
      <c r="E1314" s="14">
        <v>1.6475893166840061E-2</v>
      </c>
      <c r="F1314" s="14">
        <v>1.9636805378207001E-2</v>
      </c>
      <c r="G1314" s="14">
        <v>1.0140405616224646E-2</v>
      </c>
      <c r="H1314" s="14">
        <v>1.0344481588195275E-2</v>
      </c>
    </row>
    <row r="1315" spans="2:8" x14ac:dyDescent="0.25">
      <c r="B1315" s="29">
        <v>1307</v>
      </c>
      <c r="C1315" s="30">
        <v>0.94985465116279066</v>
      </c>
      <c r="D1315" s="28">
        <v>37130</v>
      </c>
      <c r="E1315" s="14">
        <v>1.6533901078844115E-2</v>
      </c>
      <c r="F1315" s="14">
        <v>1.9654243647222014E-2</v>
      </c>
      <c r="G1315" s="14">
        <v>1.0182991710368627E-2</v>
      </c>
      <c r="H1315" s="14">
        <v>1.0351071717645511E-2</v>
      </c>
    </row>
    <row r="1316" spans="2:8" x14ac:dyDescent="0.25">
      <c r="B1316" s="29">
        <v>1308</v>
      </c>
      <c r="C1316" s="30">
        <v>0.95058139534883723</v>
      </c>
      <c r="D1316" s="28">
        <v>37131</v>
      </c>
      <c r="E1316" s="14">
        <v>1.6686808098538064E-2</v>
      </c>
      <c r="F1316" s="14">
        <v>1.968478005175256E-2</v>
      </c>
      <c r="G1316" s="14">
        <v>1.0247654037482734E-2</v>
      </c>
      <c r="H1316" s="14">
        <v>1.0448477530540012E-2</v>
      </c>
    </row>
    <row r="1317" spans="2:8" x14ac:dyDescent="0.25">
      <c r="B1317" s="29">
        <v>1309</v>
      </c>
      <c r="C1317" s="30">
        <v>0.95130813953488369</v>
      </c>
      <c r="D1317" s="28">
        <v>37132</v>
      </c>
      <c r="E1317" s="14">
        <v>1.6691003275517868E-2</v>
      </c>
      <c r="F1317" s="14">
        <v>1.9829091113864106E-2</v>
      </c>
      <c r="G1317" s="14">
        <v>1.0257647981656737E-2</v>
      </c>
      <c r="H1317" s="14">
        <v>1.0569981515237848E-2</v>
      </c>
    </row>
    <row r="1318" spans="2:8" x14ac:dyDescent="0.25">
      <c r="B1318" s="29">
        <v>1310</v>
      </c>
      <c r="C1318" s="30">
        <v>0.95203488372093026</v>
      </c>
      <c r="D1318" s="28">
        <v>37133</v>
      </c>
      <c r="E1318" s="14">
        <v>1.6943266880839136E-2</v>
      </c>
      <c r="F1318" s="14">
        <v>1.9837019453450733E-2</v>
      </c>
      <c r="G1318" s="14">
        <v>1.0281333209893218E-2</v>
      </c>
      <c r="H1318" s="14">
        <v>1.0604798594014309E-2</v>
      </c>
    </row>
    <row r="1319" spans="2:8" x14ac:dyDescent="0.25">
      <c r="B1319" s="29">
        <v>1311</v>
      </c>
      <c r="C1319" s="30">
        <v>0.95276162790697672</v>
      </c>
      <c r="D1319" s="28">
        <v>37134</v>
      </c>
      <c r="E1319" s="14">
        <v>1.7023105379814218E-2</v>
      </c>
      <c r="F1319" s="14">
        <v>1.9909089282199144E-2</v>
      </c>
      <c r="G1319" s="14">
        <v>1.0347167250932765E-2</v>
      </c>
      <c r="H1319" s="14">
        <v>1.0626212592663588E-2</v>
      </c>
    </row>
    <row r="1320" spans="2:8" x14ac:dyDescent="0.25">
      <c r="B1320" s="29">
        <v>1312</v>
      </c>
      <c r="C1320" s="30">
        <v>0.95348837209302328</v>
      </c>
      <c r="D1320" s="28">
        <v>37137</v>
      </c>
      <c r="E1320" s="14">
        <v>1.7059553349875856E-2</v>
      </c>
      <c r="F1320" s="14">
        <v>1.9932036894257488E-2</v>
      </c>
      <c r="G1320" s="14">
        <v>1.0363565066382918E-2</v>
      </c>
      <c r="H1320" s="14">
        <v>1.0644221008068033E-2</v>
      </c>
    </row>
    <row r="1321" spans="2:8" x14ac:dyDescent="0.25">
      <c r="B1321" s="29">
        <v>1313</v>
      </c>
      <c r="C1321" s="30">
        <v>0.95421511627906974</v>
      </c>
      <c r="D1321" s="28">
        <v>37138</v>
      </c>
      <c r="E1321" s="14">
        <v>1.7085592245769554E-2</v>
      </c>
      <c r="F1321" s="14">
        <v>1.9941065649002665E-2</v>
      </c>
      <c r="G1321" s="14">
        <v>1.0381840577159851E-2</v>
      </c>
      <c r="H1321" s="14">
        <v>1.0755321513565131E-2</v>
      </c>
    </row>
    <row r="1322" spans="2:8" x14ac:dyDescent="0.25">
      <c r="B1322" s="29">
        <v>1314</v>
      </c>
      <c r="C1322" s="30">
        <v>0.95494186046511631</v>
      </c>
      <c r="D1322" s="28">
        <v>37139</v>
      </c>
      <c r="E1322" s="14">
        <v>1.7093174559362989E-2</v>
      </c>
      <c r="F1322" s="14">
        <v>2.0167990712708583E-2</v>
      </c>
      <c r="G1322" s="14">
        <v>1.0426338405579383E-2</v>
      </c>
      <c r="H1322" s="14">
        <v>1.0856477689888245E-2</v>
      </c>
    </row>
    <row r="1323" spans="2:8" x14ac:dyDescent="0.25">
      <c r="B1323" s="29">
        <v>1315</v>
      </c>
      <c r="C1323" s="30">
        <v>0.95566860465116277</v>
      </c>
      <c r="D1323" s="28">
        <v>37140</v>
      </c>
      <c r="E1323" s="14">
        <v>1.7151540841487734E-2</v>
      </c>
      <c r="F1323" s="14">
        <v>2.0274230688716699E-2</v>
      </c>
      <c r="G1323" s="14">
        <v>1.0477880031045439E-2</v>
      </c>
      <c r="H1323" s="14">
        <v>1.1115595438720517E-2</v>
      </c>
    </row>
    <row r="1324" spans="2:8" x14ac:dyDescent="0.25">
      <c r="B1324" s="29">
        <v>1316</v>
      </c>
      <c r="C1324" s="30">
        <v>0.95639534883720934</v>
      </c>
      <c r="D1324" s="28">
        <v>37141</v>
      </c>
      <c r="E1324" s="14">
        <v>1.7172076097667244E-2</v>
      </c>
      <c r="F1324" s="14">
        <v>2.0474501020752101E-2</v>
      </c>
      <c r="G1324" s="14">
        <v>1.0504782440426741E-2</v>
      </c>
      <c r="H1324" s="14">
        <v>1.1129442448334271E-2</v>
      </c>
    </row>
    <row r="1325" spans="2:8" x14ac:dyDescent="0.25">
      <c r="B1325" s="29">
        <v>1317</v>
      </c>
      <c r="C1325" s="30">
        <v>0.95712209302325579</v>
      </c>
      <c r="D1325" s="28">
        <v>37144</v>
      </c>
      <c r="E1325" s="14">
        <v>1.7776866283600867E-2</v>
      </c>
      <c r="F1325" s="14">
        <v>2.0746612162150901E-2</v>
      </c>
      <c r="G1325" s="14">
        <v>1.0507940037586039E-2</v>
      </c>
      <c r="H1325" s="14">
        <v>1.1323466077440215E-2</v>
      </c>
    </row>
    <row r="1326" spans="2:8" x14ac:dyDescent="0.25">
      <c r="B1326" s="29">
        <v>1318</v>
      </c>
      <c r="C1326" s="30">
        <v>0.95784883720930236</v>
      </c>
      <c r="D1326" s="28">
        <v>37145</v>
      </c>
      <c r="E1326" s="14">
        <v>1.7779762655117937E-2</v>
      </c>
      <c r="F1326" s="14">
        <v>2.117923507404984E-2</v>
      </c>
      <c r="G1326" s="14">
        <v>1.0516430495022711E-2</v>
      </c>
      <c r="H1326" s="14">
        <v>1.133194132865103E-2</v>
      </c>
    </row>
    <row r="1327" spans="2:8" x14ac:dyDescent="0.25">
      <c r="B1327" s="29">
        <v>1319</v>
      </c>
      <c r="C1327" s="30">
        <v>0.95857558139534882</v>
      </c>
      <c r="D1327" s="28">
        <v>37146</v>
      </c>
      <c r="E1327" s="14">
        <v>1.7872196931377538E-2</v>
      </c>
      <c r="F1327" s="14">
        <v>2.119376047441035E-2</v>
      </c>
      <c r="G1327" s="14">
        <v>1.0574740112319292E-2</v>
      </c>
      <c r="H1327" s="14">
        <v>1.1348118958540133E-2</v>
      </c>
    </row>
    <row r="1328" spans="2:8" x14ac:dyDescent="0.25">
      <c r="B1328" s="29">
        <v>1320</v>
      </c>
      <c r="C1328" s="30">
        <v>0.95930232558139539</v>
      </c>
      <c r="D1328" s="28">
        <v>37147</v>
      </c>
      <c r="E1328" s="14">
        <v>1.8084373161018963E-2</v>
      </c>
      <c r="F1328" s="14">
        <v>2.1243096301216458E-2</v>
      </c>
      <c r="G1328" s="14">
        <v>1.0651147468980104E-2</v>
      </c>
      <c r="H1328" s="14">
        <v>1.1459873948631571E-2</v>
      </c>
    </row>
    <row r="1329" spans="2:8" x14ac:dyDescent="0.25">
      <c r="B1329" s="29">
        <v>1321</v>
      </c>
      <c r="C1329" s="30">
        <v>0.96002906976744184</v>
      </c>
      <c r="D1329" s="28">
        <v>37148</v>
      </c>
      <c r="E1329" s="14">
        <v>1.8215597960362206E-2</v>
      </c>
      <c r="F1329" s="14">
        <v>2.1336139694418499E-2</v>
      </c>
      <c r="G1329" s="14">
        <v>1.0713262675451141E-2</v>
      </c>
      <c r="H1329" s="14">
        <v>1.1582842945822014E-2</v>
      </c>
    </row>
    <row r="1330" spans="2:8" x14ac:dyDescent="0.25">
      <c r="B1330" s="29">
        <v>1322</v>
      </c>
      <c r="C1330" s="30">
        <v>0.96075581395348841</v>
      </c>
      <c r="D1330" s="28">
        <v>37151</v>
      </c>
      <c r="E1330" s="14">
        <v>1.8227814046237301E-2</v>
      </c>
      <c r="F1330" s="14">
        <v>2.1412249561349794E-2</v>
      </c>
      <c r="G1330" s="14">
        <v>1.0833856416222032E-2</v>
      </c>
      <c r="H1330" s="14">
        <v>1.1688988701934643E-2</v>
      </c>
    </row>
    <row r="1331" spans="2:8" x14ac:dyDescent="0.25">
      <c r="B1331" s="29">
        <v>1323</v>
      </c>
      <c r="C1331" s="30">
        <v>0.96148255813953487</v>
      </c>
      <c r="D1331" s="28">
        <v>37152</v>
      </c>
      <c r="E1331" s="14">
        <v>1.8346741093416385E-2</v>
      </c>
      <c r="F1331" s="14">
        <v>2.1707681179494287E-2</v>
      </c>
      <c r="G1331" s="14">
        <v>1.0859145694768868E-2</v>
      </c>
      <c r="H1331" s="14">
        <v>1.1696112961923744E-2</v>
      </c>
    </row>
    <row r="1332" spans="2:8" x14ac:dyDescent="0.25">
      <c r="B1332" s="29">
        <v>1324</v>
      </c>
      <c r="C1332" s="30">
        <v>0.96220930232558144</v>
      </c>
      <c r="D1332" s="28">
        <v>37153</v>
      </c>
      <c r="E1332" s="14">
        <v>1.8446569701799698E-2</v>
      </c>
      <c r="F1332" s="14">
        <v>2.191853496551599E-2</v>
      </c>
      <c r="G1332" s="14">
        <v>1.0942760942761032E-2</v>
      </c>
      <c r="H1332" s="14">
        <v>1.174868172029029E-2</v>
      </c>
    </row>
    <row r="1333" spans="2:8" x14ac:dyDescent="0.25">
      <c r="B1333" s="29">
        <v>1325</v>
      </c>
      <c r="C1333" s="30">
        <v>0.9629360465116279</v>
      </c>
      <c r="D1333" s="28">
        <v>37154</v>
      </c>
      <c r="E1333" s="14">
        <v>1.85115313270654E-2</v>
      </c>
      <c r="F1333" s="14">
        <v>2.1971029413867527E-2</v>
      </c>
      <c r="G1333" s="14">
        <v>1.0947653491482523E-2</v>
      </c>
      <c r="H1333" s="14">
        <v>1.186147683833454E-2</v>
      </c>
    </row>
    <row r="1334" spans="2:8" x14ac:dyDescent="0.25">
      <c r="B1334" s="29">
        <v>1326</v>
      </c>
      <c r="C1334" s="30">
        <v>0.96366279069767447</v>
      </c>
      <c r="D1334" s="28">
        <v>37155</v>
      </c>
      <c r="E1334" s="14">
        <v>1.8614231495432509E-2</v>
      </c>
      <c r="F1334" s="14">
        <v>2.2097736741357954E-2</v>
      </c>
      <c r="G1334" s="14">
        <v>1.1041097418167611E-2</v>
      </c>
      <c r="H1334" s="14">
        <v>1.1970873761574463E-2</v>
      </c>
    </row>
    <row r="1335" spans="2:8" x14ac:dyDescent="0.25">
      <c r="B1335" s="29">
        <v>1327</v>
      </c>
      <c r="C1335" s="30">
        <v>0.96438953488372092</v>
      </c>
      <c r="D1335" s="28">
        <v>37158</v>
      </c>
      <c r="E1335" s="14">
        <v>1.8682399213372669E-2</v>
      </c>
      <c r="F1335" s="14">
        <v>2.2140458554925413E-2</v>
      </c>
      <c r="G1335" s="14">
        <v>1.1109259806104888E-2</v>
      </c>
      <c r="H1335" s="14">
        <v>1.2003809412825816E-2</v>
      </c>
    </row>
    <row r="1336" spans="2:8" x14ac:dyDescent="0.25">
      <c r="B1336" s="29">
        <v>1328</v>
      </c>
      <c r="C1336" s="30">
        <v>0.96511627906976749</v>
      </c>
      <c r="D1336" s="28">
        <v>37159</v>
      </c>
      <c r="E1336" s="14">
        <v>1.8707844967537968E-2</v>
      </c>
      <c r="F1336" s="14">
        <v>2.223515144717747E-2</v>
      </c>
      <c r="G1336" s="14">
        <v>1.1249759939176096E-2</v>
      </c>
      <c r="H1336" s="14">
        <v>1.2079167924438484E-2</v>
      </c>
    </row>
    <row r="1337" spans="2:8" x14ac:dyDescent="0.25">
      <c r="B1337" s="29">
        <v>1329</v>
      </c>
      <c r="C1337" s="30">
        <v>0.96584302325581395</v>
      </c>
      <c r="D1337" s="28">
        <v>37160</v>
      </c>
      <c r="E1337" s="14">
        <v>1.8969074125700924E-2</v>
      </c>
      <c r="F1337" s="14">
        <v>2.2286176386642653E-2</v>
      </c>
      <c r="G1337" s="14">
        <v>1.1285468615648941E-2</v>
      </c>
      <c r="H1337" s="14">
        <v>1.215318729617876E-2</v>
      </c>
    </row>
    <row r="1338" spans="2:8" x14ac:dyDescent="0.25">
      <c r="B1338" s="29">
        <v>1330</v>
      </c>
      <c r="C1338" s="30">
        <v>0.96656976744186052</v>
      </c>
      <c r="D1338" s="28">
        <v>37161</v>
      </c>
      <c r="E1338" s="14">
        <v>1.9006119043204039E-2</v>
      </c>
      <c r="F1338" s="14">
        <v>2.2479940975744794E-2</v>
      </c>
      <c r="G1338" s="14">
        <v>1.1306944832507604E-2</v>
      </c>
      <c r="H1338" s="14">
        <v>1.2340737052647155E-2</v>
      </c>
    </row>
    <row r="1339" spans="2:8" x14ac:dyDescent="0.25">
      <c r="B1339" s="29">
        <v>1331</v>
      </c>
      <c r="C1339" s="30">
        <v>0.96729651162790697</v>
      </c>
      <c r="D1339" s="28">
        <v>37162</v>
      </c>
      <c r="E1339" s="14">
        <v>1.9076240830329327E-2</v>
      </c>
      <c r="F1339" s="14">
        <v>2.273987798114252E-2</v>
      </c>
      <c r="G1339" s="14">
        <v>1.1307750191118071E-2</v>
      </c>
      <c r="H1339" s="14">
        <v>1.2378670912490185E-2</v>
      </c>
    </row>
    <row r="1340" spans="2:8" x14ac:dyDescent="0.25">
      <c r="B1340" s="29">
        <v>1332</v>
      </c>
      <c r="C1340" s="30">
        <v>0.96802325581395354</v>
      </c>
      <c r="D1340" s="28">
        <v>37165</v>
      </c>
      <c r="E1340" s="14">
        <v>1.9095164945631238E-2</v>
      </c>
      <c r="F1340" s="14">
        <v>2.2929633968013174E-2</v>
      </c>
      <c r="G1340" s="14">
        <v>1.1374299793647014E-2</v>
      </c>
      <c r="H1340" s="14">
        <v>1.2438801892128737E-2</v>
      </c>
    </row>
    <row r="1341" spans="2:8" x14ac:dyDescent="0.25">
      <c r="B1341" s="29">
        <v>1333</v>
      </c>
      <c r="C1341" s="30">
        <v>0.96875</v>
      </c>
      <c r="D1341" s="28">
        <v>37166</v>
      </c>
      <c r="E1341" s="14">
        <v>1.9228519053005266E-2</v>
      </c>
      <c r="F1341" s="14">
        <v>2.2936474866472212E-2</v>
      </c>
      <c r="G1341" s="14">
        <v>1.1444077394997532E-2</v>
      </c>
      <c r="H1341" s="14">
        <v>1.2573135044747776E-2</v>
      </c>
    </row>
    <row r="1342" spans="2:8" x14ac:dyDescent="0.25">
      <c r="B1342" s="29">
        <v>1334</v>
      </c>
      <c r="C1342" s="30">
        <v>0.96947674418604646</v>
      </c>
      <c r="D1342" s="28">
        <v>37167</v>
      </c>
      <c r="E1342" s="14">
        <v>1.9388615289054778E-2</v>
      </c>
      <c r="F1342" s="14">
        <v>2.3046421451573984E-2</v>
      </c>
      <c r="G1342" s="14">
        <v>1.156168128488444E-2</v>
      </c>
      <c r="H1342" s="14">
        <v>1.2618813325451761E-2</v>
      </c>
    </row>
    <row r="1343" spans="2:8" x14ac:dyDescent="0.25">
      <c r="B1343" s="29">
        <v>1335</v>
      </c>
      <c r="C1343" s="30">
        <v>0.97020348837209303</v>
      </c>
      <c r="D1343" s="28">
        <v>37168</v>
      </c>
      <c r="E1343" s="14">
        <v>1.9825894784407438E-2</v>
      </c>
      <c r="F1343" s="14">
        <v>2.3126163126483856E-2</v>
      </c>
      <c r="G1343" s="14">
        <v>1.1804365753955492E-2</v>
      </c>
      <c r="H1343" s="14">
        <v>1.2644842744247065E-2</v>
      </c>
    </row>
    <row r="1344" spans="2:8" x14ac:dyDescent="0.25">
      <c r="B1344" s="29">
        <v>1336</v>
      </c>
      <c r="C1344" s="30">
        <v>0.97093023255813948</v>
      </c>
      <c r="D1344" s="28">
        <v>37169</v>
      </c>
      <c r="E1344" s="14">
        <v>2.0075876998227438E-2</v>
      </c>
      <c r="F1344" s="14">
        <v>2.3127619246352538E-2</v>
      </c>
      <c r="G1344" s="14">
        <v>1.1814222279081132E-2</v>
      </c>
      <c r="H1344" s="14">
        <v>1.2805865941471596E-2</v>
      </c>
    </row>
    <row r="1345" spans="2:8" x14ac:dyDescent="0.25">
      <c r="B1345" s="29">
        <v>1337</v>
      </c>
      <c r="C1345" s="30">
        <v>0.97165697674418605</v>
      </c>
      <c r="D1345" s="28">
        <v>37172</v>
      </c>
      <c r="E1345" s="14">
        <v>2.0322674817999875E-2</v>
      </c>
      <c r="F1345" s="14">
        <v>2.3444784867457047E-2</v>
      </c>
      <c r="G1345" s="14">
        <v>1.2009491510422965E-2</v>
      </c>
      <c r="H1345" s="14">
        <v>1.3031861238860732E-2</v>
      </c>
    </row>
    <row r="1346" spans="2:8" x14ac:dyDescent="0.25">
      <c r="B1346" s="29">
        <v>1338</v>
      </c>
      <c r="C1346" s="30">
        <v>0.97238372093023251</v>
      </c>
      <c r="D1346" s="28">
        <v>37173</v>
      </c>
      <c r="E1346" s="14">
        <v>2.0876283501130688E-2</v>
      </c>
      <c r="F1346" s="14">
        <v>2.3691301326916214E-2</v>
      </c>
      <c r="G1346" s="14">
        <v>1.203671808173068E-2</v>
      </c>
      <c r="H1346" s="14">
        <v>1.3054082049671355E-2</v>
      </c>
    </row>
    <row r="1347" spans="2:8" x14ac:dyDescent="0.25">
      <c r="B1347" s="29">
        <v>1339</v>
      </c>
      <c r="C1347" s="30">
        <v>0.97311046511627908</v>
      </c>
      <c r="D1347" s="28">
        <v>37174</v>
      </c>
      <c r="E1347" s="14">
        <v>2.1054864787145577E-2</v>
      </c>
      <c r="F1347" s="14">
        <v>2.3691938697462556E-2</v>
      </c>
      <c r="G1347" s="14">
        <v>1.207821911958229E-2</v>
      </c>
      <c r="H1347" s="14">
        <v>1.3076801037007216E-2</v>
      </c>
    </row>
    <row r="1348" spans="2:8" x14ac:dyDescent="0.25">
      <c r="B1348" s="29">
        <v>1340</v>
      </c>
      <c r="C1348" s="30">
        <v>0.97383720930232553</v>
      </c>
      <c r="D1348" s="28">
        <v>37175</v>
      </c>
      <c r="E1348" s="14">
        <v>2.1491490935764412E-2</v>
      </c>
      <c r="F1348" s="14">
        <v>2.4279880807857923E-2</v>
      </c>
      <c r="G1348" s="14">
        <v>1.2173153556416683E-2</v>
      </c>
      <c r="H1348" s="14">
        <v>1.3400280265551779E-2</v>
      </c>
    </row>
    <row r="1349" spans="2:8" x14ac:dyDescent="0.25">
      <c r="B1349" s="29">
        <v>1341</v>
      </c>
      <c r="C1349" s="30">
        <v>0.9745639534883721</v>
      </c>
      <c r="D1349" s="28">
        <v>37176</v>
      </c>
      <c r="E1349" s="14">
        <v>2.1632774226462148E-2</v>
      </c>
      <c r="F1349" s="14">
        <v>2.4402679509907044E-2</v>
      </c>
      <c r="G1349" s="14">
        <v>1.2251613362824099E-2</v>
      </c>
      <c r="H1349" s="14">
        <v>1.3474431186928704E-2</v>
      </c>
    </row>
    <row r="1350" spans="2:8" x14ac:dyDescent="0.25">
      <c r="B1350" s="29">
        <v>1342</v>
      </c>
      <c r="C1350" s="30">
        <v>0.97529069767441856</v>
      </c>
      <c r="D1350" s="28">
        <v>37179</v>
      </c>
      <c r="E1350" s="14">
        <v>2.2133275638251959E-2</v>
      </c>
      <c r="F1350" s="14">
        <v>2.4919292223448242E-2</v>
      </c>
      <c r="G1350" s="14">
        <v>1.225566242631082E-2</v>
      </c>
      <c r="H1350" s="14">
        <v>1.3575753054278562E-2</v>
      </c>
    </row>
    <row r="1351" spans="2:8" x14ac:dyDescent="0.25">
      <c r="B1351" s="29">
        <v>1343</v>
      </c>
      <c r="C1351" s="30">
        <v>0.97601744186046513</v>
      </c>
      <c r="D1351" s="28">
        <v>37180</v>
      </c>
      <c r="E1351" s="14">
        <v>2.2207503048614408E-2</v>
      </c>
      <c r="F1351" s="14">
        <v>2.5217621456299133E-2</v>
      </c>
      <c r="G1351" s="14">
        <v>1.2429565793834918E-2</v>
      </c>
      <c r="H1351" s="14">
        <v>1.3599753406747217E-2</v>
      </c>
    </row>
    <row r="1352" spans="2:8" x14ac:dyDescent="0.25">
      <c r="B1352" s="29">
        <v>1344</v>
      </c>
      <c r="C1352" s="30">
        <v>0.97674418604651159</v>
      </c>
      <c r="D1352" s="28">
        <v>37181</v>
      </c>
      <c r="E1352" s="14">
        <v>2.246197382384163E-2</v>
      </c>
      <c r="F1352" s="14">
        <v>2.5565860925560902E-2</v>
      </c>
      <c r="G1352" s="14">
        <v>1.2550081977037442E-2</v>
      </c>
      <c r="H1352" s="14">
        <v>1.3627043145519657E-2</v>
      </c>
    </row>
    <row r="1353" spans="2:8" x14ac:dyDescent="0.25">
      <c r="B1353" s="29">
        <v>1345</v>
      </c>
      <c r="C1353" s="30">
        <v>0.97747093023255816</v>
      </c>
      <c r="D1353" s="28">
        <v>37182</v>
      </c>
      <c r="E1353" s="14">
        <v>2.2498833141607832E-2</v>
      </c>
      <c r="F1353" s="14">
        <v>2.5583634802071709E-2</v>
      </c>
      <c r="G1353" s="14">
        <v>1.2785764789064347E-2</v>
      </c>
      <c r="H1353" s="14">
        <v>1.3653808778186075E-2</v>
      </c>
    </row>
    <row r="1354" spans="2:8" x14ac:dyDescent="0.25">
      <c r="B1354" s="29">
        <v>1346</v>
      </c>
      <c r="C1354" s="30">
        <v>0.97819767441860461</v>
      </c>
      <c r="D1354" s="28">
        <v>37183</v>
      </c>
      <c r="E1354" s="14">
        <v>2.2561433016285548E-2</v>
      </c>
      <c r="F1354" s="14">
        <v>2.5601814589887972E-2</v>
      </c>
      <c r="G1354" s="14">
        <v>1.2802976418449408E-2</v>
      </c>
      <c r="H1354" s="14">
        <v>1.3701958439796292E-2</v>
      </c>
    </row>
    <row r="1355" spans="2:8" x14ac:dyDescent="0.25">
      <c r="B1355" s="29">
        <v>1347</v>
      </c>
      <c r="C1355" s="30">
        <v>0.97892441860465118</v>
      </c>
      <c r="D1355" s="28">
        <v>37186</v>
      </c>
      <c r="E1355" s="14">
        <v>2.317507118469031E-2</v>
      </c>
      <c r="F1355" s="14">
        <v>2.5631295423984568E-2</v>
      </c>
      <c r="G1355" s="14">
        <v>1.2862099916725933E-2</v>
      </c>
      <c r="H1355" s="14">
        <v>1.3720620284956065E-2</v>
      </c>
    </row>
    <row r="1356" spans="2:8" x14ac:dyDescent="0.25">
      <c r="B1356" s="29">
        <v>1348</v>
      </c>
      <c r="C1356" s="30">
        <v>0.97965116279069764</v>
      </c>
      <c r="D1356" s="28">
        <v>37187</v>
      </c>
      <c r="E1356" s="14">
        <v>2.3811826605025344E-2</v>
      </c>
      <c r="F1356" s="14">
        <v>2.6004752772450512E-2</v>
      </c>
      <c r="G1356" s="14">
        <v>1.2983440611761932E-2</v>
      </c>
      <c r="H1356" s="14">
        <v>1.3797302386087163E-2</v>
      </c>
    </row>
    <row r="1357" spans="2:8" x14ac:dyDescent="0.25">
      <c r="B1357" s="29">
        <v>1349</v>
      </c>
      <c r="C1357" s="30">
        <v>0.98037790697674421</v>
      </c>
      <c r="D1357" s="28">
        <v>37188</v>
      </c>
      <c r="E1357" s="14">
        <v>2.4282234474453102E-2</v>
      </c>
      <c r="F1357" s="14">
        <v>2.6565097399977367E-2</v>
      </c>
      <c r="G1357" s="14">
        <v>1.3001467091617425E-2</v>
      </c>
      <c r="H1357" s="14">
        <v>1.4319172545839276E-2</v>
      </c>
    </row>
    <row r="1358" spans="2:8" x14ac:dyDescent="0.25">
      <c r="B1358" s="29">
        <v>1350</v>
      </c>
      <c r="C1358" s="30">
        <v>0.98110465116279066</v>
      </c>
      <c r="D1358" s="28">
        <v>37189</v>
      </c>
      <c r="E1358" s="14">
        <v>2.4359504132231535E-2</v>
      </c>
      <c r="F1358" s="14">
        <v>2.6644945441822943E-2</v>
      </c>
      <c r="G1358" s="14">
        <v>1.3028073044426325E-2</v>
      </c>
      <c r="H1358" s="14">
        <v>1.4634740632679444E-2</v>
      </c>
    </row>
    <row r="1359" spans="2:8" x14ac:dyDescent="0.25">
      <c r="B1359" s="29">
        <v>1351</v>
      </c>
      <c r="C1359" s="30">
        <v>0.98183139534883723</v>
      </c>
      <c r="D1359" s="28">
        <v>37190</v>
      </c>
      <c r="E1359" s="14">
        <v>2.4537697301034278E-2</v>
      </c>
      <c r="F1359" s="14">
        <v>2.7065990383178695E-2</v>
      </c>
      <c r="G1359" s="14">
        <v>1.305145076043579E-2</v>
      </c>
      <c r="H1359" s="14">
        <v>1.4845951509836964E-2</v>
      </c>
    </row>
    <row r="1360" spans="2:8" x14ac:dyDescent="0.25">
      <c r="B1360" s="29">
        <v>1352</v>
      </c>
      <c r="C1360" s="30">
        <v>0.98255813953488369</v>
      </c>
      <c r="D1360" s="28">
        <v>37193</v>
      </c>
      <c r="E1360" s="14">
        <v>2.4708624708624782E-2</v>
      </c>
      <c r="F1360" s="14">
        <v>2.7090384409847124E-2</v>
      </c>
      <c r="G1360" s="14">
        <v>1.3108819657744686E-2</v>
      </c>
      <c r="H1360" s="14">
        <v>1.4884519770290039E-2</v>
      </c>
    </row>
    <row r="1361" spans="2:8" x14ac:dyDescent="0.25">
      <c r="B1361" s="29">
        <v>1353</v>
      </c>
      <c r="C1361" s="30">
        <v>0.98328488372093026</v>
      </c>
      <c r="D1361" s="28">
        <v>37194</v>
      </c>
      <c r="E1361" s="14">
        <v>2.4721731237758338E-2</v>
      </c>
      <c r="F1361" s="14">
        <v>2.7284723659697585E-2</v>
      </c>
      <c r="G1361" s="14">
        <v>1.3208971317662188E-2</v>
      </c>
      <c r="H1361" s="14">
        <v>1.5141965874063914E-2</v>
      </c>
    </row>
    <row r="1362" spans="2:8" x14ac:dyDescent="0.25">
      <c r="B1362" s="29">
        <v>1354</v>
      </c>
      <c r="C1362" s="30">
        <v>0.98401162790697672</v>
      </c>
      <c r="D1362" s="28">
        <v>37195</v>
      </c>
      <c r="E1362" s="14">
        <v>2.4749192384146523E-2</v>
      </c>
      <c r="F1362" s="14">
        <v>2.8126596866608011E-2</v>
      </c>
      <c r="G1362" s="14">
        <v>1.3276131949678138E-2</v>
      </c>
      <c r="H1362" s="14">
        <v>1.5209126431066578E-2</v>
      </c>
    </row>
    <row r="1363" spans="2:8" x14ac:dyDescent="0.25">
      <c r="B1363" s="29">
        <v>1355</v>
      </c>
      <c r="C1363" s="30">
        <v>0.98473837209302328</v>
      </c>
      <c r="D1363" s="28">
        <v>37196</v>
      </c>
      <c r="E1363" s="14">
        <v>2.4756537755884489E-2</v>
      </c>
      <c r="F1363" s="14">
        <v>2.8452746830579967E-2</v>
      </c>
      <c r="G1363" s="14">
        <v>1.3312363084873491E-2</v>
      </c>
      <c r="H1363" s="14">
        <v>1.5763553919949456E-2</v>
      </c>
    </row>
    <row r="1364" spans="2:8" x14ac:dyDescent="0.25">
      <c r="B1364" s="29">
        <v>1356</v>
      </c>
      <c r="C1364" s="30">
        <v>0.98546511627906974</v>
      </c>
      <c r="D1364" s="28">
        <v>37197</v>
      </c>
      <c r="E1364" s="14">
        <v>2.5690150008093937E-2</v>
      </c>
      <c r="F1364" s="14">
        <v>2.866337481447645E-2</v>
      </c>
      <c r="G1364" s="14">
        <v>1.3392690581966793E-2</v>
      </c>
      <c r="H1364" s="14">
        <v>1.6595224354839445E-2</v>
      </c>
    </row>
    <row r="1365" spans="2:8" x14ac:dyDescent="0.25">
      <c r="B1365" s="29">
        <v>1357</v>
      </c>
      <c r="C1365" s="30">
        <v>0.98619186046511631</v>
      </c>
      <c r="D1365" s="28">
        <v>37200</v>
      </c>
      <c r="E1365" s="14">
        <v>2.5799515769389547E-2</v>
      </c>
      <c r="F1365" s="14">
        <v>2.8905853188892605E-2</v>
      </c>
      <c r="G1365" s="14">
        <v>1.3447292392519961E-2</v>
      </c>
      <c r="H1365" s="14">
        <v>1.6652013862270373E-2</v>
      </c>
    </row>
    <row r="1366" spans="2:8" x14ac:dyDescent="0.25">
      <c r="B1366" s="29">
        <v>1358</v>
      </c>
      <c r="C1366" s="30">
        <v>0.98691860465116277</v>
      </c>
      <c r="D1366" s="28">
        <v>37201</v>
      </c>
      <c r="E1366" s="14">
        <v>2.65725635388947E-2</v>
      </c>
      <c r="F1366" s="14">
        <v>2.9453473306195521E-2</v>
      </c>
      <c r="G1366" s="14">
        <v>1.349519712416769E-2</v>
      </c>
      <c r="H1366" s="14">
        <v>1.6839168488584643E-2</v>
      </c>
    </row>
    <row r="1367" spans="2:8" x14ac:dyDescent="0.25">
      <c r="B1367" s="29">
        <v>1359</v>
      </c>
      <c r="C1367" s="30">
        <v>0.98764534883720934</v>
      </c>
      <c r="D1367" s="28">
        <v>37202</v>
      </c>
      <c r="E1367" s="14">
        <v>2.7814724982395678E-2</v>
      </c>
      <c r="F1367" s="14">
        <v>3.125173713409013E-2</v>
      </c>
      <c r="G1367" s="14">
        <v>1.3988642348040203E-2</v>
      </c>
      <c r="H1367" s="14">
        <v>1.6850615646978942E-2</v>
      </c>
    </row>
    <row r="1368" spans="2:8" x14ac:dyDescent="0.25">
      <c r="B1368" s="29">
        <v>1360</v>
      </c>
      <c r="C1368" s="30">
        <v>0.98837209302325579</v>
      </c>
      <c r="D1368" s="28">
        <v>37203</v>
      </c>
      <c r="E1368" s="14">
        <v>2.8196746939430639E-2</v>
      </c>
      <c r="F1368" s="14">
        <v>3.2220141942787439E-2</v>
      </c>
      <c r="G1368" s="14">
        <v>1.4230638394375772E-2</v>
      </c>
      <c r="H1368" s="14">
        <v>1.7255362303307997E-2</v>
      </c>
    </row>
    <row r="1369" spans="2:8" x14ac:dyDescent="0.25">
      <c r="B1369" s="29">
        <v>1361</v>
      </c>
      <c r="C1369" s="30">
        <v>0.98909883720930236</v>
      </c>
      <c r="D1369" s="28">
        <v>37204</v>
      </c>
      <c r="E1369" s="14">
        <v>2.8397067714631241E-2</v>
      </c>
      <c r="F1369" s="14">
        <v>3.3083682255115932E-2</v>
      </c>
      <c r="G1369" s="14">
        <v>1.4528480016783751E-2</v>
      </c>
      <c r="H1369" s="14">
        <v>1.7759274632006238E-2</v>
      </c>
    </row>
    <row r="1370" spans="2:8" x14ac:dyDescent="0.25">
      <c r="B1370" s="29">
        <v>1362</v>
      </c>
      <c r="C1370" s="30">
        <v>0.98982558139534882</v>
      </c>
      <c r="D1370" s="28">
        <v>37207</v>
      </c>
      <c r="E1370" s="14">
        <v>2.8898884712551753E-2</v>
      </c>
      <c r="F1370" s="14">
        <v>3.3275985061474556E-2</v>
      </c>
      <c r="G1370" s="14">
        <v>1.4619449795031381E-2</v>
      </c>
      <c r="H1370" s="14">
        <v>1.8323807576933682E-2</v>
      </c>
    </row>
    <row r="1371" spans="2:8" x14ac:dyDescent="0.25">
      <c r="B1371" s="29">
        <v>1363</v>
      </c>
      <c r="C1371" s="30">
        <v>0.99055232558139539</v>
      </c>
      <c r="D1371" s="28">
        <v>37208</v>
      </c>
      <c r="E1371" s="14">
        <v>2.9672578444747799E-2</v>
      </c>
      <c r="F1371" s="14">
        <v>3.3373941554242226E-2</v>
      </c>
      <c r="G1371" s="14">
        <v>1.5033991953995685E-2</v>
      </c>
      <c r="H1371" s="14">
        <v>1.8438219650023794E-2</v>
      </c>
    </row>
    <row r="1372" spans="2:8" x14ac:dyDescent="0.25">
      <c r="B1372" s="29">
        <v>1364</v>
      </c>
      <c r="C1372" s="30">
        <v>0.99127906976744184</v>
      </c>
      <c r="D1372" s="28">
        <v>37209</v>
      </c>
      <c r="E1372" s="14">
        <v>3.0123468448263635E-2</v>
      </c>
      <c r="F1372" s="14">
        <v>3.474354007093261E-2</v>
      </c>
      <c r="G1372" s="14">
        <v>1.5130075106128293E-2</v>
      </c>
      <c r="H1372" s="14">
        <v>1.8705691382209011E-2</v>
      </c>
    </row>
    <row r="1373" spans="2:8" x14ac:dyDescent="0.25">
      <c r="B1373" s="29">
        <v>1365</v>
      </c>
      <c r="C1373" s="30">
        <v>0.99200581395348841</v>
      </c>
      <c r="D1373" s="28">
        <v>37210</v>
      </c>
      <c r="E1373" s="14">
        <v>3.0247069572147733E-2</v>
      </c>
      <c r="F1373" s="14">
        <v>3.5266173624017627E-2</v>
      </c>
      <c r="G1373" s="14">
        <v>1.5158636363034494E-2</v>
      </c>
      <c r="H1373" s="14">
        <v>1.9302665204485425E-2</v>
      </c>
    </row>
    <row r="1374" spans="2:8" x14ac:dyDescent="0.25">
      <c r="B1374" s="29">
        <v>1366</v>
      </c>
      <c r="C1374" s="30">
        <v>0.99273255813953487</v>
      </c>
      <c r="D1374" s="28">
        <v>37211</v>
      </c>
      <c r="E1374" s="14">
        <v>3.107402477731136E-2</v>
      </c>
      <c r="F1374" s="14">
        <v>3.5410778629216155E-2</v>
      </c>
      <c r="G1374" s="14">
        <v>1.5290864977712593E-2</v>
      </c>
      <c r="H1374" s="14">
        <v>2.1186728988790725E-2</v>
      </c>
    </row>
    <row r="1375" spans="2:8" x14ac:dyDescent="0.25">
      <c r="B1375" s="29">
        <v>1367</v>
      </c>
      <c r="C1375" s="30">
        <v>0.99345930232558144</v>
      </c>
      <c r="D1375" s="28">
        <v>37214</v>
      </c>
      <c r="E1375" s="14">
        <v>3.1288044801558446E-2</v>
      </c>
      <c r="F1375" s="14">
        <v>3.863028580979444E-2</v>
      </c>
      <c r="G1375" s="14">
        <v>1.5624307722311714E-2</v>
      </c>
      <c r="H1375" s="14">
        <v>2.1191771932108906E-2</v>
      </c>
    </row>
    <row r="1376" spans="2:8" x14ac:dyDescent="0.25">
      <c r="B1376" s="29">
        <v>1368</v>
      </c>
      <c r="C1376" s="30">
        <v>0.9941860465116279</v>
      </c>
      <c r="D1376" s="28">
        <v>37215</v>
      </c>
      <c r="E1376" s="14">
        <v>3.188345037058915E-2</v>
      </c>
      <c r="F1376" s="14">
        <v>3.8890427165404029E-2</v>
      </c>
      <c r="G1376" s="14">
        <v>1.5673626435805943E-2</v>
      </c>
      <c r="H1376" s="14">
        <v>2.2774994231814016E-2</v>
      </c>
    </row>
    <row r="1377" spans="2:8" x14ac:dyDescent="0.25">
      <c r="B1377" s="29">
        <v>1369</v>
      </c>
      <c r="C1377" s="30">
        <v>0.99491279069767447</v>
      </c>
      <c r="D1377" s="28">
        <v>37216</v>
      </c>
      <c r="E1377" s="14">
        <v>3.3458861120620798E-2</v>
      </c>
      <c r="F1377" s="14">
        <v>3.8921635961568946E-2</v>
      </c>
      <c r="G1377" s="14">
        <v>1.5881923789213603E-2</v>
      </c>
      <c r="H1377" s="14">
        <v>2.3330816168842142E-2</v>
      </c>
    </row>
    <row r="1378" spans="2:8" x14ac:dyDescent="0.25">
      <c r="B1378" s="29">
        <v>1370</v>
      </c>
      <c r="C1378" s="30">
        <v>0.99563953488372092</v>
      </c>
      <c r="D1378" s="28">
        <v>37217</v>
      </c>
      <c r="E1378" s="14">
        <v>3.3597271004604856E-2</v>
      </c>
      <c r="F1378" s="14">
        <v>3.9055780649306371E-2</v>
      </c>
      <c r="G1378" s="14">
        <v>1.6258403940667021E-2</v>
      </c>
      <c r="H1378" s="14">
        <v>2.3547865798945588E-2</v>
      </c>
    </row>
    <row r="1379" spans="2:8" x14ac:dyDescent="0.25">
      <c r="B1379" s="29">
        <v>1371</v>
      </c>
      <c r="C1379" s="30">
        <v>0.99636627906976749</v>
      </c>
      <c r="D1379" s="28">
        <v>37218</v>
      </c>
      <c r="E1379" s="14">
        <v>3.4977138662556806E-2</v>
      </c>
      <c r="F1379" s="14">
        <v>4.172923731763345E-2</v>
      </c>
      <c r="G1379" s="14">
        <v>1.6489597166888137E-2</v>
      </c>
      <c r="H1379" s="14">
        <v>2.3725385639933316E-2</v>
      </c>
    </row>
    <row r="1380" spans="2:8" x14ac:dyDescent="0.25">
      <c r="B1380" s="29">
        <v>1372</v>
      </c>
      <c r="C1380" s="30">
        <v>0.99709302325581395</v>
      </c>
      <c r="D1380" s="28">
        <v>37221</v>
      </c>
      <c r="E1380" s="14">
        <v>3.634533235056292E-2</v>
      </c>
      <c r="F1380" s="14">
        <v>4.3680036256514843E-2</v>
      </c>
      <c r="G1380" s="14">
        <v>1.7569463934886231E-2</v>
      </c>
      <c r="H1380" s="14">
        <v>2.5914418031318352E-2</v>
      </c>
    </row>
    <row r="1381" spans="2:8" x14ac:dyDescent="0.25">
      <c r="B1381" s="29">
        <v>1373</v>
      </c>
      <c r="C1381" s="30">
        <v>0.99781976744186052</v>
      </c>
      <c r="D1381" s="28">
        <v>37222</v>
      </c>
      <c r="E1381" s="14">
        <v>4.0295737772482187E-2</v>
      </c>
      <c r="F1381" s="14">
        <v>4.763854469705131E-2</v>
      </c>
      <c r="G1381" s="14">
        <v>1.7675606641123887E-2</v>
      </c>
      <c r="H1381" s="14">
        <v>2.6004086690869559E-2</v>
      </c>
    </row>
    <row r="1382" spans="2:8" x14ac:dyDescent="0.25">
      <c r="B1382" s="29">
        <v>1374</v>
      </c>
      <c r="C1382" s="30">
        <v>0.99854651162790697</v>
      </c>
      <c r="D1382" s="28">
        <v>37223</v>
      </c>
      <c r="E1382" s="14">
        <v>4.7221375596870896E-2</v>
      </c>
      <c r="F1382" s="14">
        <v>5.0098576293375441E-2</v>
      </c>
      <c r="G1382" s="14">
        <v>1.7771035379530842E-2</v>
      </c>
      <c r="H1382" s="14">
        <v>2.8379849791782166E-2</v>
      </c>
    </row>
    <row r="1383" spans="2:8" x14ac:dyDescent="0.25">
      <c r="B1383" s="29">
        <v>1375</v>
      </c>
      <c r="C1383" s="30">
        <v>0.99927325581395354</v>
      </c>
      <c r="D1383" s="28">
        <v>37224</v>
      </c>
      <c r="E1383" s="14">
        <v>5.0295215701622764E-2</v>
      </c>
      <c r="F1383" s="14">
        <v>5.0898972163180733E-2</v>
      </c>
      <c r="G1383" s="14">
        <v>1.8281740690893056E-2</v>
      </c>
      <c r="H1383" s="14">
        <v>3.3771668177762719E-2</v>
      </c>
    </row>
    <row r="1384" spans="2:8" x14ac:dyDescent="0.25">
      <c r="B1384" s="29">
        <v>1376</v>
      </c>
      <c r="C1384" s="30">
        <v>1</v>
      </c>
      <c r="D1384" s="28">
        <v>37225</v>
      </c>
      <c r="E1384" s="14">
        <v>5.6491685254300927E-2</v>
      </c>
      <c r="F1384" s="14">
        <v>5.1164222673265147E-2</v>
      </c>
      <c r="G1384" s="14">
        <v>2.1004222112712467E-2</v>
      </c>
      <c r="H1384" s="14">
        <v>3.9276891730934647E-2</v>
      </c>
    </row>
  </sheetData>
  <sheetProtection formatCells="0" selectLockedCells="1"/>
  <mergeCells count="9">
    <mergeCell ref="J13:J14"/>
    <mergeCell ref="J16:J17"/>
    <mergeCell ref="J19:J22"/>
    <mergeCell ref="B2:I3"/>
    <mergeCell ref="D6:D7"/>
    <mergeCell ref="E6:G6"/>
    <mergeCell ref="B8:C8"/>
    <mergeCell ref="E8:H8"/>
    <mergeCell ref="J10:J11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2:Q1384"/>
  <sheetViews>
    <sheetView showGridLines="0" zoomScale="115" zoomScaleNormal="115" workbookViewId="0">
      <selection activeCell="H9" sqref="H9"/>
    </sheetView>
  </sheetViews>
  <sheetFormatPr baseColWidth="10" defaultColWidth="11.42578125" defaultRowHeight="15" x14ac:dyDescent="0.25"/>
  <cols>
    <col min="1" max="12" width="11.42578125" style="23"/>
    <col min="13" max="13" width="11.42578125" style="23" customWidth="1"/>
    <col min="14" max="14" width="16.28515625" style="23" customWidth="1"/>
    <col min="15" max="15" width="13.42578125" style="23" bestFit="1" customWidth="1"/>
    <col min="16" max="18" width="11.42578125" style="23" customWidth="1"/>
    <col min="19" max="20" width="11.42578125" style="23"/>
    <col min="21" max="21" width="13" style="23" customWidth="1"/>
    <col min="22" max="24" width="11.42578125" style="23"/>
    <col min="25" max="25" width="6" style="23" customWidth="1"/>
    <col min="26" max="16384" width="11.42578125" style="23"/>
  </cols>
  <sheetData>
    <row r="2" spans="1:17" x14ac:dyDescent="0.25">
      <c r="B2" s="78" t="s">
        <v>30</v>
      </c>
      <c r="C2" s="79"/>
      <c r="D2" s="79"/>
      <c r="E2" s="79"/>
      <c r="F2" s="79"/>
      <c r="G2" s="79"/>
      <c r="H2" s="79"/>
      <c r="I2" s="79"/>
      <c r="J2" s="79"/>
      <c r="K2" s="79"/>
      <c r="L2" s="80"/>
    </row>
    <row r="3" spans="1:17" x14ac:dyDescent="0.25">
      <c r="B3" s="81"/>
      <c r="C3" s="82"/>
      <c r="D3" s="82"/>
      <c r="E3" s="82"/>
      <c r="F3" s="82"/>
      <c r="G3" s="82"/>
      <c r="H3" s="82"/>
      <c r="I3" s="82"/>
      <c r="J3" s="82"/>
      <c r="K3" s="82"/>
      <c r="L3" s="83"/>
    </row>
    <row r="5" spans="1:17" x14ac:dyDescent="0.25">
      <c r="A5" s="24"/>
    </row>
    <row r="6" spans="1:17" x14ac:dyDescent="0.25">
      <c r="A6" s="24"/>
      <c r="D6" s="37" t="s">
        <v>31</v>
      </c>
      <c r="E6" s="37" t="s">
        <v>31</v>
      </c>
      <c r="F6" s="38" t="s">
        <v>31</v>
      </c>
      <c r="H6" s="85" t="s">
        <v>2</v>
      </c>
      <c r="I6" s="86"/>
      <c r="J6" s="87"/>
      <c r="K6" s="1"/>
    </row>
    <row r="7" spans="1:17" x14ac:dyDescent="0.25">
      <c r="A7" s="24"/>
      <c r="B7" s="25" t="s">
        <v>20</v>
      </c>
      <c r="C7" s="26" t="s">
        <v>21</v>
      </c>
      <c r="D7" s="7" t="s">
        <v>4</v>
      </c>
      <c r="E7" s="8" t="s">
        <v>5</v>
      </c>
      <c r="F7" s="8" t="s">
        <v>6</v>
      </c>
      <c r="G7" s="8" t="s">
        <v>7</v>
      </c>
      <c r="H7" s="7" t="s">
        <v>4</v>
      </c>
      <c r="I7" s="8" t="s">
        <v>5</v>
      </c>
      <c r="J7" s="8" t="s">
        <v>6</v>
      </c>
      <c r="K7" s="8" t="s">
        <v>7</v>
      </c>
      <c r="M7" s="5" t="s">
        <v>22</v>
      </c>
      <c r="N7" s="27">
        <v>0.01</v>
      </c>
    </row>
    <row r="8" spans="1:17" x14ac:dyDescent="0.25">
      <c r="A8" s="24"/>
      <c r="B8" s="88"/>
      <c r="C8" s="89"/>
      <c r="D8" s="73">
        <f ca="1">NORMINV(RAND(),Ejercicio1!$H$15,Ejercicio1!$I$15)</f>
        <v>-7.3752742692061012E-3</v>
      </c>
      <c r="E8" s="39"/>
      <c r="F8" s="39"/>
      <c r="G8" s="40"/>
      <c r="H8" s="90"/>
      <c r="I8" s="90"/>
      <c r="J8" s="90"/>
      <c r="K8" s="90"/>
    </row>
    <row r="9" spans="1:17" x14ac:dyDescent="0.25">
      <c r="A9" s="24"/>
      <c r="B9" s="29">
        <v>1</v>
      </c>
      <c r="C9" s="30">
        <v>7.2674418604651162E-4</v>
      </c>
      <c r="D9" s="41">
        <v>5.4467496375698666E-3</v>
      </c>
      <c r="E9" s="41">
        <v>-5.4422377288722004E-3</v>
      </c>
      <c r="F9" s="41">
        <v>-5.6819047004786905E-3</v>
      </c>
      <c r="G9" s="41">
        <v>-4.5949031325277501E-3</v>
      </c>
      <c r="H9" s="14">
        <v>-5.2429384156635561E-2</v>
      </c>
      <c r="I9" s="14">
        <v>-6.8667431290089564E-2</v>
      </c>
      <c r="J9" s="14">
        <v>-3.2664171486900373E-2</v>
      </c>
      <c r="K9" s="14">
        <v>-3.529313377487886E-2</v>
      </c>
      <c r="P9" s="31"/>
      <c r="Q9" s="31"/>
    </row>
    <row r="10" spans="1:17" x14ac:dyDescent="0.25">
      <c r="A10" s="24"/>
      <c r="B10" s="29">
        <v>2</v>
      </c>
      <c r="C10" s="30">
        <v>1.4534883720930232E-3</v>
      </c>
      <c r="D10" s="41">
        <v>-7.5237091292418411E-3</v>
      </c>
      <c r="E10" s="41">
        <v>-4.7224262776786041E-3</v>
      </c>
      <c r="F10" s="41">
        <v>-6.118709984544668E-3</v>
      </c>
      <c r="G10" s="41">
        <v>2.5820604624739348E-3</v>
      </c>
      <c r="H10" s="14">
        <v>-3.9060730945156608E-2</v>
      </c>
      <c r="I10" s="14">
        <v>-6.8014097396654871E-2</v>
      </c>
      <c r="J10" s="14">
        <v>-2.2670509125840344E-2</v>
      </c>
      <c r="K10" s="14">
        <v>-3.5031843184825266E-2</v>
      </c>
      <c r="M10" s="84" t="s">
        <v>4</v>
      </c>
      <c r="N10" s="32" t="s">
        <v>23</v>
      </c>
      <c r="O10" s="14">
        <v>2.5566501630645999E-2</v>
      </c>
      <c r="Q10" s="31"/>
    </row>
    <row r="11" spans="1:17" x14ac:dyDescent="0.25">
      <c r="A11" s="24"/>
      <c r="B11" s="29">
        <v>3</v>
      </c>
      <c r="C11" s="30">
        <v>2.1802325581395349E-3</v>
      </c>
      <c r="D11" s="41">
        <v>1.3781649288614559E-3</v>
      </c>
      <c r="E11" s="41">
        <v>3.795866722901664E-3</v>
      </c>
      <c r="F11" s="41">
        <v>-4.0490231141299127E-4</v>
      </c>
      <c r="G11" s="41">
        <v>-1.4179192715668693E-4</v>
      </c>
      <c r="H11" s="14">
        <v>-3.7189920964081691E-2</v>
      </c>
      <c r="I11" s="14">
        <v>-5.827797099638321E-2</v>
      </c>
      <c r="J11" s="14">
        <v>-2.2668579626972662E-2</v>
      </c>
      <c r="K11" s="14">
        <v>-2.8606244196511678E-2</v>
      </c>
      <c r="M11" s="84"/>
      <c r="N11" s="32" t="s">
        <v>24</v>
      </c>
      <c r="O11" s="33">
        <v>1022660.0652258401</v>
      </c>
    </row>
    <row r="12" spans="1:17" x14ac:dyDescent="0.25">
      <c r="A12" s="24"/>
      <c r="B12" s="29">
        <v>4</v>
      </c>
      <c r="C12" s="30">
        <v>2.9069767441860465E-3</v>
      </c>
      <c r="D12" s="41">
        <v>-1.0649645670127054E-2</v>
      </c>
      <c r="E12" s="41">
        <v>-2.3859543817527085E-3</v>
      </c>
      <c r="F12" s="41">
        <v>-1.1512261558669357E-3</v>
      </c>
      <c r="G12" s="41">
        <v>-3.0381750254477869E-4</v>
      </c>
      <c r="H12" s="14">
        <v>-3.63277419786876E-2</v>
      </c>
      <c r="I12" s="14">
        <v>-4.9243048309444037E-2</v>
      </c>
      <c r="J12" s="14">
        <v>-2.0780363778603594E-2</v>
      </c>
      <c r="K12" s="14">
        <v>-2.819161760058091E-2</v>
      </c>
    </row>
    <row r="13" spans="1:17" x14ac:dyDescent="0.25">
      <c r="A13" s="24"/>
      <c r="B13" s="29">
        <v>5</v>
      </c>
      <c r="C13" s="30">
        <v>3.6337209302325581E-3</v>
      </c>
      <c r="D13" s="41">
        <v>-3.1783244895434272E-3</v>
      </c>
      <c r="E13" s="41">
        <v>-1.1146041726207478E-2</v>
      </c>
      <c r="F13" s="41">
        <v>2.8463301617907E-3</v>
      </c>
      <c r="G13" s="41">
        <v>-2.2138356184431556E-5</v>
      </c>
      <c r="H13" s="14">
        <v>-3.3333333333333326E-2</v>
      </c>
      <c r="I13" s="14">
        <v>-4.3185651271406278E-2</v>
      </c>
      <c r="J13" s="14">
        <v>-2.0574576088130403E-2</v>
      </c>
      <c r="K13" s="14">
        <v>-2.7904140663284817E-2</v>
      </c>
      <c r="M13" s="84" t="s">
        <v>5</v>
      </c>
      <c r="N13" s="32" t="s">
        <v>23</v>
      </c>
      <c r="O13" s="14">
        <v>3.0376154322677373E-2</v>
      </c>
    </row>
    <row r="14" spans="1:17" x14ac:dyDescent="0.25">
      <c r="A14" s="24"/>
      <c r="B14" s="29">
        <v>6</v>
      </c>
      <c r="C14" s="30">
        <v>4.3604651162790697E-3</v>
      </c>
      <c r="D14" s="41">
        <v>-1.2405306121734921E-3</v>
      </c>
      <c r="E14" s="41">
        <v>-8.2293885001520906E-3</v>
      </c>
      <c r="F14" s="41">
        <v>-1.6225098430548979E-3</v>
      </c>
      <c r="G14" s="41">
        <v>1.2582623414286068E-3</v>
      </c>
      <c r="H14" s="14">
        <v>-3.2537462889379198E-2</v>
      </c>
      <c r="I14" s="14">
        <v>-3.8369658454698974E-2</v>
      </c>
      <c r="J14" s="14">
        <v>-1.9943928252952769E-2</v>
      </c>
      <c r="K14" s="14">
        <v>-2.7479039140248608E-2</v>
      </c>
      <c r="M14" s="84"/>
      <c r="N14" s="32" t="s">
        <v>24</v>
      </c>
      <c r="O14" s="33">
        <v>1215046.1729070949</v>
      </c>
    </row>
    <row r="15" spans="1:17" x14ac:dyDescent="0.25">
      <c r="A15" s="24"/>
      <c r="B15" s="29">
        <v>7</v>
      </c>
      <c r="C15" s="30">
        <v>5.0872093023255818E-3</v>
      </c>
      <c r="D15" s="41">
        <v>2.1872592027517841E-3</v>
      </c>
      <c r="E15" s="41">
        <v>0</v>
      </c>
      <c r="F15" s="41">
        <v>6.1586606308254854E-3</v>
      </c>
      <c r="G15" s="41">
        <v>1.2317321261650972E-3</v>
      </c>
      <c r="H15" s="14">
        <v>-3.1779581603253337E-2</v>
      </c>
      <c r="I15" s="14">
        <v>-3.8344717637195713E-2</v>
      </c>
      <c r="J15" s="14">
        <v>-1.981132075471681E-2</v>
      </c>
      <c r="K15" s="14">
        <v>-2.6007242907270103E-2</v>
      </c>
    </row>
    <row r="16" spans="1:17" x14ac:dyDescent="0.25">
      <c r="A16" s="24"/>
      <c r="B16" s="29">
        <v>8</v>
      </c>
      <c r="C16" s="30">
        <v>5.8139534883720929E-3</v>
      </c>
      <c r="D16" s="41">
        <v>3.3950969296428083E-3</v>
      </c>
      <c r="E16" s="41">
        <v>4.1871807849813703E-3</v>
      </c>
      <c r="F16" s="41">
        <v>-1.6817867343686954E-3</v>
      </c>
      <c r="G16" s="41">
        <v>-5.5347780457923887E-4</v>
      </c>
      <c r="H16" s="14">
        <v>-2.871725731895225E-2</v>
      </c>
      <c r="I16" s="14">
        <v>-3.624465139692945E-2</v>
      </c>
      <c r="J16" s="14">
        <v>-1.8676273697812995E-2</v>
      </c>
      <c r="K16" s="14">
        <v>-2.556683386220664E-2</v>
      </c>
      <c r="M16" s="84" t="s">
        <v>6</v>
      </c>
      <c r="N16" s="32" t="s">
        <v>23</v>
      </c>
      <c r="O16" s="14">
        <v>1.7368769298632736E-2</v>
      </c>
    </row>
    <row r="17" spans="1:15" x14ac:dyDescent="0.25">
      <c r="A17" s="24"/>
      <c r="B17" s="29">
        <v>9</v>
      </c>
      <c r="C17" s="30">
        <v>6.540697674418605E-3</v>
      </c>
      <c r="D17" s="41">
        <v>8.2109439634052549E-3</v>
      </c>
      <c r="E17" s="41">
        <v>1.3593597262950841E-3</v>
      </c>
      <c r="F17" s="41">
        <v>-1.4141150689594983E-3</v>
      </c>
      <c r="G17" s="41">
        <v>2.1042692192537963E-3</v>
      </c>
      <c r="H17" s="14">
        <v>-2.8201916179864783E-2</v>
      </c>
      <c r="I17" s="14">
        <v>-3.4393081239582068E-2</v>
      </c>
      <c r="J17" s="14">
        <v>-1.8440434024849406E-2</v>
      </c>
      <c r="K17" s="14">
        <v>-2.4003050793325695E-2</v>
      </c>
      <c r="M17" s="84"/>
      <c r="N17" s="32" t="s">
        <v>24</v>
      </c>
      <c r="O17" s="33">
        <v>347375.38597265474</v>
      </c>
    </row>
    <row r="18" spans="1:15" x14ac:dyDescent="0.25">
      <c r="A18" s="24"/>
      <c r="B18" s="29">
        <v>10</v>
      </c>
      <c r="C18" s="30">
        <v>7.2674418604651162E-3</v>
      </c>
      <c r="D18" s="41">
        <v>1.202410117701304E-2</v>
      </c>
      <c r="E18" s="41">
        <v>-9.4110828083768805E-3</v>
      </c>
      <c r="F18" s="41">
        <v>1.6867667760838145E-3</v>
      </c>
      <c r="G18" s="41">
        <v>-7.8948437700105973E-4</v>
      </c>
      <c r="H18" s="14">
        <v>-2.7409618410538239E-2</v>
      </c>
      <c r="I18" s="14">
        <v>-3.1295955882352899E-2</v>
      </c>
      <c r="J18" s="14">
        <v>-1.8223747117385725E-2</v>
      </c>
      <c r="K18" s="14">
        <v>-2.375214766520466E-2</v>
      </c>
    </row>
    <row r="19" spans="1:15" x14ac:dyDescent="0.25">
      <c r="A19" s="24"/>
      <c r="B19" s="29">
        <v>11</v>
      </c>
      <c r="C19" s="30">
        <v>7.9941860465116282E-3</v>
      </c>
      <c r="D19" s="41">
        <v>-9.0841010155322116E-3</v>
      </c>
      <c r="E19" s="41">
        <v>9.6082779009607489E-3</v>
      </c>
      <c r="F19" s="41">
        <v>2.4917214070427907E-3</v>
      </c>
      <c r="G19" s="41">
        <v>1.4935207503107067E-3</v>
      </c>
      <c r="H19" s="14">
        <v>-2.6976181340602978E-2</v>
      </c>
      <c r="I19" s="14">
        <v>-3.1082877825380439E-2</v>
      </c>
      <c r="J19" s="14">
        <v>-1.7833407177669569E-2</v>
      </c>
      <c r="K19" s="14">
        <v>-2.155526131431118E-2</v>
      </c>
      <c r="M19" s="84" t="s">
        <v>7</v>
      </c>
      <c r="N19" s="34" t="s">
        <v>23</v>
      </c>
      <c r="O19" s="14">
        <v>2.0105237927511198E-2</v>
      </c>
    </row>
    <row r="20" spans="1:15" x14ac:dyDescent="0.25">
      <c r="A20" s="24"/>
      <c r="B20" s="29">
        <v>12</v>
      </c>
      <c r="C20" s="30">
        <v>8.7209302325581394E-3</v>
      </c>
      <c r="D20" s="41">
        <v>-6.9560296105350859E-3</v>
      </c>
      <c r="E20" s="41">
        <v>1.2323084431429931E-2</v>
      </c>
      <c r="F20" s="41">
        <v>2.2167926618308353E-3</v>
      </c>
      <c r="G20" s="41">
        <v>3.3071958744789859E-3</v>
      </c>
      <c r="H20" s="14">
        <v>-2.6695889040769472E-2</v>
      </c>
      <c r="I20" s="14">
        <v>-3.0514194200301215E-2</v>
      </c>
      <c r="J20" s="14">
        <v>-1.7828657220606225E-2</v>
      </c>
      <c r="K20" s="14">
        <v>-2.1037044257724347E-2</v>
      </c>
      <c r="M20" s="84"/>
      <c r="N20" s="34" t="s">
        <v>25</v>
      </c>
      <c r="O20" s="33">
        <f>O19*Ejercicio1!$I$7</f>
        <v>2010523.7927511197</v>
      </c>
    </row>
    <row r="21" spans="1:15" x14ac:dyDescent="0.25">
      <c r="A21" s="24"/>
      <c r="B21" s="29">
        <v>13</v>
      </c>
      <c r="C21" s="30">
        <v>9.4476744186046506E-3</v>
      </c>
      <c r="D21" s="41">
        <v>1.2413963059714273E-3</v>
      </c>
      <c r="E21" s="41">
        <v>7.5328431963228581E-5</v>
      </c>
      <c r="F21" s="41">
        <v>1.0859145694768868E-2</v>
      </c>
      <c r="G21" s="41">
        <v>4.6817429601994313E-3</v>
      </c>
      <c r="H21" s="14">
        <v>-2.5566501630645999E-2</v>
      </c>
      <c r="I21" s="14">
        <v>-3.0376154322677373E-2</v>
      </c>
      <c r="J21" s="14">
        <v>-1.7368769298632736E-2</v>
      </c>
      <c r="K21" s="14">
        <v>-2.0105237927511198E-2</v>
      </c>
      <c r="M21" s="84"/>
      <c r="N21" s="34" t="s">
        <v>26</v>
      </c>
      <c r="O21" s="35">
        <f>O11+O14+O17</f>
        <v>2585081.6241055899</v>
      </c>
    </row>
    <row r="22" spans="1:15" x14ac:dyDescent="0.25">
      <c r="A22" s="24"/>
      <c r="B22" s="29">
        <v>14</v>
      </c>
      <c r="C22" s="30">
        <v>1.0174418604651164E-2</v>
      </c>
      <c r="D22" s="41">
        <v>5.8941565550411348E-3</v>
      </c>
      <c r="E22" s="41">
        <v>5.2273994064566676E-3</v>
      </c>
      <c r="F22" s="41">
        <v>1.1942482856852621E-3</v>
      </c>
      <c r="G22" s="41">
        <v>2.1578517859588862E-3</v>
      </c>
      <c r="H22" s="14">
        <v>-2.5547426200817624E-2</v>
      </c>
      <c r="I22" s="14">
        <v>-3.0107865212731455E-2</v>
      </c>
      <c r="J22" s="14">
        <v>-1.7259599441531548E-2</v>
      </c>
      <c r="K22" s="14">
        <v>-1.9339279225726869E-2</v>
      </c>
      <c r="M22" s="84"/>
      <c r="N22" s="34" t="s">
        <v>27</v>
      </c>
      <c r="O22" s="35">
        <f>+O21-O20</f>
        <v>574557.83135447023</v>
      </c>
    </row>
    <row r="23" spans="1:15" x14ac:dyDescent="0.25">
      <c r="A23" s="24"/>
      <c r="B23" s="29">
        <v>15</v>
      </c>
      <c r="C23" s="30">
        <v>1.0901162790697675E-2</v>
      </c>
      <c r="D23" s="41">
        <v>7.0208233157232928E-3</v>
      </c>
      <c r="E23" s="41">
        <v>5.799664308835828E-3</v>
      </c>
      <c r="F23" s="41">
        <v>1.5893001987532518E-3</v>
      </c>
      <c r="G23" s="41">
        <v>-2.866167508365435E-4</v>
      </c>
      <c r="H23" s="14">
        <v>-2.4709976798143796E-2</v>
      </c>
      <c r="I23" s="14">
        <v>-2.9663720516709291E-2</v>
      </c>
      <c r="J23" s="14">
        <v>-1.653737419551371E-2</v>
      </c>
      <c r="K23" s="14">
        <v>-1.9265469954598768E-2</v>
      </c>
    </row>
    <row r="24" spans="1:15" x14ac:dyDescent="0.25">
      <c r="A24" s="24"/>
      <c r="B24" s="29">
        <v>16</v>
      </c>
      <c r="C24" s="30">
        <v>1.1627906976744186E-2</v>
      </c>
      <c r="D24" s="41">
        <v>-1.0724576183612358E-2</v>
      </c>
      <c r="E24" s="41">
        <v>1.3990911122699901E-2</v>
      </c>
      <c r="F24" s="41">
        <v>1.315601740605743E-4</v>
      </c>
      <c r="G24" s="41">
        <v>-2.983785011325458E-3</v>
      </c>
      <c r="H24" s="14">
        <v>-2.4656112120425511E-2</v>
      </c>
      <c r="I24" s="14">
        <v>-2.8057845444203755E-2</v>
      </c>
      <c r="J24" s="14">
        <v>-1.6316601400261144E-2</v>
      </c>
      <c r="K24" s="14">
        <v>-1.871367779849473E-2</v>
      </c>
    </row>
    <row r="25" spans="1:15" x14ac:dyDescent="0.25">
      <c r="A25" s="24"/>
      <c r="B25" s="29">
        <v>17</v>
      </c>
      <c r="C25" s="30">
        <v>1.2354651162790697E-2</v>
      </c>
      <c r="D25" s="41">
        <v>1.4160504052512552E-2</v>
      </c>
      <c r="E25" s="41">
        <v>5.0548094160520751E-3</v>
      </c>
      <c r="F25" s="41">
        <v>-1.9170784582649425E-3</v>
      </c>
      <c r="G25" s="41">
        <v>1.4023910053424515E-3</v>
      </c>
      <c r="H25" s="14">
        <v>-2.454311328730796E-2</v>
      </c>
      <c r="I25" s="14">
        <v>-2.8031932620353306E-2</v>
      </c>
      <c r="J25" s="14">
        <v>-1.552894239632252E-2</v>
      </c>
      <c r="K25" s="14">
        <v>-1.7733104250274453E-2</v>
      </c>
    </row>
    <row r="26" spans="1:15" x14ac:dyDescent="0.25">
      <c r="A26" s="24"/>
      <c r="B26" s="29">
        <v>18</v>
      </c>
      <c r="C26" s="30">
        <v>1.308139534883721E-2</v>
      </c>
      <c r="D26" s="41">
        <v>1.213455480023427E-2</v>
      </c>
      <c r="E26" s="41">
        <v>-1.5205122956810646E-3</v>
      </c>
      <c r="F26" s="41">
        <v>3.1800602549774126E-3</v>
      </c>
      <c r="G26" s="41">
        <v>4.6349669392350187E-3</v>
      </c>
      <c r="H26" s="14">
        <v>-2.3793497820659759E-2</v>
      </c>
      <c r="I26" s="14">
        <v>-2.7633623799744655E-2</v>
      </c>
      <c r="J26" s="14">
        <v>-1.5189430744336541E-2</v>
      </c>
      <c r="K26" s="14">
        <v>-1.7624067366221043E-2</v>
      </c>
    </row>
    <row r="27" spans="1:15" x14ac:dyDescent="0.25">
      <c r="A27" s="24"/>
      <c r="B27" s="29">
        <v>19</v>
      </c>
      <c r="C27" s="30">
        <v>1.3808139534883721E-2</v>
      </c>
      <c r="D27" s="41">
        <v>-1.7689956887221837E-3</v>
      </c>
      <c r="E27" s="41">
        <v>-2.1524584883005904E-3</v>
      </c>
      <c r="F27" s="41">
        <v>-3.8961883026241706E-3</v>
      </c>
      <c r="G27" s="41">
        <v>-4.7230445194752519E-4</v>
      </c>
      <c r="H27" s="14">
        <v>-2.3354592910868388E-2</v>
      </c>
      <c r="I27" s="14">
        <v>-2.7456812721656454E-2</v>
      </c>
      <c r="J27" s="14">
        <v>-1.5079946497645769E-2</v>
      </c>
      <c r="K27" s="14">
        <v>-1.7161827687755048E-2</v>
      </c>
    </row>
    <row r="28" spans="1:15" x14ac:dyDescent="0.25">
      <c r="A28" s="24"/>
      <c r="B28" s="29">
        <v>20</v>
      </c>
      <c r="C28" s="30">
        <v>1.4534883720930232E-2</v>
      </c>
      <c r="D28" s="41">
        <v>-2.2234886329792522E-2</v>
      </c>
      <c r="E28" s="41">
        <v>2.2451465214903266E-3</v>
      </c>
      <c r="F28" s="41">
        <v>3.7123185195044872E-3</v>
      </c>
      <c r="G28" s="41">
        <v>3.7948128400035145E-3</v>
      </c>
      <c r="H28" s="14">
        <v>-2.3122376285326984E-2</v>
      </c>
      <c r="I28" s="14">
        <v>-2.7283276630535203E-2</v>
      </c>
      <c r="J28" s="14">
        <v>-1.505917127711609E-2</v>
      </c>
      <c r="K28" s="14">
        <v>-1.7004772852653251E-2</v>
      </c>
    </row>
    <row r="29" spans="1:15" x14ac:dyDescent="0.25">
      <c r="B29" s="29">
        <v>21</v>
      </c>
      <c r="C29" s="30">
        <v>1.5261627906976744E-2</v>
      </c>
      <c r="D29" s="41">
        <v>1.3420406770825849E-2</v>
      </c>
      <c r="E29" s="41">
        <v>5.9004392386530213E-3</v>
      </c>
      <c r="F29" s="41">
        <v>5.9387680775513374E-4</v>
      </c>
      <c r="G29" s="41">
        <v>1.0890901043472123E-3</v>
      </c>
      <c r="H29" s="14">
        <v>-2.2930775100925338E-2</v>
      </c>
      <c r="I29" s="14">
        <v>-2.6884912221185608E-2</v>
      </c>
      <c r="J29" s="14">
        <v>-1.5036768741082285E-2</v>
      </c>
      <c r="K29" s="14">
        <v>-1.6791214475007421E-2</v>
      </c>
    </row>
    <row r="30" spans="1:15" x14ac:dyDescent="0.25">
      <c r="B30" s="29">
        <v>22</v>
      </c>
      <c r="C30" s="30">
        <v>1.5988372093023256E-2</v>
      </c>
      <c r="D30" s="41">
        <v>-5.5290736357358587E-3</v>
      </c>
      <c r="E30" s="41">
        <v>-8.0054728323353253E-4</v>
      </c>
      <c r="F30" s="41">
        <v>-9.8979897936257721E-4</v>
      </c>
      <c r="G30" s="41">
        <v>-1.6804674696111021E-3</v>
      </c>
      <c r="H30" s="14">
        <v>-2.2910099719923527E-2</v>
      </c>
      <c r="I30" s="14">
        <v>-2.6242368788156112E-2</v>
      </c>
      <c r="J30" s="14">
        <v>-1.501720721660238E-2</v>
      </c>
      <c r="K30" s="14">
        <v>-1.6723955067473772E-2</v>
      </c>
    </row>
    <row r="31" spans="1:15" x14ac:dyDescent="0.25">
      <c r="B31" s="29">
        <v>23</v>
      </c>
      <c r="C31" s="30">
        <v>1.6715116279069766E-2</v>
      </c>
      <c r="D31" s="41">
        <v>-1.1907767841358795E-2</v>
      </c>
      <c r="E31" s="41">
        <v>-1.2673348094627279E-3</v>
      </c>
      <c r="F31" s="41">
        <v>-1.3162985568071495E-4</v>
      </c>
      <c r="G31" s="41">
        <v>-3.7971636947187418E-3</v>
      </c>
      <c r="H31" s="14">
        <v>-2.2862534475250218E-2</v>
      </c>
      <c r="I31" s="14">
        <v>-2.5958953292253395E-2</v>
      </c>
      <c r="J31" s="14">
        <v>-1.4928533615669481E-2</v>
      </c>
      <c r="K31" s="14">
        <v>-1.6662861114053486E-2</v>
      </c>
    </row>
    <row r="32" spans="1:15" x14ac:dyDescent="0.25">
      <c r="B32" s="29">
        <v>24</v>
      </c>
      <c r="C32" s="30">
        <v>1.7441860465116279E-2</v>
      </c>
      <c r="D32" s="41">
        <v>2.182126035567626E-3</v>
      </c>
      <c r="E32" s="41">
        <v>3.2088213415804034E-4</v>
      </c>
      <c r="F32" s="41">
        <v>-1.9828693953070076E-3</v>
      </c>
      <c r="G32" s="41">
        <v>-3.9115534897482982E-3</v>
      </c>
      <c r="H32" s="14">
        <v>-2.2673829506567045E-2</v>
      </c>
      <c r="I32" s="14">
        <v>-2.5909144976588805E-2</v>
      </c>
      <c r="J32" s="14">
        <v>-1.4511745292176248E-2</v>
      </c>
      <c r="K32" s="14">
        <v>-1.6466651722866921E-2</v>
      </c>
    </row>
    <row r="33" spans="2:11" x14ac:dyDescent="0.25">
      <c r="B33" s="29">
        <v>25</v>
      </c>
      <c r="C33" s="30">
        <v>1.8168604651162792E-2</v>
      </c>
      <c r="D33" s="41">
        <v>1.0128462063026138E-2</v>
      </c>
      <c r="E33" s="41">
        <v>4.3742618433206815E-5</v>
      </c>
      <c r="F33" s="41">
        <v>7.6146157332324105E-3</v>
      </c>
      <c r="G33" s="41">
        <v>-1.4247376446345772E-3</v>
      </c>
      <c r="H33" s="14">
        <v>-2.2646148964860724E-2</v>
      </c>
      <c r="I33" s="14">
        <v>-2.5849731663685094E-2</v>
      </c>
      <c r="J33" s="14">
        <v>-1.424291537743716E-2</v>
      </c>
      <c r="K33" s="14">
        <v>-1.6142681618765975E-2</v>
      </c>
    </row>
    <row r="34" spans="2:11" x14ac:dyDescent="0.25">
      <c r="B34" s="29">
        <v>26</v>
      </c>
      <c r="C34" s="30">
        <v>1.8895348837209301E-2</v>
      </c>
      <c r="D34" s="41">
        <v>3.460957333880319E-3</v>
      </c>
      <c r="E34" s="41">
        <v>4.8114775610197391E-4</v>
      </c>
      <c r="F34" s="41">
        <v>1.7086873237015521E-3</v>
      </c>
      <c r="G34" s="41">
        <v>1.9083753658935001E-3</v>
      </c>
      <c r="H34" s="14">
        <v>-2.2248357612654868E-2</v>
      </c>
      <c r="I34" s="14">
        <v>-2.5631073543787131E-2</v>
      </c>
      <c r="J34" s="14">
        <v>-1.4006497310539379E-2</v>
      </c>
      <c r="K34" s="14">
        <v>-1.6118575952264447E-2</v>
      </c>
    </row>
    <row r="35" spans="2:11" x14ac:dyDescent="0.25">
      <c r="B35" s="29">
        <v>27</v>
      </c>
      <c r="C35" s="30">
        <v>1.9622093023255814E-2</v>
      </c>
      <c r="D35" s="41">
        <v>-9.6922276193397456E-3</v>
      </c>
      <c r="E35" s="41">
        <v>1.6322009938936066E-3</v>
      </c>
      <c r="F35" s="41">
        <v>6.5588041451314361E-4</v>
      </c>
      <c r="G35" s="41">
        <v>2.6893589630353262E-3</v>
      </c>
      <c r="H35" s="14">
        <v>-2.1873043444646689E-2</v>
      </c>
      <c r="I35" s="14">
        <v>-2.5509493694076624E-2</v>
      </c>
      <c r="J35" s="14">
        <v>-1.3896703049398051E-2</v>
      </c>
      <c r="K35" s="14">
        <v>-1.6007599561470645E-2</v>
      </c>
    </row>
    <row r="36" spans="2:11" x14ac:dyDescent="0.25">
      <c r="B36" s="29">
        <v>28</v>
      </c>
      <c r="C36" s="30">
        <v>2.0348837209302327E-2</v>
      </c>
      <c r="D36" s="41">
        <v>4.3411409178871598E-3</v>
      </c>
      <c r="E36" s="41">
        <v>2.5752571619794828E-3</v>
      </c>
      <c r="F36" s="41">
        <v>3.2804782634010543E-4</v>
      </c>
      <c r="G36" s="41">
        <v>-2.9338830022112459E-3</v>
      </c>
      <c r="H36" s="14">
        <v>-2.1788374414497325E-2</v>
      </c>
      <c r="I36" s="14">
        <v>-2.5452423767073462E-2</v>
      </c>
      <c r="J36" s="14">
        <v>-1.3874913943758949E-2</v>
      </c>
      <c r="K36" s="14">
        <v>-1.5963339695838675E-2</v>
      </c>
    </row>
    <row r="37" spans="2:11" x14ac:dyDescent="0.25">
      <c r="B37" s="29">
        <v>29</v>
      </c>
      <c r="C37" s="30">
        <v>2.1075581395348836E-2</v>
      </c>
      <c r="D37" s="41">
        <v>7.9818448590100038E-3</v>
      </c>
      <c r="E37" s="41">
        <v>7.154466825332273E-3</v>
      </c>
      <c r="F37" s="41">
        <v>7.8646312139096786E-4</v>
      </c>
      <c r="G37" s="41">
        <v>5.6473858474035408E-4</v>
      </c>
      <c r="H37" s="14">
        <v>-2.1591295477728645E-2</v>
      </c>
      <c r="I37" s="14">
        <v>-2.4766724656017702E-2</v>
      </c>
      <c r="J37" s="14">
        <v>-1.367057781713521E-2</v>
      </c>
      <c r="K37" s="14">
        <v>-1.5728502973472034E-2</v>
      </c>
    </row>
    <row r="38" spans="2:11" x14ac:dyDescent="0.25">
      <c r="B38" s="29">
        <v>30</v>
      </c>
      <c r="C38" s="30">
        <v>2.1802325581395349E-2</v>
      </c>
      <c r="D38" s="41">
        <v>1.4713806954824561E-4</v>
      </c>
      <c r="E38" s="41">
        <v>-1.772308756358032E-3</v>
      </c>
      <c r="F38" s="41">
        <v>2.3570199651723467E-3</v>
      </c>
      <c r="G38" s="41">
        <v>-1.7734137857843284E-4</v>
      </c>
      <c r="H38" s="14">
        <v>-2.1556491200838246E-2</v>
      </c>
      <c r="I38" s="14">
        <v>-2.4437902857432969E-2</v>
      </c>
      <c r="J38" s="14">
        <v>-1.3571099836935829E-2</v>
      </c>
      <c r="K38" s="14">
        <v>-1.5478114118759214E-2</v>
      </c>
    </row>
    <row r="39" spans="2:11" x14ac:dyDescent="0.25">
      <c r="B39" s="29">
        <v>31</v>
      </c>
      <c r="C39" s="30">
        <v>2.2529069767441859E-2</v>
      </c>
      <c r="D39" s="41">
        <v>5.3575176339795911E-4</v>
      </c>
      <c r="E39" s="41">
        <v>1.2529230058604623E-2</v>
      </c>
      <c r="F39" s="41">
        <v>-6.5306726371838764E-4</v>
      </c>
      <c r="G39" s="41">
        <v>-3.1285613241125E-3</v>
      </c>
      <c r="H39" s="14">
        <v>-2.1516153738043831E-2</v>
      </c>
      <c r="I39" s="14">
        <v>-2.4390592302143466E-2</v>
      </c>
      <c r="J39" s="14">
        <v>-1.3538256672030013E-2</v>
      </c>
      <c r="K39" s="14">
        <v>-1.5465725221511951E-2</v>
      </c>
    </row>
    <row r="40" spans="2:11" x14ac:dyDescent="0.25">
      <c r="B40" s="29">
        <v>32</v>
      </c>
      <c r="C40" s="30">
        <v>2.3255813953488372E-2</v>
      </c>
      <c r="D40" s="41">
        <v>3.5505287769620891E-3</v>
      </c>
      <c r="E40" s="41">
        <v>2.6801243121490348E-3</v>
      </c>
      <c r="F40" s="41">
        <v>5.2326831746629665E-4</v>
      </c>
      <c r="G40" s="41">
        <v>4.4952327526956099E-3</v>
      </c>
      <c r="H40" s="14">
        <v>-2.1443945600490677E-2</v>
      </c>
      <c r="I40" s="14">
        <v>-2.4077348160675083E-2</v>
      </c>
      <c r="J40" s="14">
        <v>-1.3409896957855771E-2</v>
      </c>
      <c r="K40" s="14">
        <v>-1.5366123033740632E-2</v>
      </c>
    </row>
    <row r="41" spans="2:11" x14ac:dyDescent="0.25">
      <c r="B41" s="29">
        <v>33</v>
      </c>
      <c r="C41" s="30">
        <v>2.3982558139534885E-2</v>
      </c>
      <c r="D41" s="41">
        <v>9.5667359168016223E-3</v>
      </c>
      <c r="E41" s="41">
        <v>-3.8388261722638317E-3</v>
      </c>
      <c r="F41" s="41">
        <v>-2.0906524748158795E-3</v>
      </c>
      <c r="G41" s="41">
        <v>-1.5269939663905331E-3</v>
      </c>
      <c r="H41" s="14">
        <v>-2.1417571729615781E-2</v>
      </c>
      <c r="I41" s="14">
        <v>-2.4070517390319623E-2</v>
      </c>
      <c r="J41" s="14">
        <v>-1.3360851618509639E-2</v>
      </c>
      <c r="K41" s="14">
        <v>-1.5332759549220309E-2</v>
      </c>
    </row>
    <row r="42" spans="2:11" x14ac:dyDescent="0.25">
      <c r="B42" s="29">
        <v>34</v>
      </c>
      <c r="C42" s="30">
        <v>2.4709302325581394E-2</v>
      </c>
      <c r="D42" s="41">
        <v>4.1858187552008038E-3</v>
      </c>
      <c r="E42" s="41">
        <v>-5.566339346882776E-3</v>
      </c>
      <c r="F42" s="41">
        <v>8.5134051692348223E-4</v>
      </c>
      <c r="G42" s="41">
        <v>5.6165795982483508E-4</v>
      </c>
      <c r="H42" s="14">
        <v>-2.0997886361970752E-2</v>
      </c>
      <c r="I42" s="14">
        <v>-2.3836055771478182E-2</v>
      </c>
      <c r="J42" s="14">
        <v>-1.3353617308992538E-2</v>
      </c>
      <c r="K42" s="14">
        <v>-1.5304906036464038E-2</v>
      </c>
    </row>
    <row r="43" spans="2:11" x14ac:dyDescent="0.25">
      <c r="B43" s="29">
        <v>35</v>
      </c>
      <c r="C43" s="30">
        <v>2.5436046511627907E-2</v>
      </c>
      <c r="D43" s="41">
        <v>-2.5551232781647402E-3</v>
      </c>
      <c r="E43" s="41">
        <v>-3.057094468524868E-3</v>
      </c>
      <c r="F43" s="41">
        <v>8.5057261294152475E-4</v>
      </c>
      <c r="G43" s="41">
        <v>2.3345703805672802E-3</v>
      </c>
      <c r="H43" s="14">
        <v>-2.0957705834610985E-2</v>
      </c>
      <c r="I43" s="14">
        <v>-2.3767630818527619E-2</v>
      </c>
      <c r="J43" s="14">
        <v>-1.3325223930111707E-2</v>
      </c>
      <c r="K43" s="14">
        <v>-1.50778588065003E-2</v>
      </c>
    </row>
    <row r="44" spans="2:11" x14ac:dyDescent="0.25">
      <c r="B44" s="29">
        <v>36</v>
      </c>
      <c r="C44" s="30">
        <v>2.616279069767442E-2</v>
      </c>
      <c r="D44" s="41">
        <v>-1.2103849999387807E-2</v>
      </c>
      <c r="E44" s="41">
        <v>8.7099235542245079E-3</v>
      </c>
      <c r="F44" s="41">
        <v>1.1103983052644928E-3</v>
      </c>
      <c r="G44" s="41">
        <v>-7.268637398074595E-5</v>
      </c>
      <c r="H44" s="14">
        <v>-2.0306258322236981E-2</v>
      </c>
      <c r="I44" s="14">
        <v>-2.3498244808241253E-2</v>
      </c>
      <c r="J44" s="14">
        <v>-1.3290629134498078E-2</v>
      </c>
      <c r="K44" s="14">
        <v>-1.5028123481540367E-2</v>
      </c>
    </row>
    <row r="45" spans="2:11" x14ac:dyDescent="0.25">
      <c r="B45" s="29">
        <v>37</v>
      </c>
      <c r="C45" s="30">
        <v>2.6889534883720929E-2</v>
      </c>
      <c r="D45" s="41">
        <v>1.0574344176823725E-3</v>
      </c>
      <c r="E45" s="41">
        <v>4.1104101846829444E-3</v>
      </c>
      <c r="F45" s="41">
        <v>-1.4360193468215821E-3</v>
      </c>
      <c r="G45" s="41">
        <v>1.3569602045088614E-3</v>
      </c>
      <c r="H45" s="14">
        <v>-2.0024099737026679E-2</v>
      </c>
      <c r="I45" s="14">
        <v>-2.2968157434891667E-2</v>
      </c>
      <c r="J45" s="14">
        <v>-1.3267813267813233E-2</v>
      </c>
      <c r="K45" s="14">
        <v>-1.4934386026672099E-2</v>
      </c>
    </row>
    <row r="46" spans="2:11" x14ac:dyDescent="0.25">
      <c r="B46" s="29">
        <v>38</v>
      </c>
      <c r="C46" s="30">
        <v>2.7616279069767442E-2</v>
      </c>
      <c r="D46" s="41">
        <v>-2.6961992000204701E-2</v>
      </c>
      <c r="E46" s="41">
        <v>-1.3787417915114286E-3</v>
      </c>
      <c r="F46" s="41">
        <v>7.3234877012011701E-3</v>
      </c>
      <c r="G46" s="41">
        <v>1.5792545917040714E-3</v>
      </c>
      <c r="H46" s="14">
        <v>-1.997860532942819E-2</v>
      </c>
      <c r="I46" s="14">
        <v>-2.2390301659391709E-2</v>
      </c>
      <c r="J46" s="14">
        <v>-1.3200848958400457E-2</v>
      </c>
      <c r="K46" s="14">
        <v>-1.4922793378550247E-2</v>
      </c>
    </row>
    <row r="47" spans="2:11" x14ac:dyDescent="0.25">
      <c r="B47" s="29">
        <v>39</v>
      </c>
      <c r="C47" s="30">
        <v>2.8343023255813952E-2</v>
      </c>
      <c r="D47" s="41">
        <v>-6.7017612539704884E-3</v>
      </c>
      <c r="E47" s="41">
        <v>2.6189561182514698E-3</v>
      </c>
      <c r="F47" s="41">
        <v>-1.9464544861792499E-3</v>
      </c>
      <c r="G47" s="41">
        <v>1.3232967093170121E-3</v>
      </c>
      <c r="H47" s="14">
        <v>-1.9923708623365899E-2</v>
      </c>
      <c r="I47" s="14">
        <v>-2.2380591357088697E-2</v>
      </c>
      <c r="J47" s="14">
        <v>-1.2706229992612617E-2</v>
      </c>
      <c r="K47" s="14">
        <v>-1.4829932675245528E-2</v>
      </c>
    </row>
    <row r="48" spans="2:11" x14ac:dyDescent="0.25">
      <c r="B48" s="29">
        <v>40</v>
      </c>
      <c r="C48" s="30">
        <v>2.9069767441860465E-2</v>
      </c>
      <c r="D48" s="41">
        <v>8.5573772749281667E-3</v>
      </c>
      <c r="E48" s="41">
        <v>3.662639655882316E-3</v>
      </c>
      <c r="F48" s="41">
        <v>4.0321612688012376E-3</v>
      </c>
      <c r="G48" s="41">
        <v>-1.6512731171797856E-3</v>
      </c>
      <c r="H48" s="14">
        <v>-1.978021978021971E-2</v>
      </c>
      <c r="I48" s="14">
        <v>-2.2343384889284557E-2</v>
      </c>
      <c r="J48" s="14">
        <v>-1.268345769870971E-2</v>
      </c>
      <c r="K48" s="14">
        <v>-1.4448254057059896E-2</v>
      </c>
    </row>
    <row r="49" spans="2:11" x14ac:dyDescent="0.25">
      <c r="B49" s="29">
        <v>41</v>
      </c>
      <c r="C49" s="30">
        <v>2.9796511627906978E-2</v>
      </c>
      <c r="D49" s="41">
        <v>8.7664660679183295E-3</v>
      </c>
      <c r="E49" s="41">
        <v>5.4173326355395623E-3</v>
      </c>
      <c r="F49" s="41">
        <v>-4.5364633367450669E-4</v>
      </c>
      <c r="G49" s="41">
        <v>9.7917826055666807E-4</v>
      </c>
      <c r="H49" s="14">
        <v>-1.9315589353612106E-2</v>
      </c>
      <c r="I49" s="14">
        <v>-2.2271239978941537E-2</v>
      </c>
      <c r="J49" s="14">
        <v>-1.262403165949566E-2</v>
      </c>
      <c r="K49" s="14">
        <v>-1.4286067638099366E-2</v>
      </c>
    </row>
    <row r="50" spans="2:11" x14ac:dyDescent="0.25">
      <c r="B50" s="29">
        <v>42</v>
      </c>
      <c r="C50" s="30">
        <v>3.0523255813953487E-2</v>
      </c>
      <c r="D50" s="41">
        <v>-8.2506096022229945E-3</v>
      </c>
      <c r="E50" s="41">
        <v>-1.3646211417799314E-3</v>
      </c>
      <c r="F50" s="41">
        <v>-4.4073737373941935E-3</v>
      </c>
      <c r="G50" s="41">
        <v>1.6162043776719588E-4</v>
      </c>
      <c r="H50" s="14">
        <v>-1.9306228469318065E-2</v>
      </c>
      <c r="I50" s="14">
        <v>-2.2214718155285862E-2</v>
      </c>
      <c r="J50" s="14">
        <v>-1.2420221353047767E-2</v>
      </c>
      <c r="K50" s="14">
        <v>-1.4207154052604466E-2</v>
      </c>
    </row>
    <row r="51" spans="2:11" x14ac:dyDescent="0.25">
      <c r="B51" s="29">
        <v>43</v>
      </c>
      <c r="C51" s="30">
        <v>3.125E-2</v>
      </c>
      <c r="D51" s="41">
        <v>8.0877360417879983E-3</v>
      </c>
      <c r="E51" s="41">
        <v>-4.6206945129252386E-3</v>
      </c>
      <c r="F51" s="41">
        <v>-7.8131975976414303E-4</v>
      </c>
      <c r="G51" s="41">
        <v>3.0871270356542819E-4</v>
      </c>
      <c r="H51" s="14">
        <v>-1.9175244727694496E-2</v>
      </c>
      <c r="I51" s="14">
        <v>-2.192122616289427E-2</v>
      </c>
      <c r="J51" s="14">
        <v>-1.2390065822224683E-2</v>
      </c>
      <c r="K51" s="14">
        <v>-1.4169707184837697E-2</v>
      </c>
    </row>
    <row r="52" spans="2:11" x14ac:dyDescent="0.25">
      <c r="B52" s="29">
        <v>44</v>
      </c>
      <c r="C52" s="30">
        <v>3.1976744186046513E-2</v>
      </c>
      <c r="D52" s="41">
        <v>4.2722658844904149E-3</v>
      </c>
      <c r="E52" s="41">
        <v>9.907015582319989E-4</v>
      </c>
      <c r="F52" s="41">
        <v>-7.5560816499257166E-3</v>
      </c>
      <c r="G52" s="41">
        <v>-1.7202175121130872E-3</v>
      </c>
      <c r="H52" s="14">
        <v>-1.9126820934314837E-2</v>
      </c>
      <c r="I52" s="14">
        <v>-2.1761385240866904E-2</v>
      </c>
      <c r="J52" s="14">
        <v>-1.2323265665401317E-2</v>
      </c>
      <c r="K52" s="14">
        <v>-1.4127046209548612E-2</v>
      </c>
    </row>
    <row r="53" spans="2:11" x14ac:dyDescent="0.25">
      <c r="B53" s="29">
        <v>45</v>
      </c>
      <c r="C53" s="30">
        <v>3.2703488372093026E-2</v>
      </c>
      <c r="D53" s="41">
        <v>1.7038431329486226E-2</v>
      </c>
      <c r="E53" s="41">
        <v>-7.0411582563942865E-3</v>
      </c>
      <c r="F53" s="41">
        <v>-4.5983769870072688E-4</v>
      </c>
      <c r="G53" s="41">
        <v>-2.1810212939790356E-3</v>
      </c>
      <c r="H53" s="14">
        <v>-1.8985932597915256E-2</v>
      </c>
      <c r="I53" s="14">
        <v>-2.17028380634392E-2</v>
      </c>
      <c r="J53" s="14">
        <v>-1.2229102167182759E-2</v>
      </c>
      <c r="K53" s="14">
        <v>-1.4070864102485703E-2</v>
      </c>
    </row>
    <row r="54" spans="2:11" x14ac:dyDescent="0.25">
      <c r="B54" s="29">
        <v>46</v>
      </c>
      <c r="C54" s="30">
        <v>3.3430232558139532E-2</v>
      </c>
      <c r="D54" s="41">
        <v>-5.1258915288253512E-3</v>
      </c>
      <c r="E54" s="41">
        <v>-1.950761081604524E-3</v>
      </c>
      <c r="F54" s="41">
        <v>4.6004924668752167E-4</v>
      </c>
      <c r="G54" s="41">
        <v>-2.8060227991059342E-3</v>
      </c>
      <c r="H54" s="14">
        <v>-1.8967966024064586E-2</v>
      </c>
      <c r="I54" s="14">
        <v>-2.1657104460639842E-2</v>
      </c>
      <c r="J54" s="14">
        <v>-1.2205370672259019E-2</v>
      </c>
      <c r="K54" s="14">
        <v>-1.4012533776008019E-2</v>
      </c>
    </row>
    <row r="55" spans="2:11" x14ac:dyDescent="0.25">
      <c r="B55" s="29">
        <v>47</v>
      </c>
      <c r="C55" s="30">
        <v>3.4156976744186045E-2</v>
      </c>
      <c r="D55" s="41">
        <v>-1.0604307922013638E-2</v>
      </c>
      <c r="E55" s="41">
        <v>-5.2217086115390332E-3</v>
      </c>
      <c r="F55" s="41">
        <v>-2.0356101052586562E-3</v>
      </c>
      <c r="G55" s="41">
        <v>-1.5833559076128046E-3</v>
      </c>
      <c r="H55" s="14">
        <v>-1.8509949097639922E-2</v>
      </c>
      <c r="I55" s="14">
        <v>-2.1655264646880279E-2</v>
      </c>
      <c r="J55" s="14">
        <v>-1.2193263222069817E-2</v>
      </c>
      <c r="K55" s="14">
        <v>-1.400847328662538E-2</v>
      </c>
    </row>
    <row r="56" spans="2:11" x14ac:dyDescent="0.25">
      <c r="B56" s="29">
        <v>48</v>
      </c>
      <c r="C56" s="30">
        <v>3.4883720930232558E-2</v>
      </c>
      <c r="D56" s="41">
        <v>3.8717666962124588E-3</v>
      </c>
      <c r="E56" s="41">
        <v>6.0809454149097775E-3</v>
      </c>
      <c r="F56" s="41">
        <v>-6.5773513132060257E-3</v>
      </c>
      <c r="G56" s="41">
        <v>-8.0471319846467035E-3</v>
      </c>
      <c r="H56" s="14">
        <v>-1.8409588369126428E-2</v>
      </c>
      <c r="I56" s="14">
        <v>-2.1565522820457872E-2</v>
      </c>
      <c r="J56" s="14">
        <v>-1.2111783987999392E-2</v>
      </c>
      <c r="K56" s="14">
        <v>-1.398256968091607E-2</v>
      </c>
    </row>
    <row r="57" spans="2:11" x14ac:dyDescent="0.25">
      <c r="B57" s="29">
        <v>49</v>
      </c>
      <c r="C57" s="30">
        <v>3.5610465116279071E-2</v>
      </c>
      <c r="D57" s="41">
        <v>-1.7836775083869098E-2</v>
      </c>
      <c r="E57" s="41">
        <v>-8.5531004989314319E-4</v>
      </c>
      <c r="F57" s="41">
        <v>-1.9866878817424993E-3</v>
      </c>
      <c r="G57" s="41">
        <v>-8.6366465632234943E-4</v>
      </c>
      <c r="H57" s="14">
        <v>-1.8384879725085956E-2</v>
      </c>
      <c r="I57" s="14">
        <v>-2.1462716174595275E-2</v>
      </c>
      <c r="J57" s="14">
        <v>-1.2058257827808783E-2</v>
      </c>
      <c r="K57" s="14">
        <v>-1.3921154919278478E-2</v>
      </c>
    </row>
    <row r="58" spans="2:11" x14ac:dyDescent="0.25">
      <c r="B58" s="29">
        <v>50</v>
      </c>
      <c r="C58" s="30">
        <v>3.6337209302325583E-2</v>
      </c>
      <c r="D58" s="41">
        <v>4.6659976814607974E-3</v>
      </c>
      <c r="E58" s="41">
        <v>6.2348409188186515E-3</v>
      </c>
      <c r="F58" s="41">
        <v>3.9146750928478191E-3</v>
      </c>
      <c r="G58" s="41">
        <v>1.22653801237953E-3</v>
      </c>
      <c r="H58" s="14">
        <v>-1.8269048603352211E-2</v>
      </c>
      <c r="I58" s="14">
        <v>-2.1054682335914676E-2</v>
      </c>
      <c r="J58" s="14">
        <v>-1.2004595060310153E-2</v>
      </c>
      <c r="K58" s="14">
        <v>-1.3825691290020004E-2</v>
      </c>
    </row>
    <row r="59" spans="2:11" x14ac:dyDescent="0.25">
      <c r="B59" s="29">
        <v>51</v>
      </c>
      <c r="C59" s="30">
        <v>3.7063953488372096E-2</v>
      </c>
      <c r="D59" s="41">
        <v>2.9251058590058967E-3</v>
      </c>
      <c r="E59" s="41">
        <v>-2.1268450380704795E-3</v>
      </c>
      <c r="F59" s="41">
        <v>2.1807433848504143E-3</v>
      </c>
      <c r="G59" s="41">
        <v>8.4998250163570497E-5</v>
      </c>
      <c r="H59" s="14">
        <v>-1.8087855297157729E-2</v>
      </c>
      <c r="I59" s="14">
        <v>-2.1024667931688779E-2</v>
      </c>
      <c r="J59" s="14">
        <v>-1.1960505659998288E-2</v>
      </c>
      <c r="K59" s="14">
        <v>-1.3759246620353105E-2</v>
      </c>
    </row>
    <row r="60" spans="2:11" x14ac:dyDescent="0.25">
      <c r="B60" s="29">
        <v>52</v>
      </c>
      <c r="C60" s="30">
        <v>3.7790697674418602E-2</v>
      </c>
      <c r="D60" s="41">
        <v>5.7323445838936404E-3</v>
      </c>
      <c r="E60" s="41">
        <v>4.2059195475794287E-3</v>
      </c>
      <c r="F60" s="41">
        <v>-2.1759980914071164E-3</v>
      </c>
      <c r="G60" s="41">
        <v>3.1155704257890282E-4</v>
      </c>
      <c r="H60" s="14">
        <v>-1.8022687852628505E-2</v>
      </c>
      <c r="I60" s="14">
        <v>-2.0969347063515054E-2</v>
      </c>
      <c r="J60" s="14">
        <v>-1.1800745838165705E-2</v>
      </c>
      <c r="K60" s="14">
        <v>-1.3638751145628181E-2</v>
      </c>
    </row>
    <row r="61" spans="2:11" x14ac:dyDescent="0.25">
      <c r="B61" s="29">
        <v>53</v>
      </c>
      <c r="C61" s="30">
        <v>3.8517441860465115E-2</v>
      </c>
      <c r="D61" s="41">
        <v>-1.1590779807429162E-2</v>
      </c>
      <c r="E61" s="41">
        <v>1.0484909371329953E-2</v>
      </c>
      <c r="F61" s="41">
        <v>2.3783944489397246E-3</v>
      </c>
      <c r="G61" s="41">
        <v>6.0592325797323952E-4</v>
      </c>
      <c r="H61" s="14">
        <v>-1.7852534778426743E-2</v>
      </c>
      <c r="I61" s="14">
        <v>-2.0936148175226932E-2</v>
      </c>
      <c r="J61" s="14">
        <v>-1.1660447761193904E-2</v>
      </c>
      <c r="K61" s="14">
        <v>-1.3267542722285719E-2</v>
      </c>
    </row>
    <row r="62" spans="2:11" x14ac:dyDescent="0.25">
      <c r="B62" s="29">
        <v>54</v>
      </c>
      <c r="C62" s="30">
        <v>3.9244186046511628E-2</v>
      </c>
      <c r="D62" s="41">
        <v>1.143075547340454E-2</v>
      </c>
      <c r="E62" s="41">
        <v>1.463298512896638E-2</v>
      </c>
      <c r="F62" s="41">
        <v>-2.6400111852409314E-4</v>
      </c>
      <c r="G62" s="41">
        <v>6.4951594509799152E-3</v>
      </c>
      <c r="H62" s="14">
        <v>-1.7839830607713658E-2</v>
      </c>
      <c r="I62" s="14">
        <v>-2.0928021085262039E-2</v>
      </c>
      <c r="J62" s="14">
        <v>-1.1465664896959216E-2</v>
      </c>
      <c r="K62" s="14">
        <v>-1.3110593554770976E-2</v>
      </c>
    </row>
    <row r="63" spans="2:11" x14ac:dyDescent="0.25">
      <c r="B63" s="29">
        <v>55</v>
      </c>
      <c r="C63" s="30">
        <v>3.9970930232558141E-2</v>
      </c>
      <c r="D63" s="41">
        <v>-1.0747467149508109E-2</v>
      </c>
      <c r="E63" s="41">
        <v>4.2230778785243839E-3</v>
      </c>
      <c r="F63" s="41">
        <v>-5.6707677584282301E-3</v>
      </c>
      <c r="G63" s="41">
        <v>-2.3452793704036084E-3</v>
      </c>
      <c r="H63" s="14">
        <v>-1.7821436644057775E-2</v>
      </c>
      <c r="I63" s="14">
        <v>-2.0900625386571337E-2</v>
      </c>
      <c r="J63" s="14">
        <v>-1.1391290840366608E-2</v>
      </c>
      <c r="K63" s="14">
        <v>-1.3063297045097323E-2</v>
      </c>
    </row>
    <row r="64" spans="2:11" x14ac:dyDescent="0.25">
      <c r="B64" s="29">
        <v>56</v>
      </c>
      <c r="C64" s="30">
        <v>4.0697674418604654E-2</v>
      </c>
      <c r="D64" s="41">
        <v>-1.3710102303528834E-2</v>
      </c>
      <c r="E64" s="41">
        <v>4.3564900707759868E-3</v>
      </c>
      <c r="F64" s="41">
        <v>-1.2603774245761867E-3</v>
      </c>
      <c r="G64" s="41">
        <v>1.8080753072514224E-3</v>
      </c>
      <c r="H64" s="14">
        <v>-1.7489674652000242E-2</v>
      </c>
      <c r="I64" s="14">
        <v>-2.0822351080653667E-2</v>
      </c>
      <c r="J64" s="14">
        <v>-1.1198395453785759E-2</v>
      </c>
      <c r="K64" s="14">
        <v>-1.2876792397340676E-2</v>
      </c>
    </row>
    <row r="65" spans="2:11" x14ac:dyDescent="0.25">
      <c r="B65" s="29">
        <v>57</v>
      </c>
      <c r="C65" s="30">
        <v>4.142441860465116E-2</v>
      </c>
      <c r="D65" s="41">
        <v>1.9219797447959777E-2</v>
      </c>
      <c r="E65" s="41">
        <v>1.436742289482984E-3</v>
      </c>
      <c r="F65" s="41">
        <v>-4.5809938865195576E-3</v>
      </c>
      <c r="G65" s="41">
        <v>-3.4150186151071793E-4</v>
      </c>
      <c r="H65" s="14">
        <v>-1.7400389800879879E-2</v>
      </c>
      <c r="I65" s="14">
        <v>-2.0599940515812931E-2</v>
      </c>
      <c r="J65" s="14">
        <v>-1.1191629455144514E-2</v>
      </c>
      <c r="K65" s="14">
        <v>-1.2840248428872237E-2</v>
      </c>
    </row>
    <row r="66" spans="2:11" x14ac:dyDescent="0.25">
      <c r="B66" s="29">
        <v>58</v>
      </c>
      <c r="C66" s="30">
        <v>4.2151162790697673E-2</v>
      </c>
      <c r="D66" s="41">
        <v>7.3207114557133895E-3</v>
      </c>
      <c r="E66" s="41">
        <v>-3.1562982496892156E-3</v>
      </c>
      <c r="F66" s="41">
        <v>6.5978408318567716E-5</v>
      </c>
      <c r="G66" s="41">
        <v>-5.247481150369015E-3</v>
      </c>
      <c r="H66" s="14">
        <v>-1.7280904343410453E-2</v>
      </c>
      <c r="I66" s="14">
        <v>-2.0508823001890053E-2</v>
      </c>
      <c r="J66" s="14">
        <v>-1.0954533368784936E-2</v>
      </c>
      <c r="K66" s="14">
        <v>-1.2800069373508284E-2</v>
      </c>
    </row>
    <row r="67" spans="2:11" x14ac:dyDescent="0.25">
      <c r="B67" s="29">
        <v>59</v>
      </c>
      <c r="C67" s="30">
        <v>4.2877906976744186E-2</v>
      </c>
      <c r="D67" s="41">
        <v>-7.4023026992357513E-3</v>
      </c>
      <c r="E67" s="41">
        <v>2.151982016558085E-3</v>
      </c>
      <c r="F67" s="41">
        <v>5.1366531800582926E-3</v>
      </c>
      <c r="G67" s="41">
        <v>2.7215210009489789E-3</v>
      </c>
      <c r="H67" s="14">
        <v>-1.7209484836594124E-2</v>
      </c>
      <c r="I67" s="14">
        <v>-2.0112672697736089E-2</v>
      </c>
      <c r="J67" s="14">
        <v>-1.0887573964496911E-2</v>
      </c>
      <c r="K67" s="14">
        <v>-1.2705427524377533E-2</v>
      </c>
    </row>
    <row r="68" spans="2:11" x14ac:dyDescent="0.25">
      <c r="B68" s="29">
        <v>60</v>
      </c>
      <c r="C68" s="30">
        <v>4.3604651162790699E-2</v>
      </c>
      <c r="D68" s="41">
        <v>4.5307158880796691E-3</v>
      </c>
      <c r="E68" s="41">
        <v>6.4967926360566253E-3</v>
      </c>
      <c r="F68" s="41">
        <v>1.6587510648002901E-3</v>
      </c>
      <c r="G68" s="41">
        <v>-7.6103731738230446E-5</v>
      </c>
      <c r="H68" s="14">
        <v>-1.7165377449917085E-2</v>
      </c>
      <c r="I68" s="14">
        <v>-1.9983672618634096E-2</v>
      </c>
      <c r="J68" s="14">
        <v>-1.0863719479402012E-2</v>
      </c>
      <c r="K68" s="14">
        <v>-1.2589483012973624E-2</v>
      </c>
    </row>
    <row r="69" spans="2:11" x14ac:dyDescent="0.25">
      <c r="B69" s="29">
        <v>61</v>
      </c>
      <c r="C69" s="30">
        <v>4.4331395348837212E-2</v>
      </c>
      <c r="D69" s="41">
        <v>6.1345653323973907E-3</v>
      </c>
      <c r="E69" s="41">
        <v>2.3645159536880289E-3</v>
      </c>
      <c r="F69" s="41">
        <v>-6.621784025654387E-4</v>
      </c>
      <c r="G69" s="41">
        <v>2.2958273772831772E-3</v>
      </c>
      <c r="H69" s="14">
        <v>-1.7045108662567698E-2</v>
      </c>
      <c r="I69" s="14">
        <v>-1.9866404572094098E-2</v>
      </c>
      <c r="J69" s="14">
        <v>-1.0822908332590586E-2</v>
      </c>
      <c r="K69" s="14">
        <v>-1.251385439857886E-2</v>
      </c>
    </row>
    <row r="70" spans="2:11" x14ac:dyDescent="0.25">
      <c r="B70" s="29">
        <v>62</v>
      </c>
      <c r="C70" s="30">
        <v>4.5058139534883718E-2</v>
      </c>
      <c r="D70" s="41">
        <v>-6.4222229074111237E-3</v>
      </c>
      <c r="E70" s="41">
        <v>-8.1342696781538937E-4</v>
      </c>
      <c r="F70" s="41">
        <v>-4.3758596618451717E-3</v>
      </c>
      <c r="G70" s="41">
        <v>1.9557234593370245E-5</v>
      </c>
      <c r="H70" s="14">
        <v>-1.7039622254157227E-2</v>
      </c>
      <c r="I70" s="14">
        <v>-1.9617869134666122E-2</v>
      </c>
      <c r="J70" s="14">
        <v>-1.0784817218357556E-2</v>
      </c>
      <c r="K70" s="14">
        <v>-1.2490934010259825E-2</v>
      </c>
    </row>
    <row r="71" spans="2:11" x14ac:dyDescent="0.25">
      <c r="B71" s="29">
        <v>63</v>
      </c>
      <c r="C71" s="30">
        <v>4.5784883720930231E-2</v>
      </c>
      <c r="D71" s="41">
        <v>-1.3135693587263167E-2</v>
      </c>
      <c r="E71" s="41">
        <v>6.9740305554801818E-3</v>
      </c>
      <c r="F71" s="41">
        <v>7.3176739493541199E-4</v>
      </c>
      <c r="G71" s="41">
        <v>9.5130216276739798E-4</v>
      </c>
      <c r="H71" s="14">
        <v>-1.6942371932070377E-2</v>
      </c>
      <c r="I71" s="14">
        <v>-1.9493416159936938E-2</v>
      </c>
      <c r="J71" s="14">
        <v>-1.0783259660444466E-2</v>
      </c>
      <c r="K71" s="14">
        <v>-1.2489761360143636E-2</v>
      </c>
    </row>
    <row r="72" spans="2:11" x14ac:dyDescent="0.25">
      <c r="B72" s="29">
        <v>64</v>
      </c>
      <c r="C72" s="30">
        <v>4.6511627906976744E-2</v>
      </c>
      <c r="D72" s="41">
        <v>-8.8213042867185121E-3</v>
      </c>
      <c r="E72" s="41">
        <v>2.4118788401423785E-3</v>
      </c>
      <c r="F72" s="41">
        <v>-3.3922527866088181E-3</v>
      </c>
      <c r="G72" s="41">
        <v>-2.0942956869618003E-3</v>
      </c>
      <c r="H72" s="14">
        <v>-1.6875923190546649E-2</v>
      </c>
      <c r="I72" s="14">
        <v>-1.9290307216003777E-2</v>
      </c>
      <c r="J72" s="14">
        <v>-1.0729239297477267E-2</v>
      </c>
      <c r="K72" s="14">
        <v>-1.2281978872507104E-2</v>
      </c>
    </row>
    <row r="73" spans="2:11" x14ac:dyDescent="0.25">
      <c r="B73" s="29">
        <v>65</v>
      </c>
      <c r="C73" s="30">
        <v>4.7238372093023256E-2</v>
      </c>
      <c r="D73" s="41">
        <v>-5.0690919033311603E-3</v>
      </c>
      <c r="E73" s="41">
        <v>-1.6130116271255712E-3</v>
      </c>
      <c r="F73" s="41">
        <v>8.6789696993161414E-4</v>
      </c>
      <c r="G73" s="41">
        <v>2.4037232000386768E-4</v>
      </c>
      <c r="H73" s="14">
        <v>-1.6758997265361453E-2</v>
      </c>
      <c r="I73" s="14">
        <v>-1.928189385068213E-2</v>
      </c>
      <c r="J73" s="14">
        <v>-1.0719754977029039E-2</v>
      </c>
      <c r="K73" s="14">
        <v>-1.2078333063137416E-2</v>
      </c>
    </row>
    <row r="74" spans="2:11" x14ac:dyDescent="0.25">
      <c r="B74" s="29">
        <v>66</v>
      </c>
      <c r="C74" s="30">
        <v>4.7965116279069769E-2</v>
      </c>
      <c r="D74" s="41">
        <v>-1.2429949701576381E-2</v>
      </c>
      <c r="E74" s="41">
        <v>8.051161225176795E-3</v>
      </c>
      <c r="F74" s="41">
        <v>2.2008004834392914E-3</v>
      </c>
      <c r="G74" s="41">
        <v>4.0482826097117735E-3</v>
      </c>
      <c r="H74" s="14">
        <v>-1.6746031746031842E-2</v>
      </c>
      <c r="I74" s="14">
        <v>-1.9279718386136069E-2</v>
      </c>
      <c r="J74" s="14">
        <v>-1.0621193466833656E-2</v>
      </c>
      <c r="K74" s="14">
        <v>-1.1923128087939008E-2</v>
      </c>
    </row>
    <row r="75" spans="2:11" x14ac:dyDescent="0.25">
      <c r="B75" s="29">
        <v>67</v>
      </c>
      <c r="C75" s="30">
        <v>4.8691860465116282E-2</v>
      </c>
      <c r="D75" s="41">
        <v>7.7256658074424398E-3</v>
      </c>
      <c r="E75" s="41">
        <v>1.1085438008360704E-2</v>
      </c>
      <c r="F75" s="41">
        <v>1.1249759939176096E-2</v>
      </c>
      <c r="G75" s="41">
        <v>6.0386664707904551E-3</v>
      </c>
      <c r="H75" s="14">
        <v>-1.6611842105263119E-2</v>
      </c>
      <c r="I75" s="14">
        <v>-1.917585241875619E-2</v>
      </c>
      <c r="J75" s="14">
        <v>-1.0587711209689044E-2</v>
      </c>
      <c r="K75" s="14">
        <v>-1.1855329968052365E-2</v>
      </c>
    </row>
    <row r="76" spans="2:11" x14ac:dyDescent="0.25">
      <c r="B76" s="29">
        <v>68</v>
      </c>
      <c r="C76" s="30">
        <v>4.9418604651162788E-2</v>
      </c>
      <c r="D76" s="41">
        <v>-6.2318411047987627E-3</v>
      </c>
      <c r="E76" s="41">
        <v>-1.4134182264903261E-3</v>
      </c>
      <c r="F76" s="41">
        <v>5.5283551674467635E-3</v>
      </c>
      <c r="G76" s="41">
        <v>7.9889905622678717E-4</v>
      </c>
      <c r="H76" s="14">
        <v>-1.6587699140713785E-2</v>
      </c>
      <c r="I76" s="14">
        <v>-1.9069110277599832E-2</v>
      </c>
      <c r="J76" s="14">
        <v>-1.0581121934833626E-2</v>
      </c>
      <c r="K76" s="14">
        <v>-1.175424735786579E-2</v>
      </c>
    </row>
    <row r="77" spans="2:11" x14ac:dyDescent="0.25">
      <c r="B77" s="29">
        <v>69</v>
      </c>
      <c r="C77" s="30">
        <v>5.0145348837209301E-2</v>
      </c>
      <c r="D77" s="41">
        <v>-2.3523947505866812E-3</v>
      </c>
      <c r="E77" s="41">
        <v>-1.2699084607651345E-3</v>
      </c>
      <c r="F77" s="41">
        <v>-9.8126718503810384E-4</v>
      </c>
      <c r="G77" s="41">
        <v>-6.3960193437260235E-4</v>
      </c>
      <c r="H77" s="14">
        <v>-1.6425435030086311E-2</v>
      </c>
      <c r="I77" s="14">
        <v>-1.9066377468023199E-2</v>
      </c>
      <c r="J77" s="14">
        <v>-1.0530910678234418E-2</v>
      </c>
      <c r="K77" s="14">
        <v>-1.1728421079418606E-2</v>
      </c>
    </row>
    <row r="78" spans="2:11" x14ac:dyDescent="0.25">
      <c r="B78" s="29">
        <v>70</v>
      </c>
      <c r="C78" s="30">
        <v>5.0872093023255814E-2</v>
      </c>
      <c r="D78" s="41">
        <v>4.3928683192167228E-4</v>
      </c>
      <c r="E78" s="41">
        <v>0</v>
      </c>
      <c r="F78" s="41">
        <v>3.6038505738926752E-3</v>
      </c>
      <c r="G78" s="41">
        <v>7.2077011477853512E-4</v>
      </c>
      <c r="H78" s="14">
        <v>-1.639556456832203E-2</v>
      </c>
      <c r="I78" s="14">
        <v>-1.9000473445289212E-2</v>
      </c>
      <c r="J78" s="14">
        <v>-1.0346379827033458E-2</v>
      </c>
      <c r="K78" s="14">
        <v>-1.1717740921394682E-2</v>
      </c>
    </row>
    <row r="79" spans="2:11" x14ac:dyDescent="0.25">
      <c r="B79" s="29">
        <v>71</v>
      </c>
      <c r="C79" s="30">
        <v>5.1598837209302327E-2</v>
      </c>
      <c r="D79" s="41">
        <v>-2.7371060732605975E-2</v>
      </c>
      <c r="E79" s="41">
        <v>2.6754966887416742E-3</v>
      </c>
      <c r="F79" s="41">
        <v>3.5906486402570437E-3</v>
      </c>
      <c r="G79" s="41">
        <v>-3.638038682523926E-3</v>
      </c>
      <c r="H79" s="14">
        <v>-1.639346397569752E-2</v>
      </c>
      <c r="I79" s="14">
        <v>-1.8907325457793944E-2</v>
      </c>
      <c r="J79" s="14">
        <v>-1.0335759465880723E-2</v>
      </c>
      <c r="K79" s="14">
        <v>-1.170618589249748E-2</v>
      </c>
    </row>
    <row r="80" spans="2:11" x14ac:dyDescent="0.25">
      <c r="B80" s="29">
        <v>72</v>
      </c>
      <c r="C80" s="30">
        <v>5.232558139534884E-2</v>
      </c>
      <c r="D80" s="41">
        <v>1.4516770627601009E-3</v>
      </c>
      <c r="E80" s="41">
        <v>-6.0764576893612698E-4</v>
      </c>
      <c r="F80" s="41">
        <v>3.4488354178967562E-3</v>
      </c>
      <c r="G80" s="41">
        <v>1.5599932867602639E-3</v>
      </c>
      <c r="H80" s="14">
        <v>-1.6205280650688381E-2</v>
      </c>
      <c r="I80" s="14">
        <v>-1.8655287488374639E-2</v>
      </c>
      <c r="J80" s="14">
        <v>-1.0301719479365423E-2</v>
      </c>
      <c r="K80" s="14">
        <v>-1.1647688496863396E-2</v>
      </c>
    </row>
    <row r="81" spans="2:11" x14ac:dyDescent="0.25">
      <c r="B81" s="29">
        <v>73</v>
      </c>
      <c r="C81" s="30">
        <v>5.3052325581395346E-2</v>
      </c>
      <c r="D81" s="41">
        <v>8.3748018553377272E-3</v>
      </c>
      <c r="E81" s="41">
        <v>-1.0944274082690053E-2</v>
      </c>
      <c r="F81" s="41">
        <v>1.5624307722311714E-2</v>
      </c>
      <c r="G81" s="41">
        <v>-1.9712074424243836E-3</v>
      </c>
      <c r="H81" s="14">
        <v>-1.6110697087009962E-2</v>
      </c>
      <c r="I81" s="14">
        <v>-1.8637020968908291E-2</v>
      </c>
      <c r="J81" s="14">
        <v>-1.0228129713424017E-2</v>
      </c>
      <c r="K81" s="14">
        <v>-1.1569870002496298E-2</v>
      </c>
    </row>
    <row r="82" spans="2:11" x14ac:dyDescent="0.25">
      <c r="B82" s="29">
        <v>74</v>
      </c>
      <c r="C82" s="30">
        <v>5.3779069767441859E-2</v>
      </c>
      <c r="D82" s="41">
        <v>-2.2719730271679797E-2</v>
      </c>
      <c r="E82" s="41">
        <v>-4.2497460843533563E-3</v>
      </c>
      <c r="F82" s="41">
        <v>-2.425410350496815E-3</v>
      </c>
      <c r="G82" s="41">
        <v>1.5441356678671529E-3</v>
      </c>
      <c r="H82" s="14">
        <v>-1.609616876983111E-2</v>
      </c>
      <c r="I82" s="14">
        <v>-1.8555703907736754E-2</v>
      </c>
      <c r="J82" s="14">
        <v>-1.0179219232226977E-2</v>
      </c>
      <c r="K82" s="14">
        <v>-1.1528747415931618E-2</v>
      </c>
    </row>
    <row r="83" spans="2:11" x14ac:dyDescent="0.25">
      <c r="B83" s="29">
        <v>75</v>
      </c>
      <c r="C83" s="30">
        <v>5.4505813953488372E-2</v>
      </c>
      <c r="D83" s="41">
        <v>6.3793552148867186E-4</v>
      </c>
      <c r="E83" s="41">
        <v>-9.6631324654417039E-4</v>
      </c>
      <c r="F83" s="41">
        <v>-5.119590646592509E-3</v>
      </c>
      <c r="G83" s="41">
        <v>5.2659578822709776E-3</v>
      </c>
      <c r="H83" s="14">
        <v>-1.6004259413054722E-2</v>
      </c>
      <c r="I83" s="14">
        <v>-1.8554941180836448E-2</v>
      </c>
      <c r="J83" s="14">
        <v>-1.002016298281716E-2</v>
      </c>
      <c r="K83" s="14">
        <v>-1.119110424097918E-2</v>
      </c>
    </row>
    <row r="84" spans="2:11" x14ac:dyDescent="0.25">
      <c r="B84" s="29">
        <v>76</v>
      </c>
      <c r="C84" s="30">
        <v>5.5232558139534885E-2</v>
      </c>
      <c r="D84" s="41">
        <v>3.805654471445606E-3</v>
      </c>
      <c r="E84" s="41">
        <v>-6.421451409226453E-3</v>
      </c>
      <c r="F84" s="41">
        <v>-9.1977361867642271E-3</v>
      </c>
      <c r="G84" s="41">
        <v>-2.5591778653079045E-3</v>
      </c>
      <c r="H84" s="14">
        <v>-1.5991069017563864E-2</v>
      </c>
      <c r="I84" s="14">
        <v>-1.8536715746774846E-2</v>
      </c>
      <c r="J84" s="14">
        <v>-1.0019710906701729E-2</v>
      </c>
      <c r="K84" s="14">
        <v>-1.1139572058455373E-2</v>
      </c>
    </row>
    <row r="85" spans="2:11" x14ac:dyDescent="0.25">
      <c r="B85" s="29">
        <v>77</v>
      </c>
      <c r="C85" s="30">
        <v>5.5959302325581398E-2</v>
      </c>
      <c r="D85" s="41">
        <v>1.9663669414233644E-3</v>
      </c>
      <c r="E85" s="41">
        <v>1.3737155219037289E-2</v>
      </c>
      <c r="F85" s="41">
        <v>1.0516430495022711E-2</v>
      </c>
      <c r="G85" s="41">
        <v>4.6788634416782496E-3</v>
      </c>
      <c r="H85" s="14">
        <v>-1.5897802528597182E-2</v>
      </c>
      <c r="I85" s="14">
        <v>-1.8509540193931695E-2</v>
      </c>
      <c r="J85" s="14">
        <v>-9.8494599585874365E-3</v>
      </c>
      <c r="K85" s="14">
        <v>-1.1061577268132084E-2</v>
      </c>
    </row>
    <row r="86" spans="2:11" x14ac:dyDescent="0.25">
      <c r="B86" s="29">
        <v>78</v>
      </c>
      <c r="C86" s="30">
        <v>5.6686046511627904E-2</v>
      </c>
      <c r="D86" s="41">
        <v>6.4354812027728548E-3</v>
      </c>
      <c r="E86" s="41">
        <v>-2.9609475032010835E-3</v>
      </c>
      <c r="F86" s="41">
        <v>-1.7341957795681262E-3</v>
      </c>
      <c r="G86" s="41">
        <v>-8.9191590952009125E-4</v>
      </c>
      <c r="H86" s="14">
        <v>-1.5838641188959723E-2</v>
      </c>
      <c r="I86" s="14">
        <v>-1.8379126268727508E-2</v>
      </c>
      <c r="J86" s="14">
        <v>-9.8033785654942918E-3</v>
      </c>
      <c r="K86" s="14">
        <v>-1.1026043685949815E-2</v>
      </c>
    </row>
    <row r="87" spans="2:11" x14ac:dyDescent="0.25">
      <c r="B87" s="29">
        <v>79</v>
      </c>
      <c r="C87" s="30">
        <v>5.7412790697674417E-2</v>
      </c>
      <c r="D87" s="41">
        <v>5.5613542599263479E-3</v>
      </c>
      <c r="E87" s="41">
        <v>-9.109880407737303E-3</v>
      </c>
      <c r="F87" s="41">
        <v>-8.1730175901287838E-3</v>
      </c>
      <c r="G87" s="41">
        <v>3.7209775755224538E-3</v>
      </c>
      <c r="H87" s="14">
        <v>-1.5771792973865661E-2</v>
      </c>
      <c r="I87" s="14">
        <v>-1.8351843592574579E-2</v>
      </c>
      <c r="J87" s="14">
        <v>-9.7969847058182458E-3</v>
      </c>
      <c r="K87" s="14">
        <v>-1.099387903317286E-2</v>
      </c>
    </row>
    <row r="88" spans="2:11" x14ac:dyDescent="0.25">
      <c r="B88" s="29">
        <v>80</v>
      </c>
      <c r="C88" s="30">
        <v>5.8139534883720929E-2</v>
      </c>
      <c r="D88" s="41">
        <v>-1.6547569845246069E-2</v>
      </c>
      <c r="E88" s="41">
        <v>-1.5390223158235794E-2</v>
      </c>
      <c r="F88" s="41">
        <v>1.7523055046491098E-3</v>
      </c>
      <c r="G88" s="41">
        <v>-3.6209028594975652E-3</v>
      </c>
      <c r="H88" s="14">
        <v>-1.5766199239198753E-2</v>
      </c>
      <c r="I88" s="14">
        <v>-1.8277671399796191E-2</v>
      </c>
      <c r="J88" s="14">
        <v>-9.7727145808900184E-3</v>
      </c>
      <c r="K88" s="14">
        <v>-1.0988050950620566E-2</v>
      </c>
    </row>
    <row r="89" spans="2:11" x14ac:dyDescent="0.25">
      <c r="B89" s="29">
        <v>81</v>
      </c>
      <c r="C89" s="30">
        <v>5.8866279069767442E-2</v>
      </c>
      <c r="D89" s="41">
        <v>-6.6078380822319396E-3</v>
      </c>
      <c r="E89" s="41">
        <v>-9.4607379375599709E-4</v>
      </c>
      <c r="F89" s="41">
        <v>1.7477315615292977E-3</v>
      </c>
      <c r="G89" s="41">
        <v>-4.4988338527762305E-3</v>
      </c>
      <c r="H89" s="14">
        <v>-1.5574480325881046E-2</v>
      </c>
      <c r="I89" s="14">
        <v>-1.8251413658112225E-2</v>
      </c>
      <c r="J89" s="14">
        <v>-9.7668038408778024E-3</v>
      </c>
      <c r="K89" s="14">
        <v>-1.0898328837291874E-2</v>
      </c>
    </row>
    <row r="90" spans="2:11" x14ac:dyDescent="0.25">
      <c r="B90" s="29">
        <v>82</v>
      </c>
      <c r="C90" s="30">
        <v>5.9593023255813955E-2</v>
      </c>
      <c r="D90" s="41">
        <v>2.7706380478543465E-3</v>
      </c>
      <c r="E90" s="41">
        <v>-1.0512736056214278E-2</v>
      </c>
      <c r="F90" s="41">
        <v>4.3977293228822933E-3</v>
      </c>
      <c r="G90" s="41">
        <v>-4.3742214085837913E-4</v>
      </c>
      <c r="H90" s="14">
        <v>-1.5559518502006209E-2</v>
      </c>
      <c r="I90" s="14">
        <v>-1.8226858645589594E-2</v>
      </c>
      <c r="J90" s="14">
        <v>-9.632592904516124E-3</v>
      </c>
      <c r="K90" s="14">
        <v>-1.0855437416650449E-2</v>
      </c>
    </row>
    <row r="91" spans="2:11" x14ac:dyDescent="0.25">
      <c r="B91" s="29">
        <v>83</v>
      </c>
      <c r="C91" s="30">
        <v>6.0319767441860468E-2</v>
      </c>
      <c r="D91" s="41">
        <v>7.9510795820631353E-3</v>
      </c>
      <c r="E91" s="41">
        <v>7.0182251934864937E-3</v>
      </c>
      <c r="F91" s="41">
        <v>-5.1508569449447705E-3</v>
      </c>
      <c r="G91" s="41">
        <v>3.7717923559145382E-3</v>
      </c>
      <c r="H91" s="14">
        <v>-1.5544453637115652E-2</v>
      </c>
      <c r="I91" s="14">
        <v>-1.8180343053405101E-2</v>
      </c>
      <c r="J91" s="14">
        <v>-9.530669917437673E-3</v>
      </c>
      <c r="K91" s="14">
        <v>-1.0722404059358759E-2</v>
      </c>
    </row>
    <row r="92" spans="2:11" x14ac:dyDescent="0.25">
      <c r="B92" s="29">
        <v>84</v>
      </c>
      <c r="C92" s="30">
        <v>6.1046511627906974E-2</v>
      </c>
      <c r="D92" s="41">
        <v>2.32179221543218E-2</v>
      </c>
      <c r="E92" s="41">
        <v>7.5753402016418558E-3</v>
      </c>
      <c r="F92" s="41">
        <v>5.8243306812197915E-3</v>
      </c>
      <c r="G92" s="41">
        <v>6.8000473131736077E-3</v>
      </c>
      <c r="H92" s="14">
        <v>-1.5414919183365461E-2</v>
      </c>
      <c r="I92" s="14">
        <v>-1.8171036757839931E-2</v>
      </c>
      <c r="J92" s="14">
        <v>-9.4727018198784707E-3</v>
      </c>
      <c r="K92" s="14">
        <v>-1.0513283671698171E-2</v>
      </c>
    </row>
    <row r="93" spans="2:11" x14ac:dyDescent="0.25">
      <c r="B93" s="29">
        <v>85</v>
      </c>
      <c r="C93" s="30">
        <v>6.1773255813953487E-2</v>
      </c>
      <c r="D93" s="41">
        <v>-6.202555182665122E-3</v>
      </c>
      <c r="E93" s="41">
        <v>1.9438444924406051E-2</v>
      </c>
      <c r="F93" s="41">
        <v>3.6662486642700109E-3</v>
      </c>
      <c r="G93" s="41">
        <v>2.6543652886124921E-3</v>
      </c>
      <c r="H93" s="14">
        <v>-1.5397082658022643E-2</v>
      </c>
      <c r="I93" s="14">
        <v>-1.8023479188900682E-2</v>
      </c>
      <c r="J93" s="14">
        <v>-9.4522624421771173E-3</v>
      </c>
      <c r="K93" s="14">
        <v>-1.0471134547506812E-2</v>
      </c>
    </row>
    <row r="94" spans="2:11" x14ac:dyDescent="0.25">
      <c r="B94" s="29">
        <v>86</v>
      </c>
      <c r="C94" s="30">
        <v>6.25E-2</v>
      </c>
      <c r="D94" s="41">
        <v>1.3788718441479447E-2</v>
      </c>
      <c r="E94" s="41">
        <v>4.1702424372451752E-3</v>
      </c>
      <c r="F94" s="41">
        <v>-3.9733619140743803E-3</v>
      </c>
      <c r="G94" s="41">
        <v>8.7342459208319414E-4</v>
      </c>
      <c r="H94" s="14">
        <v>-1.5378336331177578E-2</v>
      </c>
      <c r="I94" s="14">
        <v>-1.799254698639019E-2</v>
      </c>
      <c r="J94" s="14">
        <v>-9.4174935685410466E-3</v>
      </c>
      <c r="K94" s="14">
        <v>-1.0428168271382333E-2</v>
      </c>
    </row>
    <row r="95" spans="2:11" x14ac:dyDescent="0.25">
      <c r="B95" s="29">
        <v>87</v>
      </c>
      <c r="C95" s="30">
        <v>6.3226744186046513E-2</v>
      </c>
      <c r="D95" s="41">
        <v>-3.4837611130994839E-3</v>
      </c>
      <c r="E95" s="41">
        <v>-2.6039232443548777E-3</v>
      </c>
      <c r="F95" s="41">
        <v>-1.9263025838534009E-4</v>
      </c>
      <c r="G95" s="41">
        <v>-2.0807068422297849E-3</v>
      </c>
      <c r="H95" s="14">
        <v>-1.5229535922210213E-2</v>
      </c>
      <c r="I95" s="14">
        <v>-1.798601170388725E-2</v>
      </c>
      <c r="J95" s="14">
        <v>-9.3874010174670452E-3</v>
      </c>
      <c r="K95" s="14">
        <v>-1.0336982470156754E-2</v>
      </c>
    </row>
    <row r="96" spans="2:11" x14ac:dyDescent="0.25">
      <c r="B96" s="29">
        <v>88</v>
      </c>
      <c r="C96" s="30">
        <v>6.3953488372093026E-2</v>
      </c>
      <c r="D96" s="41">
        <v>-1.3608507652148313E-2</v>
      </c>
      <c r="E96" s="41">
        <v>5.5025973330478095E-3</v>
      </c>
      <c r="F96" s="41">
        <v>1.093428628807791E-3</v>
      </c>
      <c r="G96" s="41">
        <v>2.7958987684533641E-3</v>
      </c>
      <c r="H96" s="14">
        <v>-1.5143737166324445E-2</v>
      </c>
      <c r="I96" s="14">
        <v>-1.79322285431609E-2</v>
      </c>
      <c r="J96" s="14">
        <v>-9.3746740505149528E-3</v>
      </c>
      <c r="K96" s="14">
        <v>-1.0177808849371205E-2</v>
      </c>
    </row>
    <row r="97" spans="2:11" x14ac:dyDescent="0.25">
      <c r="B97" s="29">
        <v>89</v>
      </c>
      <c r="C97" s="30">
        <v>6.4680232558139539E-2</v>
      </c>
      <c r="D97" s="41">
        <v>1.393052102927925E-2</v>
      </c>
      <c r="E97" s="41">
        <v>0</v>
      </c>
      <c r="F97" s="41">
        <v>0</v>
      </c>
      <c r="G97" s="41">
        <v>0</v>
      </c>
      <c r="H97" s="14">
        <v>-1.5070111263526864E-2</v>
      </c>
      <c r="I97" s="14">
        <v>-1.792371917172797E-2</v>
      </c>
      <c r="J97" s="14">
        <v>-9.2777201341446291E-3</v>
      </c>
      <c r="K97" s="14">
        <v>-1.0116273633001428E-2</v>
      </c>
    </row>
    <row r="98" spans="2:11" x14ac:dyDescent="0.25">
      <c r="B98" s="29">
        <v>90</v>
      </c>
      <c r="C98" s="30">
        <v>6.5406976744186052E-2</v>
      </c>
      <c r="D98" s="41">
        <v>1.5409753823603703E-2</v>
      </c>
      <c r="E98" s="41">
        <v>6.3779076734618023E-3</v>
      </c>
      <c r="F98" s="41">
        <v>7.0815326155249103E-4</v>
      </c>
      <c r="G98" s="41">
        <v>2.8807192431429931E-3</v>
      </c>
      <c r="H98" s="14">
        <v>-1.4905255238781945E-2</v>
      </c>
      <c r="I98" s="14">
        <v>-1.7896011527024025E-2</v>
      </c>
      <c r="J98" s="14">
        <v>-9.244634395614848E-3</v>
      </c>
      <c r="K98" s="14">
        <v>-1.0098203198313538E-2</v>
      </c>
    </row>
    <row r="99" spans="2:11" x14ac:dyDescent="0.25">
      <c r="B99" s="29">
        <v>91</v>
      </c>
      <c r="C99" s="30">
        <v>6.6133720930232565E-2</v>
      </c>
      <c r="D99" s="41">
        <v>-1.5160444915203554E-2</v>
      </c>
      <c r="E99" s="41">
        <v>1.2833743483897653E-3</v>
      </c>
      <c r="F99" s="41">
        <v>-7.7140912391138183E-4</v>
      </c>
      <c r="G99" s="41">
        <v>-2.959147744195412E-3</v>
      </c>
      <c r="H99" s="14">
        <v>-1.4871711063899395E-2</v>
      </c>
      <c r="I99" s="14">
        <v>-1.7848249597187671E-2</v>
      </c>
      <c r="J99" s="14">
        <v>-9.2107128834714169E-3</v>
      </c>
      <c r="K99" s="14">
        <v>-1.0089091146835406E-2</v>
      </c>
    </row>
    <row r="100" spans="2:11" x14ac:dyDescent="0.25">
      <c r="B100" s="29">
        <v>92</v>
      </c>
      <c r="C100" s="30">
        <v>6.6860465116279064E-2</v>
      </c>
      <c r="D100" s="41">
        <v>-8.8049427963669859E-3</v>
      </c>
      <c r="E100" s="41">
        <v>-3.8848293449965654E-3</v>
      </c>
      <c r="F100" s="41">
        <v>9.6355356940702741E-4</v>
      </c>
      <c r="G100" s="41">
        <v>-9.1932902147631192E-4</v>
      </c>
      <c r="H100" s="14">
        <v>-1.4834621878874632E-2</v>
      </c>
      <c r="I100" s="14">
        <v>-1.7770561306181265E-2</v>
      </c>
      <c r="J100" s="14">
        <v>-9.1977361867642271E-3</v>
      </c>
      <c r="K100" s="14">
        <v>-1.0078654140600385E-2</v>
      </c>
    </row>
    <row r="101" spans="2:11" x14ac:dyDescent="0.25">
      <c r="B101" s="29">
        <v>93</v>
      </c>
      <c r="C101" s="30">
        <v>6.7587209302325577E-2</v>
      </c>
      <c r="D101" s="41">
        <v>-1.3570432576253455E-2</v>
      </c>
      <c r="E101" s="41">
        <v>-1.7390727598328604E-2</v>
      </c>
      <c r="F101" s="41">
        <v>-1.002016298281716E-2</v>
      </c>
      <c r="G101" s="41">
        <v>-1.3298273037631422E-3</v>
      </c>
      <c r="H101" s="14">
        <v>-1.4753720315325847E-2</v>
      </c>
      <c r="I101" s="14">
        <v>-1.7685491681241783E-2</v>
      </c>
      <c r="J101" s="14">
        <v>-9.1342718860237815E-3</v>
      </c>
      <c r="K101" s="14">
        <v>-9.9646543189629618E-3</v>
      </c>
    </row>
    <row r="102" spans="2:11" x14ac:dyDescent="0.25">
      <c r="B102" s="29">
        <v>94</v>
      </c>
      <c r="C102" s="30">
        <v>6.8313953488372089E-2</v>
      </c>
      <c r="D102" s="41">
        <v>-1.8638969913084935E-3</v>
      </c>
      <c r="E102" s="41">
        <v>0</v>
      </c>
      <c r="F102" s="41">
        <v>0</v>
      </c>
      <c r="G102" s="41">
        <v>0</v>
      </c>
      <c r="H102" s="14">
        <v>-1.4750829274494559E-2</v>
      </c>
      <c r="I102" s="14">
        <v>-1.750732602698557E-2</v>
      </c>
      <c r="J102" s="14">
        <v>-9.1210163418211643E-3</v>
      </c>
      <c r="K102" s="14">
        <v>-9.9073124425650208E-3</v>
      </c>
    </row>
    <row r="103" spans="2:11" x14ac:dyDescent="0.25">
      <c r="B103" s="29">
        <v>95</v>
      </c>
      <c r="C103" s="30">
        <v>6.9040697674418602E-2</v>
      </c>
      <c r="D103" s="41">
        <v>-2.3164937688323898E-2</v>
      </c>
      <c r="E103" s="41">
        <v>-5.0355050355050945E-3</v>
      </c>
      <c r="F103" s="41">
        <v>4.5319911377639244E-4</v>
      </c>
      <c r="G103" s="41">
        <v>4.9452682476201389E-3</v>
      </c>
      <c r="H103" s="14">
        <v>-1.4748728156388391E-2</v>
      </c>
      <c r="I103" s="14">
        <v>-1.7501610824742331E-2</v>
      </c>
      <c r="J103" s="14">
        <v>-9.1204204668419164E-3</v>
      </c>
      <c r="K103" s="14">
        <v>-9.8816171277655868E-3</v>
      </c>
    </row>
    <row r="104" spans="2:11" x14ac:dyDescent="0.25">
      <c r="B104" s="29">
        <v>96</v>
      </c>
      <c r="C104" s="30">
        <v>6.9767441860465115E-2</v>
      </c>
      <c r="D104" s="41">
        <v>3.2859079726830316E-3</v>
      </c>
      <c r="E104" s="41">
        <v>1.4952307295694744E-2</v>
      </c>
      <c r="F104" s="41">
        <v>1.0182991710368627E-2</v>
      </c>
      <c r="G104" s="41">
        <v>6.3748683769000447E-3</v>
      </c>
      <c r="H104" s="14">
        <v>-1.4743482959906018E-2</v>
      </c>
      <c r="I104" s="14">
        <v>-1.7468489001186915E-2</v>
      </c>
      <c r="J104" s="14">
        <v>-9.0958310774227336E-3</v>
      </c>
      <c r="K104" s="14">
        <v>-9.8733082769922216E-3</v>
      </c>
    </row>
    <row r="105" spans="2:11" x14ac:dyDescent="0.25">
      <c r="B105" s="29">
        <v>97</v>
      </c>
      <c r="C105" s="30">
        <v>7.0494186046511628E-2</v>
      </c>
      <c r="D105" s="41">
        <v>7.433289287608274E-3</v>
      </c>
      <c r="E105" s="41">
        <v>-5.0800101600201319E-4</v>
      </c>
      <c r="F105" s="41">
        <v>4.7526242769699856E-3</v>
      </c>
      <c r="G105" s="41">
        <v>2.3967509203176806E-3</v>
      </c>
      <c r="H105" s="14">
        <v>-1.4635656035009825E-2</v>
      </c>
      <c r="I105" s="14">
        <v>-1.7464061527586727E-2</v>
      </c>
      <c r="J105" s="14">
        <v>-9.0769961475540839E-3</v>
      </c>
      <c r="K105" s="14">
        <v>-9.8623068951947616E-3</v>
      </c>
    </row>
    <row r="106" spans="2:11" x14ac:dyDescent="0.25">
      <c r="B106" s="29">
        <v>98</v>
      </c>
      <c r="C106" s="30">
        <v>7.1220930232558141E-2</v>
      </c>
      <c r="D106" s="41">
        <v>-1.9156728334138163E-2</v>
      </c>
      <c r="E106" s="41">
        <v>7.4633852738581474E-3</v>
      </c>
      <c r="F106" s="41">
        <v>-1.3424874934663267E-3</v>
      </c>
      <c r="G106" s="41">
        <v>4.8460914732629378E-3</v>
      </c>
      <c r="H106" s="14">
        <v>-1.4607788336128302E-2</v>
      </c>
      <c r="I106" s="14">
        <v>-1.7390727598328604E-2</v>
      </c>
      <c r="J106" s="14">
        <v>-8.9994079336885857E-3</v>
      </c>
      <c r="K106" s="14">
        <v>-9.8340519191098662E-3</v>
      </c>
    </row>
    <row r="107" spans="2:11" x14ac:dyDescent="0.25">
      <c r="B107" s="29">
        <v>99</v>
      </c>
      <c r="C107" s="30">
        <v>7.1947674418604654E-2</v>
      </c>
      <c r="D107" s="41">
        <v>-4.7425270142869057E-3</v>
      </c>
      <c r="E107" s="41">
        <v>-6.3991078422261927E-3</v>
      </c>
      <c r="F107" s="41">
        <v>5.5030503145299114E-3</v>
      </c>
      <c r="G107" s="41">
        <v>-8.5384275130464507E-4</v>
      </c>
      <c r="H107" s="14">
        <v>-1.4582634931277427E-2</v>
      </c>
      <c r="I107" s="14">
        <v>-1.7328130189306012E-2</v>
      </c>
      <c r="J107" s="14">
        <v>-8.9487656541450411E-3</v>
      </c>
      <c r="K107" s="14">
        <v>-9.7855682394052852E-3</v>
      </c>
    </row>
    <row r="108" spans="2:11" x14ac:dyDescent="0.25">
      <c r="B108" s="29">
        <v>100</v>
      </c>
      <c r="C108" s="30">
        <v>7.2674418604651167E-2</v>
      </c>
      <c r="D108" s="41">
        <v>-5.7841657492568102E-3</v>
      </c>
      <c r="E108" s="41">
        <v>8.6049090739033218E-3</v>
      </c>
      <c r="F108" s="41">
        <v>2.7353746922482713E-3</v>
      </c>
      <c r="G108" s="41">
        <v>2.4279058042875345E-4</v>
      </c>
      <c r="H108" s="14">
        <v>-1.4566053004248292E-2</v>
      </c>
      <c r="I108" s="14">
        <v>-1.7141849500686868E-2</v>
      </c>
      <c r="J108" s="14">
        <v>-8.8715009918448606E-3</v>
      </c>
      <c r="K108" s="14">
        <v>-9.6520708944887196E-3</v>
      </c>
    </row>
    <row r="109" spans="2:11" x14ac:dyDescent="0.25">
      <c r="B109" s="29">
        <v>101</v>
      </c>
      <c r="C109" s="30">
        <v>7.340116279069768E-2</v>
      </c>
      <c r="D109" s="41">
        <v>1.3348353449721621E-2</v>
      </c>
      <c r="E109" s="41">
        <v>6.1601642710471527E-3</v>
      </c>
      <c r="F109" s="41">
        <v>5.3321882412420418E-3</v>
      </c>
      <c r="G109" s="41">
        <v>9.5078928127794622E-3</v>
      </c>
      <c r="H109" s="14">
        <v>-1.4496833216045002E-2</v>
      </c>
      <c r="I109" s="14">
        <v>-1.7077557256767961E-2</v>
      </c>
      <c r="J109" s="14">
        <v>-8.7547982760446397E-3</v>
      </c>
      <c r="K109" s="14">
        <v>-9.5913166927492424E-3</v>
      </c>
    </row>
    <row r="110" spans="2:11" x14ac:dyDescent="0.25">
      <c r="B110" s="29">
        <v>102</v>
      </c>
      <c r="C110" s="30">
        <v>7.4127906976744193E-2</v>
      </c>
      <c r="D110" s="41">
        <v>-8.8306112747131311E-3</v>
      </c>
      <c r="E110" s="41">
        <v>1.3166556945387597E-5</v>
      </c>
      <c r="F110" s="41">
        <v>3.4078395336096801E-3</v>
      </c>
      <c r="G110" s="41">
        <v>7.4696444716244599E-4</v>
      </c>
      <c r="H110" s="14">
        <v>-1.4407036700030407E-2</v>
      </c>
      <c r="I110" s="14">
        <v>-1.7049289266839129E-2</v>
      </c>
      <c r="J110" s="14">
        <v>-8.7118193891102536E-3</v>
      </c>
      <c r="K110" s="14">
        <v>-9.5595295286942782E-3</v>
      </c>
    </row>
    <row r="111" spans="2:11" x14ac:dyDescent="0.25">
      <c r="B111" s="29">
        <v>103</v>
      </c>
      <c r="C111" s="30">
        <v>7.4854651162790692E-2</v>
      </c>
      <c r="D111" s="41">
        <v>1.6474111218654656E-2</v>
      </c>
      <c r="E111" s="41">
        <v>1.2310568656107357E-2</v>
      </c>
      <c r="F111" s="41">
        <v>2.8308851261822365E-3</v>
      </c>
      <c r="G111" s="41">
        <v>2.2492038852162306E-5</v>
      </c>
      <c r="H111" s="14">
        <v>-1.42804410917583E-2</v>
      </c>
      <c r="I111" s="14">
        <v>-1.7028278421918674E-2</v>
      </c>
      <c r="J111" s="14">
        <v>-8.6861928828187995E-3</v>
      </c>
      <c r="K111" s="14">
        <v>-9.5360569576367731E-3</v>
      </c>
    </row>
    <row r="112" spans="2:11" x14ac:dyDescent="0.25">
      <c r="B112" s="29">
        <v>104</v>
      </c>
      <c r="C112" s="30">
        <v>7.5581395348837205E-2</v>
      </c>
      <c r="D112" s="41">
        <v>-1.6460033232059328E-3</v>
      </c>
      <c r="E112" s="41">
        <v>-2.1590406575968668E-3</v>
      </c>
      <c r="F112" s="41">
        <v>-2.8228938380033819E-3</v>
      </c>
      <c r="G112" s="41">
        <v>-1.3063754073441959E-3</v>
      </c>
      <c r="H112" s="14">
        <v>-1.4259911205822817E-2</v>
      </c>
      <c r="I112" s="14">
        <v>-1.7003900536323724E-2</v>
      </c>
      <c r="J112" s="14">
        <v>-8.6658413484431707E-3</v>
      </c>
      <c r="K112" s="14">
        <v>-9.4022623379413257E-3</v>
      </c>
    </row>
    <row r="113" spans="2:11" x14ac:dyDescent="0.25">
      <c r="B113" s="29">
        <v>105</v>
      </c>
      <c r="C113" s="30">
        <v>7.6308139534883718E-2</v>
      </c>
      <c r="D113" s="41">
        <v>3.1428397512977321E-3</v>
      </c>
      <c r="E113" s="41">
        <v>3.3237747653804828E-3</v>
      </c>
      <c r="F113" s="41">
        <v>1.888719563004182E-3</v>
      </c>
      <c r="G113" s="41">
        <v>4.7523190347703364E-3</v>
      </c>
      <c r="H113" s="14">
        <v>-1.4237534971065058E-2</v>
      </c>
      <c r="I113" s="14">
        <v>-1.6864362065933225E-2</v>
      </c>
      <c r="J113" s="14">
        <v>-8.5978446499027639E-3</v>
      </c>
      <c r="K113" s="14">
        <v>-9.3710904903949298E-3</v>
      </c>
    </row>
    <row r="114" spans="2:11" x14ac:dyDescent="0.25">
      <c r="B114" s="29">
        <v>106</v>
      </c>
      <c r="C114" s="30">
        <v>7.7034883720930231E-2</v>
      </c>
      <c r="D114" s="41">
        <v>-9.6226615894856897E-4</v>
      </c>
      <c r="E114" s="41">
        <v>8.3403702500810528E-3</v>
      </c>
      <c r="F114" s="41">
        <v>1.1804365753955492E-2</v>
      </c>
      <c r="G114" s="41">
        <v>4.0046539816598788E-3</v>
      </c>
      <c r="H114" s="14">
        <v>-1.4231177844191145E-2</v>
      </c>
      <c r="I114" s="14">
        <v>-1.6841463945341473E-2</v>
      </c>
      <c r="J114" s="14">
        <v>-8.5795485012601924E-3</v>
      </c>
      <c r="K114" s="14">
        <v>-9.3625834956586849E-3</v>
      </c>
    </row>
    <row r="115" spans="2:11" x14ac:dyDescent="0.25">
      <c r="B115" s="29">
        <v>107</v>
      </c>
      <c r="C115" s="30">
        <v>7.7761627906976744E-2</v>
      </c>
      <c r="D115" s="41">
        <v>-6.0224652158080982E-3</v>
      </c>
      <c r="E115" s="41">
        <v>6.8284009946295576E-4</v>
      </c>
      <c r="F115" s="41">
        <v>7.8812097109093315E-3</v>
      </c>
      <c r="G115" s="41">
        <v>1.8493779819670486E-3</v>
      </c>
      <c r="H115" s="14">
        <v>-1.4048681153748022E-2</v>
      </c>
      <c r="I115" s="14">
        <v>-1.6705668706584187E-2</v>
      </c>
      <c r="J115" s="14">
        <v>-8.5525235559487101E-3</v>
      </c>
      <c r="K115" s="14">
        <v>-9.3143306191441066E-3</v>
      </c>
    </row>
    <row r="116" spans="2:11" x14ac:dyDescent="0.25">
      <c r="B116" s="29">
        <v>108</v>
      </c>
      <c r="C116" s="30">
        <v>7.8488372093023256E-2</v>
      </c>
      <c r="D116" s="41">
        <v>-1.3130925740179171E-2</v>
      </c>
      <c r="E116" s="41">
        <v>7.7507403115746332E-3</v>
      </c>
      <c r="F116" s="41">
        <v>2.4695825170906183E-4</v>
      </c>
      <c r="G116" s="41">
        <v>1.1466457255784324E-3</v>
      </c>
      <c r="H116" s="14">
        <v>-1.3839487809610085E-2</v>
      </c>
      <c r="I116" s="14">
        <v>-1.6664414002560135E-2</v>
      </c>
      <c r="J116" s="14">
        <v>-8.5345545378850973E-3</v>
      </c>
      <c r="K116" s="14">
        <v>-9.2220165223692706E-3</v>
      </c>
    </row>
    <row r="117" spans="2:11" x14ac:dyDescent="0.25">
      <c r="B117" s="29">
        <v>109</v>
      </c>
      <c r="C117" s="30">
        <v>7.9215116279069769E-2</v>
      </c>
      <c r="D117" s="41">
        <v>5.9173223783149254E-3</v>
      </c>
      <c r="E117" s="41">
        <v>4.4843622240391401E-3</v>
      </c>
      <c r="F117" s="41">
        <v>1.0034562010358794E-2</v>
      </c>
      <c r="G117" s="41">
        <v>5.9968048893318301E-3</v>
      </c>
      <c r="H117" s="14">
        <v>-1.3738986758456861E-2</v>
      </c>
      <c r="I117" s="14">
        <v>-1.6662999509165166E-2</v>
      </c>
      <c r="J117" s="14">
        <v>-8.50023288309254E-3</v>
      </c>
      <c r="K117" s="14">
        <v>-9.1386686070046089E-3</v>
      </c>
    </row>
    <row r="118" spans="2:11" x14ac:dyDescent="0.25">
      <c r="B118" s="29">
        <v>110</v>
      </c>
      <c r="C118" s="30">
        <v>7.9941860465116282E-2</v>
      </c>
      <c r="D118" s="41">
        <v>-1.1639555689945348E-2</v>
      </c>
      <c r="E118" s="41">
        <v>-1.102730753087533E-2</v>
      </c>
      <c r="F118" s="41">
        <v>-1.0358769182703398E-3</v>
      </c>
      <c r="G118" s="41">
        <v>-2.7979930947335417E-3</v>
      </c>
      <c r="H118" s="14">
        <v>-1.366978112206807E-2</v>
      </c>
      <c r="I118" s="14">
        <v>-1.6604129687464941E-2</v>
      </c>
      <c r="J118" s="14">
        <v>-8.4712065234532341E-3</v>
      </c>
      <c r="K118" s="14">
        <v>-9.1281750413905842E-3</v>
      </c>
    </row>
    <row r="119" spans="2:11" x14ac:dyDescent="0.25">
      <c r="B119" s="29">
        <v>111</v>
      </c>
      <c r="C119" s="30">
        <v>8.0668604651162795E-2</v>
      </c>
      <c r="D119" s="41">
        <v>-4.6303531806407058E-3</v>
      </c>
      <c r="E119" s="41">
        <v>-9.0539636812593249E-3</v>
      </c>
      <c r="F119" s="41">
        <v>-7.4442836106212162E-3</v>
      </c>
      <c r="G119" s="41">
        <v>-2.4530657875115216E-3</v>
      </c>
      <c r="H119" s="14">
        <v>-1.3565917715180009E-2</v>
      </c>
      <c r="I119" s="14">
        <v>-1.6440518801801862E-2</v>
      </c>
      <c r="J119" s="14">
        <v>-8.4219441046391452E-3</v>
      </c>
      <c r="K119" s="14">
        <v>-9.089106866085217E-3</v>
      </c>
    </row>
    <row r="120" spans="2:11" x14ac:dyDescent="0.25">
      <c r="B120" s="29">
        <v>112</v>
      </c>
      <c r="C120" s="30">
        <v>8.1395348837209308E-2</v>
      </c>
      <c r="D120" s="41">
        <v>-1.6129919159743877E-2</v>
      </c>
      <c r="E120" s="41">
        <v>-7.1380366505736648E-3</v>
      </c>
      <c r="F120" s="41">
        <v>6.6388991864267943E-3</v>
      </c>
      <c r="G120" s="41">
        <v>1.4724137205163411E-3</v>
      </c>
      <c r="H120" s="14">
        <v>-1.347654847819546E-2</v>
      </c>
      <c r="I120" s="14">
        <v>-1.6368666639137719E-2</v>
      </c>
      <c r="J120" s="14">
        <v>-8.3873340605857827E-3</v>
      </c>
      <c r="K120" s="14">
        <v>-8.9019244683772314E-3</v>
      </c>
    </row>
    <row r="121" spans="2:11" x14ac:dyDescent="0.25">
      <c r="B121" s="29">
        <v>113</v>
      </c>
      <c r="C121" s="30">
        <v>8.2122093023255807E-2</v>
      </c>
      <c r="D121" s="41">
        <v>-3.8986868007696001E-3</v>
      </c>
      <c r="E121" s="41">
        <v>0</v>
      </c>
      <c r="F121" s="41">
        <v>8.2439188768270721E-3</v>
      </c>
      <c r="G121" s="41">
        <v>-4.9502246281032405E-4</v>
      </c>
      <c r="H121" s="14">
        <v>-1.3420567018956553E-2</v>
      </c>
      <c r="I121" s="14">
        <v>-1.6271630437520335E-2</v>
      </c>
      <c r="J121" s="14">
        <v>-8.3841006414485664E-3</v>
      </c>
      <c r="K121" s="14">
        <v>-8.8705019399195843E-3</v>
      </c>
    </row>
    <row r="122" spans="2:11" x14ac:dyDescent="0.25">
      <c r="B122" s="29">
        <v>114</v>
      </c>
      <c r="C122" s="30">
        <v>8.284883720930232E-2</v>
      </c>
      <c r="D122" s="41">
        <v>-3.4778529874068846E-3</v>
      </c>
      <c r="E122" s="41">
        <v>9.7775221562834691E-3</v>
      </c>
      <c r="F122" s="41">
        <v>-4.5429730600999862E-3</v>
      </c>
      <c r="G122" s="41">
        <v>2.1642098352897543E-3</v>
      </c>
      <c r="H122" s="14">
        <v>-1.3393870601589031E-2</v>
      </c>
      <c r="I122" s="14">
        <v>-1.6171360182261285E-2</v>
      </c>
      <c r="J122" s="14">
        <v>-8.3498370974572911E-3</v>
      </c>
      <c r="K122" s="14">
        <v>-8.8265107397512491E-3</v>
      </c>
    </row>
    <row r="123" spans="2:11" x14ac:dyDescent="0.25">
      <c r="B123" s="29">
        <v>115</v>
      </c>
      <c r="C123" s="30">
        <v>8.3575581395348833E-2</v>
      </c>
      <c r="D123" s="41">
        <v>-4.5904679178162353E-3</v>
      </c>
      <c r="E123" s="41">
        <v>1.5106796116504784E-2</v>
      </c>
      <c r="F123" s="41">
        <v>-2.5540485412111069E-3</v>
      </c>
      <c r="G123" s="41">
        <v>3.9720410105100312E-3</v>
      </c>
      <c r="H123" s="14">
        <v>-1.3353057707774174E-2</v>
      </c>
      <c r="I123" s="14">
        <v>-1.6086050680750086E-2</v>
      </c>
      <c r="J123" s="14">
        <v>-8.3418771553733784E-3</v>
      </c>
      <c r="K123" s="14">
        <v>-8.762223177823247E-3</v>
      </c>
    </row>
    <row r="124" spans="2:11" x14ac:dyDescent="0.25">
      <c r="B124" s="29">
        <v>116</v>
      </c>
      <c r="C124" s="30">
        <v>8.4302325581395346E-2</v>
      </c>
      <c r="D124" s="41">
        <v>-1.7471466561398474E-2</v>
      </c>
      <c r="E124" s="41">
        <v>2.5377150362804191E-3</v>
      </c>
      <c r="F124" s="41">
        <v>-1.0367529073306292E-3</v>
      </c>
      <c r="G124" s="41">
        <v>-4.251782441071961E-3</v>
      </c>
      <c r="H124" s="14">
        <v>-1.32956431705753E-2</v>
      </c>
      <c r="I124" s="14">
        <v>-1.6071277763702319E-2</v>
      </c>
      <c r="J124" s="14">
        <v>-8.3130575831306119E-3</v>
      </c>
      <c r="K124" s="14">
        <v>-8.6248583738491418E-3</v>
      </c>
    </row>
    <row r="125" spans="2:11" x14ac:dyDescent="0.25">
      <c r="B125" s="29">
        <v>117</v>
      </c>
      <c r="C125" s="30">
        <v>8.5029069767441859E-2</v>
      </c>
      <c r="D125" s="41">
        <v>-7.8663343852423181E-3</v>
      </c>
      <c r="E125" s="41">
        <v>7.2504324819377963E-4</v>
      </c>
      <c r="F125" s="41">
        <v>3.1741113141723343E-3</v>
      </c>
      <c r="G125" s="41">
        <v>-2.430316109238051E-3</v>
      </c>
      <c r="H125" s="14">
        <v>-1.3211942860646197E-2</v>
      </c>
      <c r="I125" s="14">
        <v>-1.5913259251267742E-2</v>
      </c>
      <c r="J125" s="14">
        <v>-8.2844693098070854E-3</v>
      </c>
      <c r="K125" s="14">
        <v>-8.5793247710415962E-3</v>
      </c>
    </row>
    <row r="126" spans="2:11" x14ac:dyDescent="0.25">
      <c r="B126" s="29">
        <v>118</v>
      </c>
      <c r="C126" s="30">
        <v>8.5755813953488372E-2</v>
      </c>
      <c r="D126" s="41">
        <v>9.2345569761305077E-3</v>
      </c>
      <c r="E126" s="41">
        <v>3.2158427923174582E-3</v>
      </c>
      <c r="F126" s="41">
        <v>-8.5193919968196141E-4</v>
      </c>
      <c r="G126" s="41">
        <v>3.7768790556422791E-4</v>
      </c>
      <c r="H126" s="14">
        <v>-1.3195380713932781E-2</v>
      </c>
      <c r="I126" s="14">
        <v>-1.5839148923560087E-2</v>
      </c>
      <c r="J126" s="14">
        <v>-8.2570304070997969E-3</v>
      </c>
      <c r="K126" s="14">
        <v>-8.3940155617033378E-3</v>
      </c>
    </row>
    <row r="127" spans="2:11" x14ac:dyDescent="0.25">
      <c r="B127" s="29">
        <v>119</v>
      </c>
      <c r="C127" s="30">
        <v>8.6482558139534885E-2</v>
      </c>
      <c r="D127" s="41">
        <v>1.468844272923843E-2</v>
      </c>
      <c r="E127" s="41">
        <v>-1.3911765451182112E-2</v>
      </c>
      <c r="F127" s="41">
        <v>4.2034442072855782E-3</v>
      </c>
      <c r="G127" s="41">
        <v>-3.7378387618620668E-3</v>
      </c>
      <c r="H127" s="14">
        <v>-1.3169002194833745E-2</v>
      </c>
      <c r="I127" s="14">
        <v>-1.5776571895493197E-2</v>
      </c>
      <c r="J127" s="14">
        <v>-8.2418550435268134E-3</v>
      </c>
      <c r="K127" s="14">
        <v>-8.350619776892821E-3</v>
      </c>
    </row>
    <row r="128" spans="2:11" x14ac:dyDescent="0.25">
      <c r="B128" s="29">
        <v>120</v>
      </c>
      <c r="C128" s="30">
        <v>8.7209302325581398E-2</v>
      </c>
      <c r="D128" s="41">
        <v>6.66222079967337E-3</v>
      </c>
      <c r="E128" s="41">
        <v>2.4027342344656866E-3</v>
      </c>
      <c r="F128" s="41">
        <v>1.0312236561256238E-3</v>
      </c>
      <c r="G128" s="41">
        <v>1.7206269431814915E-3</v>
      </c>
      <c r="H128" s="14">
        <v>-1.3076278290025223E-2</v>
      </c>
      <c r="I128" s="14">
        <v>-1.5655438391709464E-2</v>
      </c>
      <c r="J128" s="14">
        <v>-8.2266910420473183E-3</v>
      </c>
      <c r="K128" s="14">
        <v>-8.2157719223532773E-3</v>
      </c>
    </row>
    <row r="129" spans="2:11" x14ac:dyDescent="0.25">
      <c r="B129" s="29">
        <v>121</v>
      </c>
      <c r="C129" s="30">
        <v>8.7936046511627911E-2</v>
      </c>
      <c r="D129" s="41">
        <v>7.0283475520356445E-3</v>
      </c>
      <c r="E129" s="41">
        <v>1.2061782990450576E-2</v>
      </c>
      <c r="F129" s="41">
        <v>1.3392690581966793E-2</v>
      </c>
      <c r="G129" s="41">
        <v>3.7580571428462496E-3</v>
      </c>
      <c r="H129" s="14">
        <v>-1.3051469472818655E-2</v>
      </c>
      <c r="I129" s="14">
        <v>-1.5627343030354957E-2</v>
      </c>
      <c r="J129" s="14">
        <v>-8.1730175901287838E-3</v>
      </c>
      <c r="K129" s="14">
        <v>-8.1660674766879555E-3</v>
      </c>
    </row>
    <row r="130" spans="2:11" x14ac:dyDescent="0.25">
      <c r="B130" s="29">
        <v>122</v>
      </c>
      <c r="C130" s="30">
        <v>8.8662790697674423E-2</v>
      </c>
      <c r="D130" s="41">
        <v>-1.1206728667233261E-2</v>
      </c>
      <c r="E130" s="41">
        <v>-5.2307614367496091E-3</v>
      </c>
      <c r="F130" s="41">
        <v>-9.3874010174670452E-3</v>
      </c>
      <c r="G130" s="41">
        <v>-3.7838693047879792E-3</v>
      </c>
      <c r="H130" s="14">
        <v>-1.3026918440379953E-2</v>
      </c>
      <c r="I130" s="14">
        <v>-1.5606384506839932E-2</v>
      </c>
      <c r="J130" s="14">
        <v>-8.1260066523358709E-3</v>
      </c>
      <c r="K130" s="14">
        <v>-8.1556366626333032E-3</v>
      </c>
    </row>
    <row r="131" spans="2:11" x14ac:dyDescent="0.25">
      <c r="B131" s="29">
        <v>123</v>
      </c>
      <c r="C131" s="30">
        <v>8.9389534883720936E-2</v>
      </c>
      <c r="D131" s="41">
        <v>1.4806985610595579E-2</v>
      </c>
      <c r="E131" s="41">
        <v>5.2964618107280703E-3</v>
      </c>
      <c r="F131" s="41">
        <v>9.4172979022626446E-3</v>
      </c>
      <c r="G131" s="41">
        <v>4.3117795021899059E-3</v>
      </c>
      <c r="H131" s="14">
        <v>-1.2986906923729169E-2</v>
      </c>
      <c r="I131" s="14">
        <v>-1.5526432357299003E-2</v>
      </c>
      <c r="J131" s="14">
        <v>-8.0995233024220292E-3</v>
      </c>
      <c r="K131" s="14">
        <v>-8.1412704273110537E-3</v>
      </c>
    </row>
    <row r="132" spans="2:11" x14ac:dyDescent="0.25">
      <c r="B132" s="29">
        <v>124</v>
      </c>
      <c r="C132" s="30">
        <v>9.0116279069767435E-2</v>
      </c>
      <c r="D132" s="41">
        <v>-8.6591608401117952E-3</v>
      </c>
      <c r="E132" s="41">
        <v>1.6692207348117272E-2</v>
      </c>
      <c r="F132" s="41">
        <v>6.6384658967897359E-3</v>
      </c>
      <c r="G132" s="41">
        <v>8.6236272151523075E-3</v>
      </c>
      <c r="H132" s="14">
        <v>-1.2980135194103459E-2</v>
      </c>
      <c r="I132" s="14">
        <v>-1.5390223158235794E-2</v>
      </c>
      <c r="J132" s="14">
        <v>-8.0855492749103419E-3</v>
      </c>
      <c r="K132" s="14">
        <v>-8.0834051641026413E-3</v>
      </c>
    </row>
    <row r="133" spans="2:11" x14ac:dyDescent="0.25">
      <c r="B133" s="29">
        <v>125</v>
      </c>
      <c r="C133" s="30">
        <v>9.0843023255813948E-2</v>
      </c>
      <c r="D133" s="41">
        <v>2.0970669640521227E-2</v>
      </c>
      <c r="E133" s="41">
        <v>1.127346562527265E-2</v>
      </c>
      <c r="F133" s="41">
        <v>2.3164372654917997E-3</v>
      </c>
      <c r="G133" s="41">
        <v>2.1370546989460935E-4</v>
      </c>
      <c r="H133" s="14">
        <v>-1.2930184839179848E-2</v>
      </c>
      <c r="I133" s="14">
        <v>-1.5329768270944788E-2</v>
      </c>
      <c r="J133" s="14">
        <v>-8.0519873618039028E-3</v>
      </c>
      <c r="K133" s="14">
        <v>-8.0733029092968644E-3</v>
      </c>
    </row>
    <row r="134" spans="2:11" x14ac:dyDescent="0.25">
      <c r="B134" s="29">
        <v>126</v>
      </c>
      <c r="C134" s="30">
        <v>9.1569767441860461E-2</v>
      </c>
      <c r="D134" s="41">
        <v>-1.4092639062851314E-4</v>
      </c>
      <c r="E134" s="41">
        <v>-4.1142125101624183E-3</v>
      </c>
      <c r="F134" s="41">
        <v>-5.3285440447536914E-4</v>
      </c>
      <c r="G134" s="41">
        <v>-5.4426500475265099E-3</v>
      </c>
      <c r="H134" s="14">
        <v>-1.2716529127238196E-2</v>
      </c>
      <c r="I134" s="14">
        <v>-1.5312593448066014E-2</v>
      </c>
      <c r="J134" s="14">
        <v>-8.01114594218022E-3</v>
      </c>
      <c r="K134" s="14">
        <v>-8.0471319846467035E-3</v>
      </c>
    </row>
    <row r="135" spans="2:11" x14ac:dyDescent="0.25">
      <c r="B135" s="29">
        <v>127</v>
      </c>
      <c r="C135" s="30">
        <v>9.2296511627906974E-2</v>
      </c>
      <c r="D135" s="41">
        <v>1.8718798245432973E-3</v>
      </c>
      <c r="E135" s="41">
        <v>0</v>
      </c>
      <c r="F135" s="41">
        <v>7.8874061656664107E-3</v>
      </c>
      <c r="G135" s="41">
        <v>1.5774812331332821E-3</v>
      </c>
      <c r="H135" s="14">
        <v>-1.2689848121502645E-2</v>
      </c>
      <c r="I135" s="14">
        <v>-1.5223292702400637E-2</v>
      </c>
      <c r="J135" s="14">
        <v>-7.970365595871054E-3</v>
      </c>
      <c r="K135" s="14">
        <v>-7.9640884470020719E-3</v>
      </c>
    </row>
    <row r="136" spans="2:11" x14ac:dyDescent="0.25">
      <c r="B136" s="29">
        <v>128</v>
      </c>
      <c r="C136" s="30">
        <v>9.3023255813953487E-2</v>
      </c>
      <c r="D136" s="41">
        <v>-1.5110869708678356E-3</v>
      </c>
      <c r="E136" s="41">
        <v>9.6601029091627488E-3</v>
      </c>
      <c r="F136" s="41">
        <v>-4.7663476685841921E-3</v>
      </c>
      <c r="G136" s="41">
        <v>4.0471003161140825E-3</v>
      </c>
      <c r="H136" s="14">
        <v>-1.2648794685295006E-2</v>
      </c>
      <c r="I136" s="14">
        <v>-1.5010049100669165E-2</v>
      </c>
      <c r="J136" s="14">
        <v>-7.9611118045358475E-3</v>
      </c>
      <c r="K136" s="14">
        <v>-7.9638586528617099E-3</v>
      </c>
    </row>
    <row r="137" spans="2:11" x14ac:dyDescent="0.25">
      <c r="B137" s="29">
        <v>129</v>
      </c>
      <c r="C137" s="30">
        <v>9.375E-2</v>
      </c>
      <c r="D137" s="41">
        <v>9.4691237887535792E-3</v>
      </c>
      <c r="E137" s="41">
        <v>-4.6552083205723127E-3</v>
      </c>
      <c r="F137" s="41">
        <v>1.5364594783466856E-3</v>
      </c>
      <c r="G137" s="41">
        <v>-3.5863283324455436E-4</v>
      </c>
      <c r="H137" s="14">
        <v>-1.2640593651152221E-2</v>
      </c>
      <c r="I137" s="14">
        <v>-1.4980128401100634E-2</v>
      </c>
      <c r="J137" s="14">
        <v>-7.9317323997593059E-3</v>
      </c>
      <c r="K137" s="14">
        <v>-7.9583908035978593E-3</v>
      </c>
    </row>
    <row r="138" spans="2:11" x14ac:dyDescent="0.25">
      <c r="B138" s="29">
        <v>130</v>
      </c>
      <c r="C138" s="30">
        <v>9.4476744186046513E-2</v>
      </c>
      <c r="D138" s="41">
        <v>1.1219920167386641E-2</v>
      </c>
      <c r="E138" s="41">
        <v>-1.1926300631392439E-2</v>
      </c>
      <c r="F138" s="41">
        <v>-2.5969274575733392E-3</v>
      </c>
      <c r="G138" s="41">
        <v>-1.5868331108483289E-3</v>
      </c>
      <c r="H138" s="14">
        <v>-1.2633115607044609E-2</v>
      </c>
      <c r="I138" s="14">
        <v>-1.4956580963732313E-2</v>
      </c>
      <c r="J138" s="14">
        <v>-7.8573816490159487E-3</v>
      </c>
      <c r="K138" s="14">
        <v>-7.9532835689922528E-3</v>
      </c>
    </row>
    <row r="139" spans="2:11" x14ac:dyDescent="0.25">
      <c r="B139" s="29">
        <v>131</v>
      </c>
      <c r="C139" s="30">
        <v>9.5203488372093026E-2</v>
      </c>
      <c r="D139" s="41">
        <v>-3.0311654904623783E-3</v>
      </c>
      <c r="E139" s="41">
        <v>-1.2830094668658809E-3</v>
      </c>
      <c r="F139" s="41">
        <v>-3.847571715720588E-3</v>
      </c>
      <c r="G139" s="41">
        <v>-1.1583605859162959E-3</v>
      </c>
      <c r="H139" s="14">
        <v>-1.2485417087552464E-2</v>
      </c>
      <c r="I139" s="14">
        <v>-1.4954526033083004E-2</v>
      </c>
      <c r="J139" s="14">
        <v>-7.8303766059325541E-3</v>
      </c>
      <c r="K139" s="14">
        <v>-7.9323156084447413E-3</v>
      </c>
    </row>
    <row r="140" spans="2:11" x14ac:dyDescent="0.25">
      <c r="B140" s="29">
        <v>132</v>
      </c>
      <c r="C140" s="30">
        <v>9.5930232558139539E-2</v>
      </c>
      <c r="D140" s="41">
        <v>-1.5987794811765479E-3</v>
      </c>
      <c r="E140" s="41">
        <v>1.0614016488519118E-2</v>
      </c>
      <c r="F140" s="41">
        <v>-7.9611118045358475E-3</v>
      </c>
      <c r="G140" s="41">
        <v>4.7671670654859666E-3</v>
      </c>
      <c r="H140" s="14">
        <v>-1.2456587172956723E-2</v>
      </c>
      <c r="I140" s="14">
        <v>-1.4935300934656337E-2</v>
      </c>
      <c r="J140" s="14">
        <v>-7.8280172917396529E-3</v>
      </c>
      <c r="K140" s="14">
        <v>-7.9002667639095584E-3</v>
      </c>
    </row>
    <row r="141" spans="2:11" x14ac:dyDescent="0.25">
      <c r="B141" s="29">
        <v>133</v>
      </c>
      <c r="C141" s="30">
        <v>9.6656976744186052E-2</v>
      </c>
      <c r="D141" s="41">
        <v>2.0882851350460578E-2</v>
      </c>
      <c r="E141" s="41">
        <v>2.2461371377795469E-3</v>
      </c>
      <c r="F141" s="41">
        <v>3.6532388432721774E-3</v>
      </c>
      <c r="G141" s="41">
        <v>1.9383110602262832E-3</v>
      </c>
      <c r="H141" s="14">
        <v>-1.2427372498386102E-2</v>
      </c>
      <c r="I141" s="14">
        <v>-1.4872616239161252E-2</v>
      </c>
      <c r="J141" s="14">
        <v>-7.7832064538119194E-3</v>
      </c>
      <c r="K141" s="14">
        <v>-7.8929986611894452E-3</v>
      </c>
    </row>
    <row r="142" spans="2:11" x14ac:dyDescent="0.25">
      <c r="B142" s="29">
        <v>134</v>
      </c>
      <c r="C142" s="30">
        <v>9.7383720930232565E-2</v>
      </c>
      <c r="D142" s="41">
        <v>2.9480972175417078E-2</v>
      </c>
      <c r="E142" s="41">
        <v>-7.9054303657185576E-3</v>
      </c>
      <c r="F142" s="41">
        <v>7.8774903634521998E-3</v>
      </c>
      <c r="G142" s="41">
        <v>8.7331322341588375E-3</v>
      </c>
      <c r="H142" s="14">
        <v>-1.2387496370850681E-2</v>
      </c>
      <c r="I142" s="14">
        <v>-1.4843933860381631E-2</v>
      </c>
      <c r="J142" s="14">
        <v>-7.7335181404558639E-3</v>
      </c>
      <c r="K142" s="14">
        <v>-7.872335379076523E-3</v>
      </c>
    </row>
    <row r="143" spans="2:11" x14ac:dyDescent="0.25">
      <c r="B143" s="29">
        <v>135</v>
      </c>
      <c r="C143" s="30">
        <v>9.8110465116279064E-2</v>
      </c>
      <c r="D143" s="41">
        <v>8.4734546806589373E-3</v>
      </c>
      <c r="E143" s="41">
        <v>-1.3169000099294892E-2</v>
      </c>
      <c r="F143" s="41">
        <v>4.139631893822493E-4</v>
      </c>
      <c r="G143" s="41">
        <v>-4.4016145555715097E-3</v>
      </c>
      <c r="H143" s="14">
        <v>-1.2295772275560224E-2</v>
      </c>
      <c r="I143" s="14">
        <v>-1.4828990047509039E-2</v>
      </c>
      <c r="J143" s="14">
        <v>-7.6987352983322044E-3</v>
      </c>
      <c r="K143" s="14">
        <v>-7.8598110842937E-3</v>
      </c>
    </row>
    <row r="144" spans="2:11" x14ac:dyDescent="0.25">
      <c r="B144" s="29">
        <v>136</v>
      </c>
      <c r="C144" s="30">
        <v>9.8837209302325577E-2</v>
      </c>
      <c r="D144" s="41">
        <v>-6.4960147721951234E-3</v>
      </c>
      <c r="E144" s="41">
        <v>-5.3454412818997321E-3</v>
      </c>
      <c r="F144" s="41">
        <v>-8.8801103738700427E-4</v>
      </c>
      <c r="G144" s="41">
        <v>-3.5784057906051553E-3</v>
      </c>
      <c r="H144" s="14">
        <v>-1.2281736734074844E-2</v>
      </c>
      <c r="I144" s="14">
        <v>-1.4818864558455158E-2</v>
      </c>
      <c r="J144" s="14">
        <v>-7.6490818531875782E-3</v>
      </c>
      <c r="K144" s="14">
        <v>-7.8446742095619193E-3</v>
      </c>
    </row>
    <row r="145" spans="2:11" x14ac:dyDescent="0.25">
      <c r="B145" s="29">
        <v>137</v>
      </c>
      <c r="C145" s="30">
        <v>9.9563953488372089E-2</v>
      </c>
      <c r="D145" s="41">
        <v>1.5850012126683001E-2</v>
      </c>
      <c r="E145" s="41">
        <v>5.6776510457499096E-3</v>
      </c>
      <c r="F145" s="41">
        <v>3.0802959023519261E-3</v>
      </c>
      <c r="G145" s="41">
        <v>3.9124425245721023E-3</v>
      </c>
      <c r="H145" s="14">
        <v>-1.2257802948844709E-2</v>
      </c>
      <c r="I145" s="14">
        <v>-1.4813547416859585E-2</v>
      </c>
      <c r="J145" s="14">
        <v>-7.5651630690196647E-3</v>
      </c>
      <c r="K145" s="14">
        <v>-7.8267972427455753E-3</v>
      </c>
    </row>
    <row r="146" spans="2:11" x14ac:dyDescent="0.25">
      <c r="B146" s="29">
        <v>138</v>
      </c>
      <c r="C146" s="30">
        <v>0.1002906976744186</v>
      </c>
      <c r="D146" s="41">
        <v>3.3411627518620244E-3</v>
      </c>
      <c r="E146" s="41">
        <v>-5.4821390401226244E-3</v>
      </c>
      <c r="F146" s="41">
        <v>9.4479234366102727E-3</v>
      </c>
      <c r="G146" s="41">
        <v>1.7421611001160466E-3</v>
      </c>
      <c r="H146" s="14">
        <v>-1.2256349675132894E-2</v>
      </c>
      <c r="I146" s="14">
        <v>-1.4666086788441057E-2</v>
      </c>
      <c r="J146" s="14">
        <v>-7.5560816499257166E-3</v>
      </c>
      <c r="K146" s="14">
        <v>-7.7654682760694765E-3</v>
      </c>
    </row>
    <row r="147" spans="2:11" x14ac:dyDescent="0.25">
      <c r="B147" s="29">
        <v>139</v>
      </c>
      <c r="C147" s="30">
        <v>0.10101744186046512</v>
      </c>
      <c r="D147" s="41">
        <v>-1.2701090207137462E-2</v>
      </c>
      <c r="E147" s="41">
        <v>1.3957898729376028E-2</v>
      </c>
      <c r="F147" s="41">
        <v>1.1122411859836312E-3</v>
      </c>
      <c r="G147" s="41">
        <v>5.5063759311167366E-3</v>
      </c>
      <c r="H147" s="14">
        <v>-1.214569650199715E-2</v>
      </c>
      <c r="I147" s="14">
        <v>-1.453121482320352E-2</v>
      </c>
      <c r="J147" s="14">
        <v>-7.5425317201229802E-3</v>
      </c>
      <c r="K147" s="14">
        <v>-7.7649061824718096E-3</v>
      </c>
    </row>
    <row r="148" spans="2:11" x14ac:dyDescent="0.25">
      <c r="B148" s="29">
        <v>140</v>
      </c>
      <c r="C148" s="30">
        <v>0.10174418604651163</v>
      </c>
      <c r="D148" s="41">
        <v>-6.2239846288719399E-3</v>
      </c>
      <c r="E148" s="41">
        <v>-4.2768613074977146E-3</v>
      </c>
      <c r="F148" s="41">
        <v>4.2069410120786355E-3</v>
      </c>
      <c r="G148" s="41">
        <v>1.2270376410625783E-3</v>
      </c>
      <c r="H148" s="14">
        <v>-1.2123295519651744E-2</v>
      </c>
      <c r="I148" s="14">
        <v>-1.4408229201311351E-2</v>
      </c>
      <c r="J148" s="14">
        <v>-7.4442836106212162E-3</v>
      </c>
      <c r="K148" s="14">
        <v>-7.7360178707760689E-3</v>
      </c>
    </row>
    <row r="149" spans="2:11" x14ac:dyDescent="0.25">
      <c r="B149" s="29">
        <v>141</v>
      </c>
      <c r="C149" s="30">
        <v>0.10247093023255814</v>
      </c>
      <c r="D149" s="41">
        <v>-2.8802169677296105E-3</v>
      </c>
      <c r="E149" s="41">
        <v>8.0269485073132252E-3</v>
      </c>
      <c r="F149" s="41">
        <v>2.3376773590166877E-4</v>
      </c>
      <c r="G149" s="41">
        <v>-3.1757721116183475E-4</v>
      </c>
      <c r="H149" s="14">
        <v>-1.2052283143778597E-2</v>
      </c>
      <c r="I149" s="14">
        <v>-1.4397971270792009E-2</v>
      </c>
      <c r="J149" s="14">
        <v>-7.427263081476343E-3</v>
      </c>
      <c r="K149" s="14">
        <v>-7.7248483847024655E-3</v>
      </c>
    </row>
    <row r="150" spans="2:11" x14ac:dyDescent="0.25">
      <c r="B150" s="29">
        <v>142</v>
      </c>
      <c r="C150" s="30">
        <v>0.10319767441860465</v>
      </c>
      <c r="D150" s="41">
        <v>-3.3460777496264536E-3</v>
      </c>
      <c r="E150" s="41">
        <v>1.0783010546976834E-2</v>
      </c>
      <c r="F150" s="41">
        <v>-9.1342718860237815E-3</v>
      </c>
      <c r="G150" s="41">
        <v>2.5464194254076538E-3</v>
      </c>
      <c r="H150" s="14">
        <v>-1.2037294739771887E-2</v>
      </c>
      <c r="I150" s="14">
        <v>-1.4365432774766984E-2</v>
      </c>
      <c r="J150" s="14">
        <v>-7.4081857825880615E-3</v>
      </c>
      <c r="K150" s="14">
        <v>-7.6991032371489078E-3</v>
      </c>
    </row>
    <row r="151" spans="2:11" x14ac:dyDescent="0.25">
      <c r="B151" s="29">
        <v>143</v>
      </c>
      <c r="C151" s="30">
        <v>0.10392441860465117</v>
      </c>
      <c r="D151" s="41">
        <v>3.4514751247704217E-3</v>
      </c>
      <c r="E151" s="41">
        <v>-2.839058563264274E-3</v>
      </c>
      <c r="F151" s="41">
        <v>1.3508139667459673E-3</v>
      </c>
      <c r="G151" s="41">
        <v>-8.400305802460647E-5</v>
      </c>
      <c r="H151" s="14">
        <v>-1.1952989665680036E-2</v>
      </c>
      <c r="I151" s="14">
        <v>-1.4314765630088488E-2</v>
      </c>
      <c r="J151" s="14">
        <v>-7.3403864083118053E-3</v>
      </c>
      <c r="K151" s="14">
        <v>-7.6463856463585781E-3</v>
      </c>
    </row>
    <row r="152" spans="2:11" x14ac:dyDescent="0.25">
      <c r="B152" s="29">
        <v>144</v>
      </c>
      <c r="C152" s="30">
        <v>0.10465116279069768</v>
      </c>
      <c r="D152" s="41">
        <v>4.3766353842358916E-3</v>
      </c>
      <c r="E152" s="41">
        <v>-8.726304631843651E-3</v>
      </c>
      <c r="F152" s="41">
        <v>-2.4041091529678482E-3</v>
      </c>
      <c r="G152" s="41">
        <v>-2.4113887022437996E-3</v>
      </c>
      <c r="H152" s="14">
        <v>-1.1930926216640714E-2</v>
      </c>
      <c r="I152" s="14">
        <v>-1.4127707979971427E-2</v>
      </c>
      <c r="J152" s="14">
        <v>-7.3366487764044974E-3</v>
      </c>
      <c r="K152" s="14">
        <v>-7.619597927209433E-3</v>
      </c>
    </row>
    <row r="153" spans="2:11" x14ac:dyDescent="0.25">
      <c r="B153" s="29">
        <v>145</v>
      </c>
      <c r="C153" s="30">
        <v>0.10537790697674419</v>
      </c>
      <c r="D153" s="41">
        <v>2.0503196267628691E-2</v>
      </c>
      <c r="E153" s="41">
        <v>-1.8277671399796191E-2</v>
      </c>
      <c r="F153" s="41">
        <v>-1.1739136322364008E-4</v>
      </c>
      <c r="G153" s="41">
        <v>-2.2264177051602995E-4</v>
      </c>
      <c r="H153" s="14">
        <v>-1.1900327406042188E-2</v>
      </c>
      <c r="I153" s="14">
        <v>-1.400755893469019E-2</v>
      </c>
      <c r="J153" s="14">
        <v>-7.3347650593533764E-3</v>
      </c>
      <c r="K153" s="14">
        <v>-7.6173519448882393E-3</v>
      </c>
    </row>
    <row r="154" spans="2:11" x14ac:dyDescent="0.25">
      <c r="B154" s="29">
        <v>146</v>
      </c>
      <c r="C154" s="30">
        <v>0.10610465116279069</v>
      </c>
      <c r="D154" s="41">
        <v>6.3055322461856474E-3</v>
      </c>
      <c r="E154" s="41">
        <v>4.5721667764324625E-3</v>
      </c>
      <c r="F154" s="41">
        <v>-1.1182180940713105E-3</v>
      </c>
      <c r="G154" s="41">
        <v>-5.6743839358810457E-4</v>
      </c>
      <c r="H154" s="14">
        <v>-1.1897420583282026E-2</v>
      </c>
      <c r="I154" s="14">
        <v>-1.4003590664272925E-2</v>
      </c>
      <c r="J154" s="14">
        <v>-7.3193046660567918E-3</v>
      </c>
      <c r="K154" s="14">
        <v>-7.5803672823764323E-3</v>
      </c>
    </row>
    <row r="155" spans="2:11" x14ac:dyDescent="0.25">
      <c r="B155" s="29">
        <v>147</v>
      </c>
      <c r="C155" s="30">
        <v>0.1068313953488372</v>
      </c>
      <c r="D155" s="41">
        <v>-6.6000338522949099E-3</v>
      </c>
      <c r="E155" s="41">
        <v>3.2023399775584771E-3</v>
      </c>
      <c r="F155" s="41">
        <v>-5.4132910645774412E-3</v>
      </c>
      <c r="G155" s="41">
        <v>1.4381684783663308E-3</v>
      </c>
      <c r="H155" s="14">
        <v>-1.1887298295310766E-2</v>
      </c>
      <c r="I155" s="14">
        <v>-1.3979137494296578E-2</v>
      </c>
      <c r="J155" s="14">
        <v>-7.2656941961846133E-3</v>
      </c>
      <c r="K155" s="14">
        <v>-7.5655058899326104E-3</v>
      </c>
    </row>
    <row r="156" spans="2:11" x14ac:dyDescent="0.25">
      <c r="B156" s="29">
        <v>148</v>
      </c>
      <c r="C156" s="30">
        <v>0.10755813953488372</v>
      </c>
      <c r="D156" s="41">
        <v>-7.3162400887999942E-3</v>
      </c>
      <c r="E156" s="41">
        <v>-7.6032725490443598E-3</v>
      </c>
      <c r="F156" s="41">
        <v>-7.0417485566144356E-3</v>
      </c>
      <c r="G156" s="41">
        <v>-3.9788143394283047E-3</v>
      </c>
      <c r="H156" s="14">
        <v>-1.1859237639627263E-2</v>
      </c>
      <c r="I156" s="14">
        <v>-1.3911765451182112E-2</v>
      </c>
      <c r="J156" s="14">
        <v>-7.2620757996569862E-3</v>
      </c>
      <c r="K156" s="14">
        <v>-7.5459459027976024E-3</v>
      </c>
    </row>
    <row r="157" spans="2:11" x14ac:dyDescent="0.25">
      <c r="B157" s="29">
        <v>149</v>
      </c>
      <c r="C157" s="30">
        <v>0.10828488372093023</v>
      </c>
      <c r="D157" s="41">
        <v>-5.9906697251221486E-3</v>
      </c>
      <c r="E157" s="41">
        <v>-4.9261707570346092E-3</v>
      </c>
      <c r="F157" s="41">
        <v>1.9673150835344266E-3</v>
      </c>
      <c r="G157" s="41">
        <v>-2.2484084668401567E-4</v>
      </c>
      <c r="H157" s="14">
        <v>-1.1794732974979683E-2</v>
      </c>
      <c r="I157" s="14">
        <v>-1.3709598964296577E-2</v>
      </c>
      <c r="J157" s="14">
        <v>-7.205024658079151E-3</v>
      </c>
      <c r="K157" s="14">
        <v>-7.4527302627831029E-3</v>
      </c>
    </row>
    <row r="158" spans="2:11" x14ac:dyDescent="0.25">
      <c r="B158" s="29">
        <v>150</v>
      </c>
      <c r="C158" s="30">
        <v>0.10901162790697674</v>
      </c>
      <c r="D158" s="41">
        <v>1.7306305985321416E-2</v>
      </c>
      <c r="E158" s="41">
        <v>-3.9706275373201372E-3</v>
      </c>
      <c r="F158" s="41">
        <v>3.0917555856624368E-3</v>
      </c>
      <c r="G158" s="41">
        <v>-1.204281491971271E-3</v>
      </c>
      <c r="H158" s="14">
        <v>-1.1783568682751544E-2</v>
      </c>
      <c r="I158" s="14">
        <v>-1.3655768567867765E-2</v>
      </c>
      <c r="J158" s="14">
        <v>-7.1721514437255163E-3</v>
      </c>
      <c r="K158" s="14">
        <v>-7.4472993257661104E-3</v>
      </c>
    </row>
    <row r="159" spans="2:11" x14ac:dyDescent="0.25">
      <c r="B159" s="29">
        <v>151</v>
      </c>
      <c r="C159" s="30">
        <v>0.10973837209302326</v>
      </c>
      <c r="D159" s="41">
        <v>-5.3486094978369373E-3</v>
      </c>
      <c r="E159" s="41">
        <v>1.8526799974445396E-3</v>
      </c>
      <c r="F159" s="41">
        <v>-1.9560945129094565E-3</v>
      </c>
      <c r="G159" s="41">
        <v>-1.1912809176879425E-4</v>
      </c>
      <c r="H159" s="14">
        <v>-1.1758888534493028E-2</v>
      </c>
      <c r="I159" s="14">
        <v>-1.3439122621339061E-2</v>
      </c>
      <c r="J159" s="14">
        <v>-7.0785405714882677E-3</v>
      </c>
      <c r="K159" s="14">
        <v>-7.3699985818859396E-3</v>
      </c>
    </row>
    <row r="160" spans="2:11" x14ac:dyDescent="0.25">
      <c r="B160" s="29">
        <v>152</v>
      </c>
      <c r="C160" s="30">
        <v>0.11046511627906977</v>
      </c>
      <c r="D160" s="41">
        <v>-1.4151685900198772E-2</v>
      </c>
      <c r="E160" s="41">
        <v>8.6596097436550945E-3</v>
      </c>
      <c r="F160" s="41">
        <v>2.8513296261722942E-3</v>
      </c>
      <c r="G160" s="41">
        <v>3.0950179879132293E-3</v>
      </c>
      <c r="H160" s="14">
        <v>-1.1750555398391316E-2</v>
      </c>
      <c r="I160" s="14">
        <v>-1.3336935882136802E-2</v>
      </c>
      <c r="J160" s="14">
        <v>-7.0764372185506685E-3</v>
      </c>
      <c r="K160" s="14">
        <v>-7.3434362816796397E-3</v>
      </c>
    </row>
    <row r="161" spans="2:11" x14ac:dyDescent="0.25">
      <c r="B161" s="29">
        <v>153</v>
      </c>
      <c r="C161" s="30">
        <v>0.11119186046511628</v>
      </c>
      <c r="D161" s="41">
        <v>3.0793607484591412E-3</v>
      </c>
      <c r="E161" s="41">
        <v>-2.3012049716141236E-3</v>
      </c>
      <c r="F161" s="41">
        <v>1.4810080127105607E-3</v>
      </c>
      <c r="G161" s="41">
        <v>1.5524496233203509E-3</v>
      </c>
      <c r="H161" s="14">
        <v>-1.1737804878048652E-2</v>
      </c>
      <c r="I161" s="14">
        <v>-1.328219591238966E-2</v>
      </c>
      <c r="J161" s="14">
        <v>-7.0744680851064778E-3</v>
      </c>
      <c r="K161" s="14">
        <v>-7.2632787165298751E-3</v>
      </c>
    </row>
    <row r="162" spans="2:11" x14ac:dyDescent="0.25">
      <c r="B162" s="29">
        <v>154</v>
      </c>
      <c r="C162" s="30">
        <v>0.1119186046511628</v>
      </c>
      <c r="D162" s="41">
        <v>-2.4716192092071295E-3</v>
      </c>
      <c r="E162" s="41">
        <v>1.8122600022811852E-3</v>
      </c>
      <c r="F162" s="41">
        <v>8.8681392888978472E-4</v>
      </c>
      <c r="G162" s="41">
        <v>3.0088390950489432E-3</v>
      </c>
      <c r="H162" s="14">
        <v>-1.1688895549228251E-2</v>
      </c>
      <c r="I162" s="14">
        <v>-1.3169000099294892E-2</v>
      </c>
      <c r="J162" s="14">
        <v>-7.0616659875364363E-3</v>
      </c>
      <c r="K162" s="14">
        <v>-7.2303948275110235E-3</v>
      </c>
    </row>
    <row r="163" spans="2:11" x14ac:dyDescent="0.25">
      <c r="B163" s="29">
        <v>155</v>
      </c>
      <c r="C163" s="30">
        <v>0.11264534883720931</v>
      </c>
      <c r="D163" s="41">
        <v>3.4187889239296631E-3</v>
      </c>
      <c r="E163" s="41">
        <v>-2.1024667931688779E-2</v>
      </c>
      <c r="F163" s="41">
        <v>-8.6861928828187995E-3</v>
      </c>
      <c r="G163" s="41">
        <v>-4.5592346628540621E-3</v>
      </c>
      <c r="H163" s="14">
        <v>-1.1673233738595412E-2</v>
      </c>
      <c r="I163" s="14">
        <v>-1.3110022407048727E-2</v>
      </c>
      <c r="J163" s="14">
        <v>-7.0417485566144356E-3</v>
      </c>
      <c r="K163" s="14">
        <v>-7.2201415568680536E-3</v>
      </c>
    </row>
    <row r="164" spans="2:11" x14ac:dyDescent="0.25">
      <c r="B164" s="29">
        <v>156</v>
      </c>
      <c r="C164" s="30">
        <v>0.11337209302325581</v>
      </c>
      <c r="D164" s="41">
        <v>7.1603771053006839E-3</v>
      </c>
      <c r="E164" s="41">
        <v>0</v>
      </c>
      <c r="F164" s="41">
        <v>-7.7604579415591068E-4</v>
      </c>
      <c r="G164" s="41">
        <v>-1.5520915883118216E-4</v>
      </c>
      <c r="H164" s="14">
        <v>-1.1658715301956502E-2</v>
      </c>
      <c r="I164" s="14">
        <v>-1.3073102276714099E-2</v>
      </c>
      <c r="J164" s="14">
        <v>-6.9524307370621985E-3</v>
      </c>
      <c r="K164" s="14">
        <v>-7.2100403051015057E-3</v>
      </c>
    </row>
    <row r="165" spans="2:11" x14ac:dyDescent="0.25">
      <c r="B165" s="29">
        <v>157</v>
      </c>
      <c r="C165" s="30">
        <v>0.11409883720930232</v>
      </c>
      <c r="D165" s="41">
        <v>-3.1019079298661859E-3</v>
      </c>
      <c r="E165" s="41">
        <v>-2.1657104460639842E-2</v>
      </c>
      <c r="F165" s="41">
        <v>-4.6531187877365543E-3</v>
      </c>
      <c r="G165" s="41">
        <v>-8.2157719223532773E-3</v>
      </c>
      <c r="H165" s="14">
        <v>-1.1606157775639447E-2</v>
      </c>
      <c r="I165" s="14">
        <v>-1.3062568605927583E-2</v>
      </c>
      <c r="J165" s="14">
        <v>-6.9291338582677664E-3</v>
      </c>
      <c r="K165" s="14">
        <v>-7.1813009486479725E-3</v>
      </c>
    </row>
    <row r="166" spans="2:11" x14ac:dyDescent="0.25">
      <c r="B166" s="29">
        <v>158</v>
      </c>
      <c r="C166" s="30">
        <v>0.11482558139534883</v>
      </c>
      <c r="D166" s="41">
        <v>-6.274860431336504E-3</v>
      </c>
      <c r="E166" s="41">
        <v>3.3284023668638252E-3</v>
      </c>
      <c r="F166" s="41">
        <v>7.7975469589341984E-4</v>
      </c>
      <c r="G166" s="41">
        <v>-2.8608596654970935E-4</v>
      </c>
      <c r="H166" s="14">
        <v>-1.1587351438914317E-2</v>
      </c>
      <c r="I166" s="14">
        <v>-1.2962657344755657E-2</v>
      </c>
      <c r="J166" s="14">
        <v>-6.922274014032892E-3</v>
      </c>
      <c r="K166" s="14">
        <v>-7.1684772659241771E-3</v>
      </c>
    </row>
    <row r="167" spans="2:11" x14ac:dyDescent="0.25">
      <c r="B167" s="29">
        <v>159</v>
      </c>
      <c r="C167" s="30">
        <v>0.11555232558139535</v>
      </c>
      <c r="D167" s="41">
        <v>-8.1253735661554159E-3</v>
      </c>
      <c r="E167" s="41">
        <v>-1.2545416249802543E-2</v>
      </c>
      <c r="F167" s="41">
        <v>3.5911537478106048E-4</v>
      </c>
      <c r="G167" s="41">
        <v>-5.4061106904679255E-3</v>
      </c>
      <c r="H167" s="14">
        <v>-1.1526184108359927E-2</v>
      </c>
      <c r="I167" s="14">
        <v>-1.2957950920059913E-2</v>
      </c>
      <c r="J167" s="14">
        <v>-6.7756558435644321E-3</v>
      </c>
      <c r="K167" s="14">
        <v>-7.1495968497453655E-3</v>
      </c>
    </row>
    <row r="168" spans="2:11" x14ac:dyDescent="0.25">
      <c r="B168" s="29">
        <v>160</v>
      </c>
      <c r="C168" s="30">
        <v>0.11627906976744186</v>
      </c>
      <c r="D168" s="41">
        <v>-9.7238307391111405E-4</v>
      </c>
      <c r="E168" s="41">
        <v>2.7995893935561789E-4</v>
      </c>
      <c r="F168" s="41">
        <v>-1.1977868601057429E-3</v>
      </c>
      <c r="G168" s="41">
        <v>-8.178649215394131E-4</v>
      </c>
      <c r="H168" s="14">
        <v>-1.1508473218303172E-2</v>
      </c>
      <c r="I168" s="14">
        <v>-1.2881035878068547E-2</v>
      </c>
      <c r="J168" s="14">
        <v>-6.7100839051312811E-3</v>
      </c>
      <c r="K168" s="14">
        <v>-7.1316016014600254E-3</v>
      </c>
    </row>
    <row r="169" spans="2:11" x14ac:dyDescent="0.25">
      <c r="B169" s="29">
        <v>161</v>
      </c>
      <c r="C169" s="30">
        <v>0.11700581395348837</v>
      </c>
      <c r="D169" s="41">
        <v>-1.106776763818236E-2</v>
      </c>
      <c r="E169" s="41">
        <v>1.0102356327966744E-2</v>
      </c>
      <c r="F169" s="41">
        <v>4.4961131681575672E-3</v>
      </c>
      <c r="G169" s="41">
        <v>7.9368305265867349E-3</v>
      </c>
      <c r="H169" s="14">
        <v>-1.1497076598044553E-2</v>
      </c>
      <c r="I169" s="14">
        <v>-1.2744104433587089E-2</v>
      </c>
      <c r="J169" s="14">
        <v>-6.6566752616695757E-3</v>
      </c>
      <c r="K169" s="14">
        <v>-7.1100388169783365E-3</v>
      </c>
    </row>
    <row r="170" spans="2:11" x14ac:dyDescent="0.25">
      <c r="B170" s="29">
        <v>162</v>
      </c>
      <c r="C170" s="30">
        <v>0.11773255813953488</v>
      </c>
      <c r="D170" s="41">
        <v>1.3549457896665907E-2</v>
      </c>
      <c r="E170" s="41">
        <v>5.5812112415887238E-3</v>
      </c>
      <c r="F170" s="41">
        <v>2.1004222112712467E-2</v>
      </c>
      <c r="G170" s="41">
        <v>3.6877090077980677E-3</v>
      </c>
      <c r="H170" s="14">
        <v>-1.147353738072332E-2</v>
      </c>
      <c r="I170" s="14">
        <v>-1.269541645081862E-2</v>
      </c>
      <c r="J170" s="14">
        <v>-6.6256758189334741E-3</v>
      </c>
      <c r="K170" s="14">
        <v>-7.0416325094528002E-3</v>
      </c>
    </row>
    <row r="171" spans="2:11" x14ac:dyDescent="0.25">
      <c r="B171" s="29">
        <v>163</v>
      </c>
      <c r="C171" s="30">
        <v>0.1184593023255814</v>
      </c>
      <c r="D171" s="41">
        <v>-1.2373955647343813E-2</v>
      </c>
      <c r="E171" s="41">
        <v>5.2353273063650008E-3</v>
      </c>
      <c r="F171" s="41">
        <v>0</v>
      </c>
      <c r="G171" s="41">
        <v>3.7068143842343029E-3</v>
      </c>
      <c r="H171" s="14">
        <v>-1.1469376606165649E-2</v>
      </c>
      <c r="I171" s="14">
        <v>-1.2613653875789721E-2</v>
      </c>
      <c r="J171" s="14">
        <v>-6.6100258499722786E-3</v>
      </c>
      <c r="K171" s="14">
        <v>-6.9858121416161772E-3</v>
      </c>
    </row>
    <row r="172" spans="2:11" x14ac:dyDescent="0.25">
      <c r="B172" s="29">
        <v>164</v>
      </c>
      <c r="C172" s="30">
        <v>0.11918604651162791</v>
      </c>
      <c r="D172" s="41">
        <v>-1.4937307407048438E-3</v>
      </c>
      <c r="E172" s="41">
        <v>-7.2051375763587666E-3</v>
      </c>
      <c r="F172" s="41">
        <v>5.0851059012730904E-3</v>
      </c>
      <c r="G172" s="41">
        <v>-1.750324590372987E-3</v>
      </c>
      <c r="H172" s="14">
        <v>-1.1422302529685013E-2</v>
      </c>
      <c r="I172" s="14">
        <v>-1.259164921823841E-2</v>
      </c>
      <c r="J172" s="14">
        <v>-6.5957383589640983E-3</v>
      </c>
      <c r="K172" s="14">
        <v>-6.918607726799442E-3</v>
      </c>
    </row>
    <row r="173" spans="2:11" x14ac:dyDescent="0.25">
      <c r="B173" s="29">
        <v>165</v>
      </c>
      <c r="C173" s="30">
        <v>0.11991279069767442</v>
      </c>
      <c r="D173" s="41">
        <v>-9.3061072965230883E-3</v>
      </c>
      <c r="E173" s="41">
        <v>-2.9713384170391155E-3</v>
      </c>
      <c r="F173" s="41">
        <v>-1.6276664163062948E-3</v>
      </c>
      <c r="G173" s="41">
        <v>-1.2273082172186145E-3</v>
      </c>
      <c r="H173" s="14">
        <v>-1.1421836749767489E-2</v>
      </c>
      <c r="I173" s="14">
        <v>-1.2545416249802543E-2</v>
      </c>
      <c r="J173" s="14">
        <v>-6.5773513132060257E-3</v>
      </c>
      <c r="K173" s="14">
        <v>-6.9092322412402495E-3</v>
      </c>
    </row>
    <row r="174" spans="2:11" x14ac:dyDescent="0.25">
      <c r="B174" s="29">
        <v>166</v>
      </c>
      <c r="C174" s="30">
        <v>0.12063953488372094</v>
      </c>
      <c r="D174" s="41">
        <v>1.0881093816143217E-2</v>
      </c>
      <c r="E174" s="41">
        <v>-2.7283276630535203E-2</v>
      </c>
      <c r="F174" s="41">
        <v>4.1931137996957801E-3</v>
      </c>
      <c r="G174" s="41">
        <v>-6.4643726926128867E-3</v>
      </c>
      <c r="H174" s="14">
        <v>-1.1326345003469074E-2</v>
      </c>
      <c r="I174" s="14">
        <v>-1.2529931024623853E-2</v>
      </c>
      <c r="J174" s="14">
        <v>-6.5551992707756357E-3</v>
      </c>
      <c r="K174" s="14">
        <v>-6.8641600857767496E-3</v>
      </c>
    </row>
    <row r="175" spans="2:11" x14ac:dyDescent="0.25">
      <c r="B175" s="29">
        <v>167</v>
      </c>
      <c r="C175" s="30">
        <v>0.12136627906976744</v>
      </c>
      <c r="D175" s="41">
        <v>3.3418506623162651E-3</v>
      </c>
      <c r="E175" s="41">
        <v>8.2423913780249602E-3</v>
      </c>
      <c r="F175" s="41">
        <v>-4.6358456056172503E-4</v>
      </c>
      <c r="G175" s="41">
        <v>3.5450022081647383E-3</v>
      </c>
      <c r="H175" s="14">
        <v>-1.1203670700191681E-2</v>
      </c>
      <c r="I175" s="14">
        <v>-1.2461972025199719E-2</v>
      </c>
      <c r="J175" s="14">
        <v>-6.5440778799351618E-3</v>
      </c>
      <c r="K175" s="14">
        <v>-6.8339151993594754E-3</v>
      </c>
    </row>
    <row r="176" spans="2:11" x14ac:dyDescent="0.25">
      <c r="B176" s="29">
        <v>168</v>
      </c>
      <c r="C176" s="30">
        <v>0.12209302325581395</v>
      </c>
      <c r="D176" s="41">
        <v>7.5571771037999625E-3</v>
      </c>
      <c r="E176" s="41">
        <v>1.477686794939026E-2</v>
      </c>
      <c r="F176" s="41">
        <v>6.1501227063134323E-3</v>
      </c>
      <c r="G176" s="41">
        <v>1.920183931891328E-3</v>
      </c>
      <c r="H176" s="14">
        <v>-1.1174876618949225E-2</v>
      </c>
      <c r="I176" s="14">
        <v>-1.244167962674958E-2</v>
      </c>
      <c r="J176" s="14">
        <v>-6.5224854102299279E-3</v>
      </c>
      <c r="K176" s="14">
        <v>-6.8280232674987167E-3</v>
      </c>
    </row>
    <row r="177" spans="2:11" x14ac:dyDescent="0.25">
      <c r="B177" s="29">
        <v>169</v>
      </c>
      <c r="C177" s="30">
        <v>0.12281976744186046</v>
      </c>
      <c r="D177" s="41">
        <v>-2.2590376431198888E-2</v>
      </c>
      <c r="E177" s="41">
        <v>1.1673203307186686E-2</v>
      </c>
      <c r="F177" s="41">
        <v>-3.0562323699795391E-3</v>
      </c>
      <c r="G177" s="41">
        <v>5.1504322965017172E-3</v>
      </c>
      <c r="H177" s="14">
        <v>-1.1166253520421998E-2</v>
      </c>
      <c r="I177" s="14">
        <v>-1.2321276681923177E-2</v>
      </c>
      <c r="J177" s="14">
        <v>-6.4995274964455563E-3</v>
      </c>
      <c r="K177" s="14">
        <v>-6.8162149832127657E-3</v>
      </c>
    </row>
    <row r="178" spans="2:11" x14ac:dyDescent="0.25">
      <c r="B178" s="29">
        <v>170</v>
      </c>
      <c r="C178" s="30">
        <v>0.12354651162790697</v>
      </c>
      <c r="D178" s="41">
        <v>-1.5551330473423332E-2</v>
      </c>
      <c r="E178" s="41">
        <v>-2.305082969889849E-3</v>
      </c>
      <c r="F178" s="41">
        <v>-1.6772458720757388E-3</v>
      </c>
      <c r="G178" s="41">
        <v>-3.6657300974639374E-3</v>
      </c>
      <c r="H178" s="14">
        <v>-1.1154881452791754E-2</v>
      </c>
      <c r="I178" s="14">
        <v>-1.2201360544217721E-2</v>
      </c>
      <c r="J178" s="14">
        <v>-6.4760972887204504E-3</v>
      </c>
      <c r="K178" s="14">
        <v>-6.7449088454417444E-3</v>
      </c>
    </row>
    <row r="179" spans="2:11" x14ac:dyDescent="0.25">
      <c r="B179" s="29">
        <v>171</v>
      </c>
      <c r="C179" s="30">
        <v>0.12427325581395349</v>
      </c>
      <c r="D179" s="41">
        <v>1.4097649964545619E-2</v>
      </c>
      <c r="E179" s="41">
        <v>5.9991861060426643E-3</v>
      </c>
      <c r="F179" s="41">
        <v>-5.5056725006459306E-3</v>
      </c>
      <c r="G179" s="41">
        <v>8.7136579147450727E-5</v>
      </c>
      <c r="H179" s="14">
        <v>-1.1113053700903208E-2</v>
      </c>
      <c r="I179" s="14">
        <v>-1.216145578097938E-2</v>
      </c>
      <c r="J179" s="14">
        <v>-6.4651401367672445E-3</v>
      </c>
      <c r="K179" s="14">
        <v>-6.7422606719323326E-3</v>
      </c>
    </row>
    <row r="180" spans="2:11" x14ac:dyDescent="0.25">
      <c r="B180" s="29">
        <v>172</v>
      </c>
      <c r="C180" s="30">
        <v>0.125</v>
      </c>
      <c r="D180" s="41">
        <v>2.9521040765336307E-3</v>
      </c>
      <c r="E180" s="41">
        <v>-7.7902758566693597E-3</v>
      </c>
      <c r="F180" s="41">
        <v>-8.0995233024220292E-3</v>
      </c>
      <c r="G180" s="41">
        <v>-2.5372862430236291E-3</v>
      </c>
      <c r="H180" s="14">
        <v>-1.1112142161184058E-2</v>
      </c>
      <c r="I180" s="14">
        <v>-1.2079459796313974E-2</v>
      </c>
      <c r="J180" s="14">
        <v>-6.445776320253338E-3</v>
      </c>
      <c r="K180" s="14">
        <v>-6.7270969524705357E-3</v>
      </c>
    </row>
    <row r="181" spans="2:11" x14ac:dyDescent="0.25">
      <c r="B181" s="29">
        <v>173</v>
      </c>
      <c r="C181" s="30">
        <v>0.12572674418604651</v>
      </c>
      <c r="D181" s="41">
        <v>7.5487534028096373E-3</v>
      </c>
      <c r="E181" s="41">
        <v>1.8727724660362766E-2</v>
      </c>
      <c r="F181" s="41">
        <v>5.2294831622210491E-3</v>
      </c>
      <c r="G181" s="41">
        <v>6.7530726439130719E-3</v>
      </c>
      <c r="H181" s="14">
        <v>-1.1074593411969147E-2</v>
      </c>
      <c r="I181" s="14">
        <v>-1.1997209245889873E-2</v>
      </c>
      <c r="J181" s="14">
        <v>-6.3844684929826867E-3</v>
      </c>
      <c r="K181" s="14">
        <v>-6.7223139704672983E-3</v>
      </c>
    </row>
    <row r="182" spans="2:11" x14ac:dyDescent="0.25">
      <c r="B182" s="29">
        <v>174</v>
      </c>
      <c r="C182" s="30">
        <v>0.12645348837209303</v>
      </c>
      <c r="D182" s="41">
        <v>-3.158984769675259E-3</v>
      </c>
      <c r="E182" s="41">
        <v>-1.2522430642517568E-3</v>
      </c>
      <c r="F182" s="41">
        <v>7.0042512599344242E-4</v>
      </c>
      <c r="G182" s="41">
        <v>2.0091723498220308E-3</v>
      </c>
      <c r="H182" s="14">
        <v>-1.1065982067591351E-2</v>
      </c>
      <c r="I182" s="14">
        <v>-1.1926300631392439E-2</v>
      </c>
      <c r="J182" s="14">
        <v>-6.3470767325454203E-3</v>
      </c>
      <c r="K182" s="14">
        <v>-6.6700701646386085E-3</v>
      </c>
    </row>
    <row r="183" spans="2:11" x14ac:dyDescent="0.25">
      <c r="B183" s="29">
        <v>175</v>
      </c>
      <c r="C183" s="30">
        <v>0.12718023255813954</v>
      </c>
      <c r="D183" s="41">
        <v>-1.9496204707620729E-2</v>
      </c>
      <c r="E183" s="41">
        <v>-3.1797735380797443E-3</v>
      </c>
      <c r="F183" s="41">
        <v>2.6870837526569158E-3</v>
      </c>
      <c r="G183" s="41">
        <v>1.7363838048617634E-3</v>
      </c>
      <c r="H183" s="14">
        <v>-1.1039411867213023E-2</v>
      </c>
      <c r="I183" s="14">
        <v>-1.1815925207049327E-2</v>
      </c>
      <c r="J183" s="14">
        <v>-6.3449458065846231E-3</v>
      </c>
      <c r="K183" s="14">
        <v>-6.6438850693950622E-3</v>
      </c>
    </row>
    <row r="184" spans="2:11" x14ac:dyDescent="0.25">
      <c r="B184" s="29">
        <v>176</v>
      </c>
      <c r="C184" s="30">
        <v>0.12790697674418605</v>
      </c>
      <c r="D184" s="41">
        <v>-1.9407973188333009E-3</v>
      </c>
      <c r="E184" s="41">
        <v>-7.5339090744054316E-3</v>
      </c>
      <c r="F184" s="41">
        <v>3.7847491760707452E-3</v>
      </c>
      <c r="G184" s="41">
        <v>-1.5712660583780294E-3</v>
      </c>
      <c r="H184" s="14">
        <v>-1.1032263068093795E-2</v>
      </c>
      <c r="I184" s="14">
        <v>-1.1725053230595917E-2</v>
      </c>
      <c r="J184" s="14">
        <v>-6.3434276573446358E-3</v>
      </c>
      <c r="K184" s="14">
        <v>-6.6177498157643736E-3</v>
      </c>
    </row>
    <row r="185" spans="2:11" x14ac:dyDescent="0.25">
      <c r="B185" s="29">
        <v>177</v>
      </c>
      <c r="C185" s="30">
        <v>0.12863372093023256</v>
      </c>
      <c r="D185" s="41">
        <v>-2.3736364636031487E-2</v>
      </c>
      <c r="E185" s="41">
        <v>9.9167722800737046E-3</v>
      </c>
      <c r="F185" s="41">
        <v>2.2056906588323599E-3</v>
      </c>
      <c r="G185" s="41">
        <v>3.2105468451684156E-3</v>
      </c>
      <c r="H185" s="14">
        <v>-1.1021859404523604E-2</v>
      </c>
      <c r="I185" s="14">
        <v>-1.1588832009045036E-2</v>
      </c>
      <c r="J185" s="14">
        <v>-6.3362187712362461E-3</v>
      </c>
      <c r="K185" s="14">
        <v>-6.5883133625157745E-3</v>
      </c>
    </row>
    <row r="186" spans="2:11" x14ac:dyDescent="0.25">
      <c r="B186" s="29">
        <v>178</v>
      </c>
      <c r="C186" s="30">
        <v>0.12936046511627908</v>
      </c>
      <c r="D186" s="41">
        <v>-3.3813591953548417E-3</v>
      </c>
      <c r="E186" s="41">
        <v>2.7284723659697585E-2</v>
      </c>
      <c r="F186" s="41">
        <v>-1.4470590574610087E-3</v>
      </c>
      <c r="G186" s="41">
        <v>2.0468994121905621E-3</v>
      </c>
      <c r="H186" s="14">
        <v>-1.1019412923192529E-2</v>
      </c>
      <c r="I186" s="14">
        <v>-1.1579511270449427E-2</v>
      </c>
      <c r="J186" s="14">
        <v>-6.3313401336615449E-3</v>
      </c>
      <c r="K186" s="14">
        <v>-6.581746229738129E-3</v>
      </c>
    </row>
    <row r="187" spans="2:11" x14ac:dyDescent="0.25">
      <c r="B187" s="29">
        <v>179</v>
      </c>
      <c r="C187" s="30">
        <v>0.13008720930232559</v>
      </c>
      <c r="D187" s="41">
        <v>6.3185543716998919E-3</v>
      </c>
      <c r="E187" s="41">
        <v>9.1807820666205409E-3</v>
      </c>
      <c r="F187" s="41">
        <v>4.0001601042751744E-3</v>
      </c>
      <c r="G187" s="41">
        <v>1.4921209137045645E-3</v>
      </c>
      <c r="H187" s="14">
        <v>-1.1007620660457351E-2</v>
      </c>
      <c r="I187" s="14">
        <v>-1.147127957549221E-2</v>
      </c>
      <c r="J187" s="14">
        <v>-6.3116165040947303E-3</v>
      </c>
      <c r="K187" s="14">
        <v>-6.5703129536873748E-3</v>
      </c>
    </row>
    <row r="188" spans="2:11" x14ac:dyDescent="0.25">
      <c r="B188" s="29">
        <v>180</v>
      </c>
      <c r="C188" s="30">
        <v>0.1308139534883721</v>
      </c>
      <c r="D188" s="41">
        <v>2.4043303055269874E-2</v>
      </c>
      <c r="E188" s="41">
        <v>-3.5066264007788117E-3</v>
      </c>
      <c r="F188" s="41">
        <v>-7.5651630690196647E-3</v>
      </c>
      <c r="G188" s="41">
        <v>-4.5053577363955988E-3</v>
      </c>
      <c r="H188" s="14">
        <v>-1.0947649980894147E-2</v>
      </c>
      <c r="I188" s="14">
        <v>-1.1346896524266459E-2</v>
      </c>
      <c r="J188" s="14">
        <v>-6.269593168704013E-3</v>
      </c>
      <c r="K188" s="14">
        <v>-6.5490359839040831E-3</v>
      </c>
    </row>
    <row r="189" spans="2:11" x14ac:dyDescent="0.25">
      <c r="B189" s="29">
        <v>181</v>
      </c>
      <c r="C189" s="30">
        <v>0.13154069767441862</v>
      </c>
      <c r="D189" s="41">
        <v>-6.8437361280001214E-3</v>
      </c>
      <c r="E189" s="41">
        <v>1.8083227931323886E-2</v>
      </c>
      <c r="F189" s="41">
        <v>5.7611402870973993E-3</v>
      </c>
      <c r="G189" s="41">
        <v>6.8486740453997724E-3</v>
      </c>
      <c r="H189" s="14">
        <v>-1.0871818061914618E-2</v>
      </c>
      <c r="I189" s="14">
        <v>-1.1339399678840567E-2</v>
      </c>
      <c r="J189" s="14">
        <v>-6.2695924764889499E-3</v>
      </c>
      <c r="K189" s="14">
        <v>-6.4801362855845483E-3</v>
      </c>
    </row>
    <row r="190" spans="2:11" x14ac:dyDescent="0.25">
      <c r="B190" s="29">
        <v>182</v>
      </c>
      <c r="C190" s="30">
        <v>0.13226744186046513</v>
      </c>
      <c r="D190" s="41">
        <v>-3.7134123580731732E-3</v>
      </c>
      <c r="E190" s="41">
        <v>2.1243096301216458E-2</v>
      </c>
      <c r="F190" s="41">
        <v>2.0246043590170792E-3</v>
      </c>
      <c r="G190" s="41">
        <v>8.4867587912059502E-3</v>
      </c>
      <c r="H190" s="14">
        <v>-1.0821542919491334E-2</v>
      </c>
      <c r="I190" s="14">
        <v>-1.1326272350090205E-2</v>
      </c>
      <c r="J190" s="14">
        <v>-6.2049544174502813E-3</v>
      </c>
      <c r="K190" s="14">
        <v>-6.4643726926128867E-3</v>
      </c>
    </row>
    <row r="191" spans="2:11" x14ac:dyDescent="0.25">
      <c r="B191" s="29">
        <v>183</v>
      </c>
      <c r="C191" s="30">
        <v>0.13299418604651161</v>
      </c>
      <c r="D191" s="41">
        <v>-5.1539210660564213E-3</v>
      </c>
      <c r="E191" s="41">
        <v>-2.9870880709192971E-3</v>
      </c>
      <c r="F191" s="41">
        <v>-5.1383350323032095E-3</v>
      </c>
      <c r="G191" s="41">
        <v>-2.2818492801468752E-3</v>
      </c>
      <c r="H191" s="14">
        <v>-1.0772338174473539E-2</v>
      </c>
      <c r="I191" s="14">
        <v>-1.131257500627969E-2</v>
      </c>
      <c r="J191" s="14">
        <v>-6.1998931052913431E-3</v>
      </c>
      <c r="K191" s="14">
        <v>-6.4344721468322817E-3</v>
      </c>
    </row>
    <row r="192" spans="2:11" x14ac:dyDescent="0.25">
      <c r="B192" s="29">
        <v>184</v>
      </c>
      <c r="C192" s="30">
        <v>0.13372093023255813</v>
      </c>
      <c r="D192" s="41">
        <v>1.3604508128696105E-2</v>
      </c>
      <c r="E192" s="41">
        <v>-1.4666086788441057E-2</v>
      </c>
      <c r="F192" s="41">
        <v>-2.1473895072918747E-3</v>
      </c>
      <c r="G192" s="41">
        <v>-1.3649994745134288E-3</v>
      </c>
      <c r="H192" s="14">
        <v>-1.0727455581629242E-2</v>
      </c>
      <c r="I192" s="14">
        <v>-1.1214993123887296E-2</v>
      </c>
      <c r="J192" s="14">
        <v>-6.118709984544668E-3</v>
      </c>
      <c r="K192" s="14">
        <v>-6.4090374362986372E-3</v>
      </c>
    </row>
    <row r="193" spans="2:11" x14ac:dyDescent="0.25">
      <c r="B193" s="29">
        <v>185</v>
      </c>
      <c r="C193" s="30">
        <v>0.13444767441860464</v>
      </c>
      <c r="D193" s="41">
        <v>-1.5333203061537414E-3</v>
      </c>
      <c r="E193" s="41">
        <v>5.6889237635173728E-3</v>
      </c>
      <c r="F193" s="41">
        <v>-6.922274014032892E-3</v>
      </c>
      <c r="G193" s="41">
        <v>8.9111470260037082E-4</v>
      </c>
      <c r="H193" s="14">
        <v>-1.0609559496318255E-2</v>
      </c>
      <c r="I193" s="14">
        <v>-1.1173959445037407E-2</v>
      </c>
      <c r="J193" s="14">
        <v>-6.101789937416946E-3</v>
      </c>
      <c r="K193" s="14">
        <v>-6.349970083807133E-3</v>
      </c>
    </row>
    <row r="194" spans="2:11" x14ac:dyDescent="0.25">
      <c r="B194" s="29">
        <v>186</v>
      </c>
      <c r="C194" s="30">
        <v>0.13517441860465115</v>
      </c>
      <c r="D194" s="41">
        <v>9.1934280353560896E-3</v>
      </c>
      <c r="E194" s="41">
        <v>5.51044790676114E-3</v>
      </c>
      <c r="F194" s="41">
        <v>-8.2570304070997969E-3</v>
      </c>
      <c r="G194" s="41">
        <v>-5.1396980563919621E-3</v>
      </c>
      <c r="H194" s="14">
        <v>-1.0588801540189374E-2</v>
      </c>
      <c r="I194" s="14">
        <v>-1.1149279816790258E-2</v>
      </c>
      <c r="J194" s="14">
        <v>-6.0732669822660679E-3</v>
      </c>
      <c r="K194" s="14">
        <v>-6.309135687865508E-3</v>
      </c>
    </row>
    <row r="195" spans="2:11" x14ac:dyDescent="0.25">
      <c r="B195" s="29">
        <v>187</v>
      </c>
      <c r="C195" s="30">
        <v>0.13590116279069767</v>
      </c>
      <c r="D195" s="41">
        <v>1.0453164135275103E-2</v>
      </c>
      <c r="E195" s="41">
        <v>1.5616285554935772E-2</v>
      </c>
      <c r="F195" s="41">
        <v>4.1337129100946779E-3</v>
      </c>
      <c r="G195" s="41">
        <v>6.2397930572778209E-3</v>
      </c>
      <c r="H195" s="14">
        <v>-1.0473000242150254E-2</v>
      </c>
      <c r="I195" s="14">
        <v>-1.1146041726207478E-2</v>
      </c>
      <c r="J195" s="14">
        <v>-6.0731418094116529E-3</v>
      </c>
      <c r="K195" s="14">
        <v>-6.3029311116779459E-3</v>
      </c>
    </row>
    <row r="196" spans="2:11" x14ac:dyDescent="0.25">
      <c r="B196" s="29">
        <v>188</v>
      </c>
      <c r="C196" s="30">
        <v>0.13662790697674418</v>
      </c>
      <c r="D196" s="41">
        <v>6.2940635450772168E-3</v>
      </c>
      <c r="E196" s="41">
        <v>-5.4079220686197305E-3</v>
      </c>
      <c r="F196" s="41">
        <v>-1.8822238691861282E-3</v>
      </c>
      <c r="G196" s="41">
        <v>1.1590851045522265E-3</v>
      </c>
      <c r="H196" s="14">
        <v>-1.0467766232763132E-2</v>
      </c>
      <c r="I196" s="14">
        <v>-1.1134123889971925E-2</v>
      </c>
      <c r="J196" s="14">
        <v>-6.0586389700315602E-3</v>
      </c>
      <c r="K196" s="14">
        <v>-6.3004571676222648E-3</v>
      </c>
    </row>
    <row r="197" spans="2:11" x14ac:dyDescent="0.25">
      <c r="B197" s="29">
        <v>189</v>
      </c>
      <c r="C197" s="30">
        <v>0.13735465116279069</v>
      </c>
      <c r="D197" s="41">
        <v>-9.6236272318136005E-3</v>
      </c>
      <c r="E197" s="41">
        <v>3.4928522559503072E-3</v>
      </c>
      <c r="F197" s="41">
        <v>2.003240674469442E-3</v>
      </c>
      <c r="G197" s="41">
        <v>-1.5286073232569926E-4</v>
      </c>
      <c r="H197" s="14">
        <v>-1.0443964115610438E-2</v>
      </c>
      <c r="I197" s="14">
        <v>-1.1089116776675123E-2</v>
      </c>
      <c r="J197" s="14">
        <v>-6.0401588942700091E-3</v>
      </c>
      <c r="K197" s="14">
        <v>-6.2800775351188783E-3</v>
      </c>
    </row>
    <row r="198" spans="2:11" x14ac:dyDescent="0.25">
      <c r="B198" s="29">
        <v>190</v>
      </c>
      <c r="C198" s="30">
        <v>0.1380813953488372</v>
      </c>
      <c r="D198" s="41">
        <v>-2.3804504120618377E-2</v>
      </c>
      <c r="E198" s="41">
        <v>6.9853117075737714E-3</v>
      </c>
      <c r="F198" s="41">
        <v>-1.3517365008888227E-3</v>
      </c>
      <c r="G198" s="41">
        <v>1.6921700875324409E-3</v>
      </c>
      <c r="H198" s="14">
        <v>-1.0427910562837317E-2</v>
      </c>
      <c r="I198" s="14">
        <v>-1.105516048433608E-2</v>
      </c>
      <c r="J198" s="14">
        <v>-5.9585827737091979E-3</v>
      </c>
      <c r="K198" s="14">
        <v>-6.2511195267652038E-3</v>
      </c>
    </row>
    <row r="199" spans="2:11" x14ac:dyDescent="0.25">
      <c r="B199" s="29">
        <v>191</v>
      </c>
      <c r="C199" s="30">
        <v>0.13880813953488372</v>
      </c>
      <c r="D199" s="41">
        <v>2.2369004775519099E-3</v>
      </c>
      <c r="E199" s="41">
        <v>-1.4408229201311351E-2</v>
      </c>
      <c r="F199" s="41">
        <v>-2.4734137251205546E-3</v>
      </c>
      <c r="G199" s="41">
        <v>-4.5912947775243124E-3</v>
      </c>
      <c r="H199" s="14">
        <v>-1.0419904143424974E-2</v>
      </c>
      <c r="I199" s="14">
        <v>-1.102730753087533E-2</v>
      </c>
      <c r="J199" s="14">
        <v>-5.9362861125542565E-3</v>
      </c>
      <c r="K199" s="14">
        <v>-6.240509732325328E-3</v>
      </c>
    </row>
    <row r="200" spans="2:11" x14ac:dyDescent="0.25">
      <c r="B200" s="29">
        <v>192</v>
      </c>
      <c r="C200" s="30">
        <v>0.13953488372093023</v>
      </c>
      <c r="D200" s="41">
        <v>6.0367110346500252E-3</v>
      </c>
      <c r="E200" s="41">
        <v>4.2422416390479611E-3</v>
      </c>
      <c r="F200" s="41">
        <v>7.7336348241332509E-3</v>
      </c>
      <c r="G200" s="41">
        <v>3.8956614171635987E-3</v>
      </c>
      <c r="H200" s="14">
        <v>-1.0362635414747134E-2</v>
      </c>
      <c r="I200" s="14">
        <v>-1.0977344861551996E-2</v>
      </c>
      <c r="J200" s="14">
        <v>-5.9320506032790599E-3</v>
      </c>
      <c r="K200" s="14">
        <v>-6.2322003637555589E-3</v>
      </c>
    </row>
    <row r="201" spans="2:11" x14ac:dyDescent="0.25">
      <c r="B201" s="29">
        <v>193</v>
      </c>
      <c r="C201" s="30">
        <v>0.14026162790697674</v>
      </c>
      <c r="D201" s="41">
        <v>-7.1749753941342212E-4</v>
      </c>
      <c r="E201" s="41">
        <v>1.0068765226157073E-2</v>
      </c>
      <c r="F201" s="41">
        <v>-7.205024658079151E-3</v>
      </c>
      <c r="G201" s="41">
        <v>2.3498188906886375E-3</v>
      </c>
      <c r="H201" s="14">
        <v>-1.0296970601402888E-2</v>
      </c>
      <c r="I201" s="14">
        <v>-1.0944274082690053E-2</v>
      </c>
      <c r="J201" s="14">
        <v>-5.929887797221256E-3</v>
      </c>
      <c r="K201" s="14">
        <v>-6.1310372071988976E-3</v>
      </c>
    </row>
    <row r="202" spans="2:11" x14ac:dyDescent="0.25">
      <c r="B202" s="29">
        <v>194</v>
      </c>
      <c r="C202" s="30">
        <v>0.14098837209302326</v>
      </c>
      <c r="D202" s="41">
        <v>1.0114201925081633E-2</v>
      </c>
      <c r="E202" s="41">
        <v>-2.74457619466284E-3</v>
      </c>
      <c r="F202" s="41">
        <v>5.7551784784282134E-5</v>
      </c>
      <c r="G202" s="41">
        <v>9.8620594893761271E-4</v>
      </c>
      <c r="H202" s="14">
        <v>-1.0284004736874963E-2</v>
      </c>
      <c r="I202" s="14">
        <v>-1.0882798104764446E-2</v>
      </c>
      <c r="J202" s="14">
        <v>-5.8605301360287188E-3</v>
      </c>
      <c r="K202" s="14">
        <v>-6.116786638703276E-3</v>
      </c>
    </row>
    <row r="203" spans="2:11" x14ac:dyDescent="0.25">
      <c r="B203" s="29">
        <v>195</v>
      </c>
      <c r="C203" s="30">
        <v>0.14171511627906977</v>
      </c>
      <c r="D203" s="41">
        <v>1.2019814823231955E-3</v>
      </c>
      <c r="E203" s="41">
        <v>-4.3962590099482224E-3</v>
      </c>
      <c r="F203" s="41">
        <v>-1.0023787176541843E-3</v>
      </c>
      <c r="G203" s="41">
        <v>-6.6297026923300972E-4</v>
      </c>
      <c r="H203" s="14">
        <v>-1.026983070527665E-2</v>
      </c>
      <c r="I203" s="14">
        <v>-1.0862361761173056E-2</v>
      </c>
      <c r="J203" s="14">
        <v>-5.8443382972745983E-3</v>
      </c>
      <c r="K203" s="14">
        <v>-6.0828325721118187E-3</v>
      </c>
    </row>
    <row r="204" spans="2:11" x14ac:dyDescent="0.25">
      <c r="B204" s="29">
        <v>196</v>
      </c>
      <c r="C204" s="30">
        <v>0.14244186046511628</v>
      </c>
      <c r="D204" s="41">
        <v>4.7140059825952494E-3</v>
      </c>
      <c r="E204" s="41">
        <v>1.360601201445566E-2</v>
      </c>
      <c r="F204" s="41">
        <v>-1.5352188951516244E-3</v>
      </c>
      <c r="G204" s="41">
        <v>4.019682300751227E-3</v>
      </c>
      <c r="H204" s="14">
        <v>-1.0226951280544849E-2</v>
      </c>
      <c r="I204" s="14">
        <v>-1.078614880673856E-2</v>
      </c>
      <c r="J204" s="14">
        <v>-5.8335388648411701E-3</v>
      </c>
      <c r="K204" s="14">
        <v>-6.0677034134525073E-3</v>
      </c>
    </row>
    <row r="205" spans="2:11" x14ac:dyDescent="0.25">
      <c r="B205" s="29">
        <v>197</v>
      </c>
      <c r="C205" s="30">
        <v>0.1431686046511628</v>
      </c>
      <c r="D205" s="41">
        <v>3.3329577959570855E-3</v>
      </c>
      <c r="E205" s="41">
        <v>0</v>
      </c>
      <c r="F205" s="41">
        <v>2.3679056684677846E-4</v>
      </c>
      <c r="G205" s="41">
        <v>4.7358113369355695E-5</v>
      </c>
      <c r="H205" s="14">
        <v>-1.0159298450866716E-2</v>
      </c>
      <c r="I205" s="14">
        <v>-1.0776146063631975E-2</v>
      </c>
      <c r="J205" s="14">
        <v>-5.8136405232275257E-3</v>
      </c>
      <c r="K205" s="14">
        <v>-6.0552427952663473E-3</v>
      </c>
    </row>
    <row r="206" spans="2:11" x14ac:dyDescent="0.25">
      <c r="B206" s="29">
        <v>198</v>
      </c>
      <c r="C206" s="30">
        <v>0.14389534883720931</v>
      </c>
      <c r="D206" s="41">
        <v>1.225930800893054E-2</v>
      </c>
      <c r="E206" s="41">
        <v>3.1639965526606417E-3</v>
      </c>
      <c r="F206" s="41">
        <v>5.9729604123737179E-3</v>
      </c>
      <c r="G206" s="41">
        <v>5.8754772118077897E-3</v>
      </c>
      <c r="H206" s="14">
        <v>-1.0073988580677651E-2</v>
      </c>
      <c r="I206" s="14">
        <v>-1.0741864220134012E-2</v>
      </c>
      <c r="J206" s="14">
        <v>-5.8083252662148865E-3</v>
      </c>
      <c r="K206" s="14">
        <v>-6.0421265713224148E-3</v>
      </c>
    </row>
    <row r="207" spans="2:11" x14ac:dyDescent="0.25">
      <c r="B207" s="29">
        <v>199</v>
      </c>
      <c r="C207" s="30">
        <v>0.14462209302325582</v>
      </c>
      <c r="D207" s="41">
        <v>-1.124991076182599E-2</v>
      </c>
      <c r="E207" s="41">
        <v>-2.9421802732697566E-3</v>
      </c>
      <c r="F207" s="41">
        <v>-2.5876155674933177E-3</v>
      </c>
      <c r="G207" s="41">
        <v>-1.5776432610156378E-3</v>
      </c>
      <c r="H207" s="14">
        <v>-1.0061668289516379E-2</v>
      </c>
      <c r="I207" s="14">
        <v>-1.0736180621654601E-2</v>
      </c>
      <c r="J207" s="14">
        <v>-5.7729568284147215E-3</v>
      </c>
      <c r="K207" s="14">
        <v>-5.9993118696712424E-3</v>
      </c>
    </row>
    <row r="208" spans="2:11" x14ac:dyDescent="0.25">
      <c r="B208" s="29">
        <v>200</v>
      </c>
      <c r="C208" s="30">
        <v>0.14534883720930233</v>
      </c>
      <c r="D208" s="41">
        <v>-7.9219599468356144E-3</v>
      </c>
      <c r="E208" s="41">
        <v>-3.6944795269177044E-3</v>
      </c>
      <c r="F208" s="41">
        <v>-5.7713015568339188E-5</v>
      </c>
      <c r="G208" s="41">
        <v>-4.1158689860981042E-3</v>
      </c>
      <c r="H208" s="14">
        <v>-1.0024583223490091E-2</v>
      </c>
      <c r="I208" s="14">
        <v>-1.070590500916524E-2</v>
      </c>
      <c r="J208" s="14">
        <v>-5.6819047004786905E-3</v>
      </c>
      <c r="K208" s="14">
        <v>-5.9979413350681248E-3</v>
      </c>
    </row>
    <row r="209" spans="2:11" x14ac:dyDescent="0.25">
      <c r="B209" s="29">
        <v>201</v>
      </c>
      <c r="C209" s="30">
        <v>0.14607558139534885</v>
      </c>
      <c r="D209" s="41">
        <v>8.4746547344079215E-3</v>
      </c>
      <c r="E209" s="41">
        <v>4.9758316747225972E-3</v>
      </c>
      <c r="F209" s="41">
        <v>5.2447014399463754E-3</v>
      </c>
      <c r="G209" s="41">
        <v>-1.9548938771426719E-3</v>
      </c>
      <c r="H209" s="14">
        <v>-1.0013488812663396E-2</v>
      </c>
      <c r="I209" s="14">
        <v>-1.0605464299770051E-2</v>
      </c>
      <c r="J209" s="14">
        <v>-5.6707677584282301E-3</v>
      </c>
      <c r="K209" s="14">
        <v>-5.9895150441165342E-3</v>
      </c>
    </row>
    <row r="210" spans="2:11" x14ac:dyDescent="0.25">
      <c r="B210" s="29">
        <v>202</v>
      </c>
      <c r="C210" s="30">
        <v>0.14680232558139536</v>
      </c>
      <c r="D210" s="41">
        <v>1.2478149763437991E-2</v>
      </c>
      <c r="E210" s="41">
        <v>-2.2634035931531349E-3</v>
      </c>
      <c r="F210" s="41">
        <v>1.207821911958229E-2</v>
      </c>
      <c r="G210" s="41">
        <v>6.178414654859131E-4</v>
      </c>
      <c r="H210" s="14">
        <v>-9.9953938303926071E-3</v>
      </c>
      <c r="I210" s="14">
        <v>-1.0584961873137844E-2</v>
      </c>
      <c r="J210" s="14">
        <v>-5.6245830996897173E-3</v>
      </c>
      <c r="K210" s="14">
        <v>-5.9435134801572266E-3</v>
      </c>
    </row>
    <row r="211" spans="2:11" x14ac:dyDescent="0.25">
      <c r="B211" s="29">
        <v>203</v>
      </c>
      <c r="C211" s="30">
        <v>0.14752906976744187</v>
      </c>
      <c r="D211" s="41">
        <v>1.6169521059539487E-2</v>
      </c>
      <c r="E211" s="41">
        <v>-1.0397466798998112E-3</v>
      </c>
      <c r="F211" s="41">
        <v>-5.8607776055707994E-5</v>
      </c>
      <c r="G211" s="41">
        <v>-2.216493234243866E-3</v>
      </c>
      <c r="H211" s="14">
        <v>-9.9511381241806918E-3</v>
      </c>
      <c r="I211" s="14">
        <v>-1.0552405829796108E-2</v>
      </c>
      <c r="J211" s="14">
        <v>-5.5995892331024422E-3</v>
      </c>
      <c r="K211" s="14">
        <v>-5.9332214831821616E-3</v>
      </c>
    </row>
    <row r="212" spans="2:11" x14ac:dyDescent="0.25">
      <c r="B212" s="29">
        <v>204</v>
      </c>
      <c r="C212" s="30">
        <v>0.14825581395348839</v>
      </c>
      <c r="D212" s="41">
        <v>1.8004937263375119E-2</v>
      </c>
      <c r="E212" s="41">
        <v>-6.3514216776269228E-3</v>
      </c>
      <c r="F212" s="41">
        <v>1.9127702914201183E-3</v>
      </c>
      <c r="G212" s="41">
        <v>-1.9184615785402316E-3</v>
      </c>
      <c r="H212" s="14">
        <v>-9.9485603934222899E-3</v>
      </c>
      <c r="I212" s="14">
        <v>-1.054950150707179E-2</v>
      </c>
      <c r="J212" s="14">
        <v>-5.5565857902842852E-3</v>
      </c>
      <c r="K212" s="14">
        <v>-5.9129576302475954E-3</v>
      </c>
    </row>
    <row r="213" spans="2:11" x14ac:dyDescent="0.25">
      <c r="B213" s="29">
        <v>205</v>
      </c>
      <c r="C213" s="30">
        <v>0.14898255813953487</v>
      </c>
      <c r="D213" s="41">
        <v>6.460050997180976E-3</v>
      </c>
      <c r="E213" s="41">
        <v>3.9518634464532632E-3</v>
      </c>
      <c r="F213" s="41">
        <v>-2.8877184810616185E-4</v>
      </c>
      <c r="G213" s="41">
        <v>1.5828579360582574E-3</v>
      </c>
      <c r="H213" s="14">
        <v>-9.9275139170895699E-3</v>
      </c>
      <c r="I213" s="14">
        <v>-1.0548704005235332E-2</v>
      </c>
      <c r="J213" s="14">
        <v>-5.5501285519418131E-3</v>
      </c>
      <c r="K213" s="14">
        <v>-5.8836673958998272E-3</v>
      </c>
    </row>
    <row r="214" spans="2:11" x14ac:dyDescent="0.25">
      <c r="B214" s="29">
        <v>206</v>
      </c>
      <c r="C214" s="30">
        <v>0.14970930232558138</v>
      </c>
      <c r="D214" s="41">
        <v>-2.0087087082275336E-2</v>
      </c>
      <c r="E214" s="41">
        <v>1.7286556086456573E-2</v>
      </c>
      <c r="F214" s="41">
        <v>0</v>
      </c>
      <c r="G214" s="41">
        <v>2.1102352843804795E-4</v>
      </c>
      <c r="H214" s="14">
        <v>-9.8069030832323989E-3</v>
      </c>
      <c r="I214" s="14">
        <v>-1.0512736056214278E-2</v>
      </c>
      <c r="J214" s="14">
        <v>-5.5346208195949931E-3</v>
      </c>
      <c r="K214" s="14">
        <v>-5.8624146867079395E-3</v>
      </c>
    </row>
    <row r="215" spans="2:11" x14ac:dyDescent="0.25">
      <c r="B215" s="29">
        <v>207</v>
      </c>
      <c r="C215" s="30">
        <v>0.1504360465116279</v>
      </c>
      <c r="D215" s="41">
        <v>1.1904453752211981E-3</v>
      </c>
      <c r="E215" s="41">
        <v>5.7108891504760173E-3</v>
      </c>
      <c r="F215" s="41">
        <v>-1.1800745838165705E-2</v>
      </c>
      <c r="G215" s="41">
        <v>3.4548778819633252E-3</v>
      </c>
      <c r="H215" s="14">
        <v>-9.7903714290974442E-3</v>
      </c>
      <c r="I215" s="14">
        <v>-1.04480520453899E-2</v>
      </c>
      <c r="J215" s="14">
        <v>-5.5338027590438044E-3</v>
      </c>
      <c r="K215" s="14">
        <v>-5.8185899353487619E-3</v>
      </c>
    </row>
    <row r="216" spans="2:11" x14ac:dyDescent="0.25">
      <c r="B216" s="29">
        <v>208</v>
      </c>
      <c r="C216" s="30">
        <v>0.15116279069767441</v>
      </c>
      <c r="D216" s="41">
        <v>9.6899064553380848E-3</v>
      </c>
      <c r="E216" s="41">
        <v>2.7349318005354117E-3</v>
      </c>
      <c r="F216" s="41">
        <v>4.8000726650194725E-3</v>
      </c>
      <c r="G216" s="41">
        <v>3.2004653824773133E-3</v>
      </c>
      <c r="H216" s="14">
        <v>-9.7138982056779177E-3</v>
      </c>
      <c r="I216" s="14">
        <v>-1.0432483609924992E-2</v>
      </c>
      <c r="J216" s="14">
        <v>-5.5262886065489125E-3</v>
      </c>
      <c r="K216" s="14">
        <v>-5.7945241979842528E-3</v>
      </c>
    </row>
    <row r="217" spans="2:11" x14ac:dyDescent="0.25">
      <c r="B217" s="29">
        <v>209</v>
      </c>
      <c r="C217" s="30">
        <v>0.15188953488372092</v>
      </c>
      <c r="D217" s="41">
        <v>1.2608227272339484E-2</v>
      </c>
      <c r="E217" s="41">
        <v>4.9695470777908479E-3</v>
      </c>
      <c r="F217" s="41">
        <v>-1.106154101517598E-3</v>
      </c>
      <c r="G217" s="41">
        <v>1.1649152976342058E-3</v>
      </c>
      <c r="H217" s="14">
        <v>-9.7126425224718371E-3</v>
      </c>
      <c r="I217" s="14">
        <v>-1.0283704540743566E-2</v>
      </c>
      <c r="J217" s="14">
        <v>-5.5056725006459306E-3</v>
      </c>
      <c r="K217" s="14">
        <v>-5.7526308814716213E-3</v>
      </c>
    </row>
    <row r="218" spans="2:11" x14ac:dyDescent="0.25">
      <c r="B218" s="29">
        <v>210</v>
      </c>
      <c r="C218" s="30">
        <v>0.15261627906976744</v>
      </c>
      <c r="D218" s="41">
        <v>-8.0373293941943154E-3</v>
      </c>
      <c r="E218" s="41">
        <v>1.5996412019733786E-2</v>
      </c>
      <c r="F218" s="41">
        <v>5.3650765530557365E-3</v>
      </c>
      <c r="G218" s="41">
        <v>2.7713579591481354E-3</v>
      </c>
      <c r="H218" s="14">
        <v>-9.6053091163115223E-3</v>
      </c>
      <c r="I218" s="14">
        <v>-1.025641025641022E-2</v>
      </c>
      <c r="J218" s="14">
        <v>-5.460303592879967E-3</v>
      </c>
      <c r="K218" s="14">
        <v>-5.7290454486195854E-3</v>
      </c>
    </row>
    <row r="219" spans="2:11" x14ac:dyDescent="0.25">
      <c r="B219" s="29">
        <v>211</v>
      </c>
      <c r="C219" s="30">
        <v>0.15334302325581395</v>
      </c>
      <c r="D219" s="41">
        <v>1.1936934339421218E-2</v>
      </c>
      <c r="E219" s="41">
        <v>1.1081178974057027E-2</v>
      </c>
      <c r="F219" s="41">
        <v>8.0043492860555343E-3</v>
      </c>
      <c r="G219" s="41">
        <v>2.8626316234301452E-3</v>
      </c>
      <c r="H219" s="14">
        <v>-9.586488092857226E-3</v>
      </c>
      <c r="I219" s="14">
        <v>-1.0215344330179454E-2</v>
      </c>
      <c r="J219" s="14">
        <v>-5.438721727301532E-3</v>
      </c>
      <c r="K219" s="14">
        <v>-5.7106367033985536E-3</v>
      </c>
    </row>
    <row r="220" spans="2:11" x14ac:dyDescent="0.25">
      <c r="B220" s="29">
        <v>212</v>
      </c>
      <c r="C220" s="30">
        <v>0.15406976744186046</v>
      </c>
      <c r="D220" s="41">
        <v>-9.5575040880772314E-4</v>
      </c>
      <c r="E220" s="41">
        <v>7.0527388135732672E-4</v>
      </c>
      <c r="F220" s="41">
        <v>-4.7769266872623728E-3</v>
      </c>
      <c r="G220" s="41">
        <v>-1.8410697427467149E-3</v>
      </c>
      <c r="H220" s="14">
        <v>-9.4803501005761293E-3</v>
      </c>
      <c r="I220" s="14">
        <v>-1.0169697542660727E-2</v>
      </c>
      <c r="J220" s="14">
        <v>-5.426957581127545E-3</v>
      </c>
      <c r="K220" s="14">
        <v>-5.7082194420584606E-3</v>
      </c>
    </row>
    <row r="221" spans="2:11" x14ac:dyDescent="0.25">
      <c r="B221" s="29">
        <v>213</v>
      </c>
      <c r="C221" s="30">
        <v>0.15479651162790697</v>
      </c>
      <c r="D221" s="41">
        <v>4.7054104499849045E-3</v>
      </c>
      <c r="E221" s="41">
        <v>5.8172055039706905E-4</v>
      </c>
      <c r="F221" s="41">
        <v>2.48635198230307E-3</v>
      </c>
      <c r="G221" s="41">
        <v>2.2710271711058995E-3</v>
      </c>
      <c r="H221" s="14">
        <v>-9.4468386418086192E-3</v>
      </c>
      <c r="I221" s="14">
        <v>-1.0088031659092112E-2</v>
      </c>
      <c r="J221" s="14">
        <v>-5.4132910645774412E-3</v>
      </c>
      <c r="K221" s="14">
        <v>-5.6993096765412419E-3</v>
      </c>
    </row>
    <row r="222" spans="2:11" x14ac:dyDescent="0.25">
      <c r="B222" s="29">
        <v>214</v>
      </c>
      <c r="C222" s="30">
        <v>0.15552325581395349</v>
      </c>
      <c r="D222" s="41">
        <v>-1.5398961182904185E-4</v>
      </c>
      <c r="E222" s="41">
        <v>-5.992710359786213E-3</v>
      </c>
      <c r="F222" s="41">
        <v>-3.9220297900358636E-3</v>
      </c>
      <c r="G222" s="41">
        <v>-4.8394958310643112E-3</v>
      </c>
      <c r="H222" s="14">
        <v>-9.4029149036199966E-3</v>
      </c>
      <c r="I222" s="14">
        <v>-9.9614051388341451E-3</v>
      </c>
      <c r="J222" s="14">
        <v>-5.4029460274128693E-3</v>
      </c>
      <c r="K222" s="14">
        <v>-5.6656264351377496E-3</v>
      </c>
    </row>
    <row r="223" spans="2:11" x14ac:dyDescent="0.25">
      <c r="B223" s="29">
        <v>215</v>
      </c>
      <c r="C223" s="30">
        <v>0.15625</v>
      </c>
      <c r="D223" s="41">
        <v>2.6649782027153741E-3</v>
      </c>
      <c r="E223" s="41">
        <v>1.0044316469079773E-2</v>
      </c>
      <c r="F223" s="41">
        <v>-1.3314307709302309E-3</v>
      </c>
      <c r="G223" s="41">
        <v>3.8748033936526934E-3</v>
      </c>
      <c r="H223" s="14">
        <v>-9.3911554206651537E-3</v>
      </c>
      <c r="I223" s="14">
        <v>-9.9485010503536087E-3</v>
      </c>
      <c r="J223" s="14">
        <v>-5.3693402039260985E-3</v>
      </c>
      <c r="K223" s="14">
        <v>-5.6249778542484695E-3</v>
      </c>
    </row>
    <row r="224" spans="2:11" x14ac:dyDescent="0.25">
      <c r="B224" s="29">
        <v>216</v>
      </c>
      <c r="C224" s="30">
        <v>0.15697674418604651</v>
      </c>
      <c r="D224" s="41">
        <v>2.325988726211986E-2</v>
      </c>
      <c r="E224" s="41">
        <v>7.9065468435057795E-4</v>
      </c>
      <c r="F224" s="41">
        <v>4.2903880690448037E-3</v>
      </c>
      <c r="G224" s="41">
        <v>-8.598494834059613E-4</v>
      </c>
      <c r="H224" s="14">
        <v>-9.3657558883702974E-3</v>
      </c>
      <c r="I224" s="14">
        <v>-9.8402208243755229E-3</v>
      </c>
      <c r="J224" s="14">
        <v>-5.3569414683658501E-3</v>
      </c>
      <c r="K224" s="14">
        <v>-5.6140593994171263E-3</v>
      </c>
    </row>
    <row r="225" spans="2:11" x14ac:dyDescent="0.25">
      <c r="B225" s="29">
        <v>217</v>
      </c>
      <c r="C225" s="30">
        <v>0.15770348837209303</v>
      </c>
      <c r="D225" s="41">
        <v>6.4437961914797339E-3</v>
      </c>
      <c r="E225" s="41">
        <v>-2.2343384889284557E-2</v>
      </c>
      <c r="F225" s="41">
        <v>-5.5995892331024422E-3</v>
      </c>
      <c r="G225" s="41">
        <v>-7.8267972427455753E-3</v>
      </c>
      <c r="H225" s="14">
        <v>-9.3656199689555741E-3</v>
      </c>
      <c r="I225" s="14">
        <v>-9.8084780211012967E-3</v>
      </c>
      <c r="J225" s="14">
        <v>-5.3466157570675188E-3</v>
      </c>
      <c r="K225" s="14">
        <v>-5.5660507695021628E-3</v>
      </c>
    </row>
    <row r="226" spans="2:11" x14ac:dyDescent="0.25">
      <c r="B226" s="29">
        <v>218</v>
      </c>
      <c r="C226" s="30">
        <v>0.15843023255813954</v>
      </c>
      <c r="D226" s="41">
        <v>3.3236128336741068E-3</v>
      </c>
      <c r="E226" s="41">
        <v>2.0167990712708583E-2</v>
      </c>
      <c r="F226" s="41">
        <v>9.2922774247372608E-4</v>
      </c>
      <c r="G226" s="41">
        <v>8.6226664258531194E-3</v>
      </c>
      <c r="H226" s="14">
        <v>-9.3629854243183486E-3</v>
      </c>
      <c r="I226" s="14">
        <v>-9.7257227575980876E-3</v>
      </c>
      <c r="J226" s="14">
        <v>-5.3223266170639993E-3</v>
      </c>
      <c r="K226" s="14">
        <v>-5.554251784365638E-3</v>
      </c>
    </row>
    <row r="227" spans="2:11" x14ac:dyDescent="0.25">
      <c r="B227" s="29">
        <v>219</v>
      </c>
      <c r="C227" s="30">
        <v>0.15915697674418605</v>
      </c>
      <c r="D227" s="41">
        <v>-5.2523158732668291E-3</v>
      </c>
      <c r="E227" s="41">
        <v>-8.2000133877769832E-3</v>
      </c>
      <c r="F227" s="41">
        <v>-2.9123149074916643E-4</v>
      </c>
      <c r="G227" s="41">
        <v>-1.1221635951308209E-3</v>
      </c>
      <c r="H227" s="14">
        <v>-9.3629420498212435E-3</v>
      </c>
      <c r="I227" s="14">
        <v>-9.6944822828028965E-3</v>
      </c>
      <c r="J227" s="14">
        <v>-5.2998638171741774E-3</v>
      </c>
      <c r="K227" s="14">
        <v>-5.5301323597391604E-3</v>
      </c>
    </row>
    <row r="228" spans="2:11" x14ac:dyDescent="0.25">
      <c r="B228" s="29">
        <v>220</v>
      </c>
      <c r="C228" s="30">
        <v>0.15988372093023256</v>
      </c>
      <c r="D228" s="41">
        <v>-4.7516906757761592E-3</v>
      </c>
      <c r="E228" s="41">
        <v>-5.9730705632234926E-3</v>
      </c>
      <c r="F228" s="41">
        <v>2.9592894442143081E-3</v>
      </c>
      <c r="G228" s="41">
        <v>1.3247630815178993E-3</v>
      </c>
      <c r="H228" s="14">
        <v>-9.3551620447710482E-3</v>
      </c>
      <c r="I228" s="14">
        <v>-9.5955068513199349E-3</v>
      </c>
      <c r="J228" s="14">
        <v>-5.294200064516863E-3</v>
      </c>
      <c r="K228" s="14">
        <v>-5.5237116134285065E-3</v>
      </c>
    </row>
    <row r="229" spans="2:11" x14ac:dyDescent="0.25">
      <c r="B229" s="29">
        <v>221</v>
      </c>
      <c r="C229" s="30">
        <v>0.16061046511627908</v>
      </c>
      <c r="D229" s="41">
        <v>9.6232881396938145E-3</v>
      </c>
      <c r="E229" s="41">
        <v>4.0965055223609603E-3</v>
      </c>
      <c r="F229" s="41">
        <v>4.4554303629118497E-3</v>
      </c>
      <c r="G229" s="41">
        <v>-2.1554890297004105E-5</v>
      </c>
      <c r="H229" s="14">
        <v>-9.2609299763405373E-3</v>
      </c>
      <c r="I229" s="14">
        <v>-9.589893415571149E-3</v>
      </c>
      <c r="J229" s="14">
        <v>-5.2925108126566922E-3</v>
      </c>
      <c r="K229" s="14">
        <v>-5.4766633808382087E-3</v>
      </c>
    </row>
    <row r="230" spans="2:11" x14ac:dyDescent="0.25">
      <c r="B230" s="29">
        <v>222</v>
      </c>
      <c r="C230" s="30">
        <v>0.16133720930232559</v>
      </c>
      <c r="D230" s="41">
        <v>-1.3919875502490099E-3</v>
      </c>
      <c r="E230" s="41">
        <v>-2.4343514031330837E-3</v>
      </c>
      <c r="F230" s="41">
        <v>3.6280521285161349E-3</v>
      </c>
      <c r="G230" s="41">
        <v>3.3587889413712272E-3</v>
      </c>
      <c r="H230" s="14">
        <v>-9.2259854064161706E-3</v>
      </c>
      <c r="I230" s="14">
        <v>-9.5490896716011742E-3</v>
      </c>
      <c r="J230" s="14">
        <v>-5.285965998380715E-3</v>
      </c>
      <c r="K230" s="14">
        <v>-5.4616563434527702E-3</v>
      </c>
    </row>
    <row r="231" spans="2:11" x14ac:dyDescent="0.25">
      <c r="B231" s="29">
        <v>223</v>
      </c>
      <c r="C231" s="30">
        <v>0.1620639534883721</v>
      </c>
      <c r="D231" s="41">
        <v>-6.25632559075641E-3</v>
      </c>
      <c r="E231" s="41">
        <v>6.6543145717061769E-3</v>
      </c>
      <c r="F231" s="41">
        <v>-1.4354965176174295E-3</v>
      </c>
      <c r="G231" s="41">
        <v>-1.3818356431070766E-3</v>
      </c>
      <c r="H231" s="14">
        <v>-9.175754609953013E-3</v>
      </c>
      <c r="I231" s="14">
        <v>-9.5480255305900874E-3</v>
      </c>
      <c r="J231" s="14">
        <v>-5.2819807427784138E-3</v>
      </c>
      <c r="K231" s="14">
        <v>-5.4434133748027637E-3</v>
      </c>
    </row>
    <row r="232" spans="2:11" x14ac:dyDescent="0.25">
      <c r="B232" s="29">
        <v>224</v>
      </c>
      <c r="C232" s="30">
        <v>0.16279069767441862</v>
      </c>
      <c r="D232" s="41">
        <v>2.269392568136143E-3</v>
      </c>
      <c r="E232" s="41">
        <v>1.4589856682715618E-2</v>
      </c>
      <c r="F232" s="41">
        <v>6.3213985823280527E-3</v>
      </c>
      <c r="G232" s="41">
        <v>5.2041705031145025E-3</v>
      </c>
      <c r="H232" s="14">
        <v>-9.1717669088197118E-3</v>
      </c>
      <c r="I232" s="14">
        <v>-9.5194016977143692E-3</v>
      </c>
      <c r="J232" s="14">
        <v>-5.2734922861150668E-3</v>
      </c>
      <c r="K232" s="14">
        <v>-5.4426500475265099E-3</v>
      </c>
    </row>
    <row r="233" spans="2:11" x14ac:dyDescent="0.25">
      <c r="B233" s="29">
        <v>225</v>
      </c>
      <c r="C233" s="30">
        <v>0.16351744186046513</v>
      </c>
      <c r="D233" s="41">
        <v>-1.2589800732693231E-2</v>
      </c>
      <c r="E233" s="41">
        <v>1.4258376381314664E-2</v>
      </c>
      <c r="F233" s="41">
        <v>-1.198048888477965E-3</v>
      </c>
      <c r="G233" s="41">
        <v>-1.6648338827928383E-3</v>
      </c>
      <c r="H233" s="14">
        <v>-9.1383812010443766E-3</v>
      </c>
      <c r="I233" s="14">
        <v>-9.5072475841385673E-3</v>
      </c>
      <c r="J233" s="14">
        <v>-5.2698729683252621E-3</v>
      </c>
      <c r="K233" s="14">
        <v>-5.4357811654370371E-3</v>
      </c>
    </row>
    <row r="234" spans="2:11" x14ac:dyDescent="0.25">
      <c r="B234" s="29">
        <v>226</v>
      </c>
      <c r="C234" s="30">
        <v>0.16424418604651161</v>
      </c>
      <c r="D234" s="41">
        <v>-7.3066085337004534E-5</v>
      </c>
      <c r="E234" s="41">
        <v>0</v>
      </c>
      <c r="F234" s="41">
        <v>2.8009608533090535E-3</v>
      </c>
      <c r="G234" s="41">
        <v>5.6019217066181068E-4</v>
      </c>
      <c r="H234" s="14">
        <v>-9.1106739828140659E-3</v>
      </c>
      <c r="I234" s="14">
        <v>-9.4906559179185335E-3</v>
      </c>
      <c r="J234" s="14">
        <v>-5.2695581678151582E-3</v>
      </c>
      <c r="K234" s="14">
        <v>-5.4061106904679255E-3</v>
      </c>
    </row>
    <row r="235" spans="2:11" x14ac:dyDescent="0.25">
      <c r="B235" s="29">
        <v>227</v>
      </c>
      <c r="C235" s="30">
        <v>0.16497093023255813</v>
      </c>
      <c r="D235" s="41">
        <v>2.8270087467277805E-3</v>
      </c>
      <c r="E235" s="41">
        <v>-5.1476682807659602E-3</v>
      </c>
      <c r="F235" s="41">
        <v>-5.1889990202513836E-3</v>
      </c>
      <c r="G235" s="41">
        <v>-5.0990292747520984E-3</v>
      </c>
      <c r="H235" s="14">
        <v>-9.109981288627611E-3</v>
      </c>
      <c r="I235" s="14">
        <v>-9.4845360824741265E-3</v>
      </c>
      <c r="J235" s="14">
        <v>-5.26147142527289E-3</v>
      </c>
      <c r="K235" s="14">
        <v>-5.4038732546993103E-3</v>
      </c>
    </row>
    <row r="236" spans="2:11" x14ac:dyDescent="0.25">
      <c r="B236" s="29">
        <v>228</v>
      </c>
      <c r="C236" s="30">
        <v>0.16569767441860464</v>
      </c>
      <c r="D236" s="41">
        <v>-5.5852464936228677E-3</v>
      </c>
      <c r="E236" s="41">
        <v>7.18044288533215E-3</v>
      </c>
      <c r="F236" s="41">
        <v>7.1078071535948251E-3</v>
      </c>
      <c r="G236" s="41">
        <v>4.6081482777028619E-3</v>
      </c>
      <c r="H236" s="14">
        <v>-9.1083311608752826E-3</v>
      </c>
      <c r="I236" s="14">
        <v>-9.4740624534402906E-3</v>
      </c>
      <c r="J236" s="14">
        <v>-5.1889990202513836E-3</v>
      </c>
      <c r="K236" s="14">
        <v>-5.4029321294648989E-3</v>
      </c>
    </row>
    <row r="237" spans="2:11" x14ac:dyDescent="0.25">
      <c r="B237" s="29">
        <v>229</v>
      </c>
      <c r="C237" s="30">
        <v>0.16642441860465115</v>
      </c>
      <c r="D237" s="41">
        <v>1.4461649899508497E-2</v>
      </c>
      <c r="E237" s="41">
        <v>-1.2201360544217721E-2</v>
      </c>
      <c r="F237" s="41">
        <v>2.6745434159600734E-3</v>
      </c>
      <c r="G237" s="41">
        <v>-6.0421265713224148E-3</v>
      </c>
      <c r="H237" s="14">
        <v>-9.1063328832103885E-3</v>
      </c>
      <c r="I237" s="14">
        <v>-9.449977365323714E-3</v>
      </c>
      <c r="J237" s="14">
        <v>-5.1563539587493601E-3</v>
      </c>
      <c r="K237" s="14">
        <v>-5.3628084467008293E-3</v>
      </c>
    </row>
    <row r="238" spans="2:11" x14ac:dyDescent="0.25">
      <c r="B238" s="29">
        <v>230</v>
      </c>
      <c r="C238" s="30">
        <v>0.16715116279069767</v>
      </c>
      <c r="D238" s="41">
        <v>3.3240460572850922E-3</v>
      </c>
      <c r="E238" s="41">
        <v>6.8757299953721152E-3</v>
      </c>
      <c r="F238" s="41">
        <v>-6.0731418094116529E-3</v>
      </c>
      <c r="G238" s="41">
        <v>1.9773464862534733E-3</v>
      </c>
      <c r="H238" s="14">
        <v>-9.0549069757850376E-3</v>
      </c>
      <c r="I238" s="14">
        <v>-9.4393359915371233E-3</v>
      </c>
      <c r="J238" s="14">
        <v>-5.1508569449447705E-3</v>
      </c>
      <c r="K238" s="14">
        <v>-5.3347243882891698E-3</v>
      </c>
    </row>
    <row r="239" spans="2:11" x14ac:dyDescent="0.25">
      <c r="B239" s="29">
        <v>231</v>
      </c>
      <c r="C239" s="30">
        <v>0.16787790697674418</v>
      </c>
      <c r="D239" s="41">
        <v>8.1742559326942483E-3</v>
      </c>
      <c r="E239" s="41">
        <v>3.1736304143228367E-3</v>
      </c>
      <c r="F239" s="41">
        <v>1.0507940037586039E-2</v>
      </c>
      <c r="G239" s="41">
        <v>1.5431596583311614E-3</v>
      </c>
      <c r="H239" s="14">
        <v>-9.0139050260485964E-3</v>
      </c>
      <c r="I239" s="14">
        <v>-9.4110828083768805E-3</v>
      </c>
      <c r="J239" s="14">
        <v>-5.1474530831099319E-3</v>
      </c>
      <c r="K239" s="14">
        <v>-5.247481150369015E-3</v>
      </c>
    </row>
    <row r="240" spans="2:11" x14ac:dyDescent="0.25">
      <c r="B240" s="29">
        <v>232</v>
      </c>
      <c r="C240" s="30">
        <v>0.16860465116279069</v>
      </c>
      <c r="D240" s="41">
        <v>-5.9525852676229419E-3</v>
      </c>
      <c r="E240" s="41">
        <v>1.8545184797311709E-3</v>
      </c>
      <c r="F240" s="41">
        <v>1.203671808173068E-2</v>
      </c>
      <c r="G240" s="41">
        <v>4.9220659742018396E-3</v>
      </c>
      <c r="H240" s="14">
        <v>-8.9982522625414729E-3</v>
      </c>
      <c r="I240" s="14">
        <v>-9.3973186317504176E-3</v>
      </c>
      <c r="J240" s="14">
        <v>-5.1383350323032095E-3</v>
      </c>
      <c r="K240" s="14">
        <v>-5.1802178134143341E-3</v>
      </c>
    </row>
    <row r="241" spans="2:11" x14ac:dyDescent="0.25">
      <c r="B241" s="29">
        <v>233</v>
      </c>
      <c r="C241" s="30">
        <v>0.1693313953488372</v>
      </c>
      <c r="D241" s="41">
        <v>-1.854191482448234E-2</v>
      </c>
      <c r="E241" s="41">
        <v>8.0358892833032325E-3</v>
      </c>
      <c r="F241" s="41">
        <v>5.2478267054454353E-3</v>
      </c>
      <c r="G241" s="41">
        <v>4.3269982404246839E-3</v>
      </c>
      <c r="H241" s="14">
        <v>-8.9659445748593303E-3</v>
      </c>
      <c r="I241" s="14">
        <v>-9.1795112711869908E-3</v>
      </c>
      <c r="J241" s="14">
        <v>-5.119590646592509E-3</v>
      </c>
      <c r="K241" s="14">
        <v>-5.1714179533808302E-3</v>
      </c>
    </row>
    <row r="242" spans="2:11" x14ac:dyDescent="0.25">
      <c r="B242" s="29">
        <v>234</v>
      </c>
      <c r="C242" s="30">
        <v>0.17005813953488372</v>
      </c>
      <c r="D242" s="41">
        <v>4.4566762961728967E-3</v>
      </c>
      <c r="E242" s="41">
        <v>1.1698496370549538E-2</v>
      </c>
      <c r="F242" s="41">
        <v>-1.6105224937462692E-3</v>
      </c>
      <c r="G242" s="41">
        <v>3.8628848263473365E-4</v>
      </c>
      <c r="H242" s="14">
        <v>-8.940748598272541E-3</v>
      </c>
      <c r="I242" s="14">
        <v>-9.109880407737303E-3</v>
      </c>
      <c r="J242" s="14">
        <v>-5.0661726877100355E-3</v>
      </c>
      <c r="K242" s="14">
        <v>-5.143272553560463E-3</v>
      </c>
    </row>
    <row r="243" spans="2:11" x14ac:dyDescent="0.25">
      <c r="B243" s="29">
        <v>235</v>
      </c>
      <c r="C243" s="30">
        <v>0.17078488372093023</v>
      </c>
      <c r="D243" s="41">
        <v>-6.4250211221066923E-3</v>
      </c>
      <c r="E243" s="41">
        <v>-5.3171611911295713E-3</v>
      </c>
      <c r="F243" s="41">
        <v>-2.892608743962688E-3</v>
      </c>
      <c r="G243" s="41">
        <v>-2.6416866056299341E-3</v>
      </c>
      <c r="H243" s="14">
        <v>-8.9377754031686463E-3</v>
      </c>
      <c r="I243" s="14">
        <v>-9.0597775252584389E-3</v>
      </c>
      <c r="J243" s="14">
        <v>-5.0380514411095811E-3</v>
      </c>
      <c r="K243" s="14">
        <v>-5.1396980563919621E-3</v>
      </c>
    </row>
    <row r="244" spans="2:11" x14ac:dyDescent="0.25">
      <c r="B244" s="29">
        <v>236</v>
      </c>
      <c r="C244" s="30">
        <v>0.17151162790697674</v>
      </c>
      <c r="D244" s="41">
        <v>8.3459911567579943E-3</v>
      </c>
      <c r="E244" s="41">
        <v>-1.750732602698557E-2</v>
      </c>
      <c r="F244" s="41">
        <v>-8.3800838761505236E-4</v>
      </c>
      <c r="G244" s="41">
        <v>-4.6244341679153372E-3</v>
      </c>
      <c r="H244" s="14">
        <v>-8.9302548353020761E-3</v>
      </c>
      <c r="I244" s="14">
        <v>-9.0539636812593249E-3</v>
      </c>
      <c r="J244" s="14">
        <v>-5.033994615246562E-3</v>
      </c>
      <c r="K244" s="14">
        <v>-5.0990292747520984E-3</v>
      </c>
    </row>
    <row r="245" spans="2:11" x14ac:dyDescent="0.25">
      <c r="B245" s="29">
        <v>237</v>
      </c>
      <c r="C245" s="30">
        <v>0.17223837209302326</v>
      </c>
      <c r="D245" s="41">
        <v>3.1856487285594683E-2</v>
      </c>
      <c r="E245" s="41">
        <v>-2.5783895990384442E-3</v>
      </c>
      <c r="F245" s="41">
        <v>3.183223852884387E-3</v>
      </c>
      <c r="G245" s="41">
        <v>1.2498524172928074E-3</v>
      </c>
      <c r="H245" s="14">
        <v>-8.9233757377062961E-3</v>
      </c>
      <c r="I245" s="14">
        <v>-9.0020187142040298E-3</v>
      </c>
      <c r="J245" s="14">
        <v>-5.0212006248604446E-3</v>
      </c>
      <c r="K245" s="14">
        <v>-5.0219028204617549E-3</v>
      </c>
    </row>
    <row r="246" spans="2:11" x14ac:dyDescent="0.25">
      <c r="B246" s="29">
        <v>238</v>
      </c>
      <c r="C246" s="30">
        <v>0.17296511627906977</v>
      </c>
      <c r="D246" s="41">
        <v>1.936088010937352E-3</v>
      </c>
      <c r="E246" s="41">
        <v>2.3046421451573984E-2</v>
      </c>
      <c r="F246" s="41">
        <v>9.0744396651689652E-3</v>
      </c>
      <c r="G246" s="41">
        <v>4.1673055336965527E-3</v>
      </c>
      <c r="H246" s="14">
        <v>-8.7164668228969511E-3</v>
      </c>
      <c r="I246" s="14">
        <v>-8.9852524660611888E-3</v>
      </c>
      <c r="J246" s="14">
        <v>-4.9988628511969946E-3</v>
      </c>
      <c r="K246" s="14">
        <v>-5.0065864410560488E-3</v>
      </c>
    </row>
    <row r="247" spans="2:11" x14ac:dyDescent="0.25">
      <c r="B247" s="29">
        <v>239</v>
      </c>
      <c r="C247" s="30">
        <v>0.17369186046511628</v>
      </c>
      <c r="D247" s="41">
        <v>1.0261891889836923E-2</v>
      </c>
      <c r="E247" s="41">
        <v>2.7623717852629515E-3</v>
      </c>
      <c r="F247" s="41">
        <v>8.0528921240978768E-3</v>
      </c>
      <c r="G247" s="41">
        <v>1.6900647258550896E-3</v>
      </c>
      <c r="H247" s="14">
        <v>-8.6234844064060345E-3</v>
      </c>
      <c r="I247" s="14">
        <v>-8.9186642939390604E-3</v>
      </c>
      <c r="J247" s="14">
        <v>-4.9848329146621184E-3</v>
      </c>
      <c r="K247" s="14">
        <v>-4.9849655412901768E-3</v>
      </c>
    </row>
    <row r="248" spans="2:11" x14ac:dyDescent="0.25">
      <c r="B248" s="29">
        <v>240</v>
      </c>
      <c r="C248" s="30">
        <v>0.1744186046511628</v>
      </c>
      <c r="D248" s="41">
        <v>-3.4228885245314814E-3</v>
      </c>
      <c r="E248" s="41">
        <v>3.9933373195524258E-3</v>
      </c>
      <c r="F248" s="41">
        <v>1.8067632535996303E-3</v>
      </c>
      <c r="G248" s="41">
        <v>2.3442282605736333E-3</v>
      </c>
      <c r="H248" s="14">
        <v>-8.5865458892575575E-3</v>
      </c>
      <c r="I248" s="14">
        <v>-8.8513195525468102E-3</v>
      </c>
      <c r="J248" s="14">
        <v>-4.9515845070423614E-3</v>
      </c>
      <c r="K248" s="14">
        <v>-4.9821417556795266E-3</v>
      </c>
    </row>
    <row r="249" spans="2:11" x14ac:dyDescent="0.25">
      <c r="B249" s="29">
        <v>241</v>
      </c>
      <c r="C249" s="30">
        <v>0.17514534883720931</v>
      </c>
      <c r="D249" s="41">
        <v>1.6408194976741328E-2</v>
      </c>
      <c r="E249" s="41">
        <v>-1.6058704668722168E-3</v>
      </c>
      <c r="F249" s="41">
        <v>3.6046012540629224E-3</v>
      </c>
      <c r="G249" s="41">
        <v>1.4908807468113406E-3</v>
      </c>
      <c r="H249" s="14">
        <v>-8.5839765770562293E-3</v>
      </c>
      <c r="I249" s="14">
        <v>-8.7915362837132083E-3</v>
      </c>
      <c r="J249" s="14">
        <v>-4.936151947633749E-3</v>
      </c>
      <c r="K249" s="14">
        <v>-4.9142494137721657E-3</v>
      </c>
    </row>
    <row r="250" spans="2:11" x14ac:dyDescent="0.25">
      <c r="B250" s="29">
        <v>242</v>
      </c>
      <c r="C250" s="30">
        <v>0.17587209302325582</v>
      </c>
      <c r="D250" s="41">
        <v>-4.2088276455995921E-3</v>
      </c>
      <c r="E250" s="41">
        <v>-2.4925702233725699E-3</v>
      </c>
      <c r="F250" s="41">
        <v>3.9749078841122554E-3</v>
      </c>
      <c r="G250" s="41">
        <v>-1.9932004753548506E-3</v>
      </c>
      <c r="H250" s="14">
        <v>-8.5643101837432623E-3</v>
      </c>
      <c r="I250" s="14">
        <v>-8.726304631843651E-3</v>
      </c>
      <c r="J250" s="14">
        <v>-4.8822634194277681E-3</v>
      </c>
      <c r="K250" s="14">
        <v>-4.9058174966968293E-3</v>
      </c>
    </row>
    <row r="251" spans="2:11" x14ac:dyDescent="0.25">
      <c r="B251" s="29">
        <v>243</v>
      </c>
      <c r="C251" s="30">
        <v>0.17659883720930233</v>
      </c>
      <c r="D251" s="41">
        <v>-6.7428361809831472E-3</v>
      </c>
      <c r="E251" s="41">
        <v>6.2363180095039716E-3</v>
      </c>
      <c r="F251" s="41">
        <v>-8.3498370974572911E-3</v>
      </c>
      <c r="G251" s="41">
        <v>-2.0027489330430642E-3</v>
      </c>
      <c r="H251" s="14">
        <v>-8.5620750440695836E-3</v>
      </c>
      <c r="I251" s="14">
        <v>-8.7246844731434514E-3</v>
      </c>
      <c r="J251" s="14">
        <v>-4.8461337934410098E-3</v>
      </c>
      <c r="K251" s="14">
        <v>-4.8927574643536252E-3</v>
      </c>
    </row>
    <row r="252" spans="2:11" x14ac:dyDescent="0.25">
      <c r="B252" s="29">
        <v>244</v>
      </c>
      <c r="C252" s="30">
        <v>0.17732558139534885</v>
      </c>
      <c r="D252" s="41">
        <v>-2.7119198548021376E-3</v>
      </c>
      <c r="E252" s="41">
        <v>1.0612444152012568E-2</v>
      </c>
      <c r="F252" s="41">
        <v>4.7026342308291724E-3</v>
      </c>
      <c r="G252" s="41">
        <v>2.0791916331686536E-3</v>
      </c>
      <c r="H252" s="14">
        <v>-8.543349088286134E-3</v>
      </c>
      <c r="I252" s="14">
        <v>-8.6530293120428148E-3</v>
      </c>
      <c r="J252" s="14">
        <v>-4.7925028065031183E-3</v>
      </c>
      <c r="K252" s="14">
        <v>-4.8795766437634393E-3</v>
      </c>
    </row>
    <row r="253" spans="2:11" x14ac:dyDescent="0.25">
      <c r="B253" s="29">
        <v>245</v>
      </c>
      <c r="C253" s="30">
        <v>0.17805232558139536</v>
      </c>
      <c r="D253" s="41">
        <v>-1.7165205696442662E-3</v>
      </c>
      <c r="E253" s="41">
        <v>2.1002005691543868E-3</v>
      </c>
      <c r="F253" s="41">
        <v>-4.9042227694595653E-4</v>
      </c>
      <c r="G253" s="41">
        <v>-1.4103027268733024E-3</v>
      </c>
      <c r="H253" s="14">
        <v>-8.5135956910781241E-3</v>
      </c>
      <c r="I253" s="14">
        <v>-8.6488609583660336E-3</v>
      </c>
      <c r="J253" s="14">
        <v>-4.7871717594990537E-3</v>
      </c>
      <c r="K253" s="14">
        <v>-4.8608897674754514E-3</v>
      </c>
    </row>
    <row r="254" spans="2:11" x14ac:dyDescent="0.25">
      <c r="B254" s="29">
        <v>246</v>
      </c>
      <c r="C254" s="30">
        <v>0.17877906976744187</v>
      </c>
      <c r="D254" s="41">
        <v>-3.2124546147203692E-3</v>
      </c>
      <c r="E254" s="41">
        <v>-7.4924813211916241E-3</v>
      </c>
      <c r="F254" s="41">
        <v>1.0833856416222032E-2</v>
      </c>
      <c r="G254" s="41">
        <v>1.0448477530540012E-2</v>
      </c>
      <c r="H254" s="14">
        <v>-8.5034013605442826E-3</v>
      </c>
      <c r="I254" s="14">
        <v>-8.6234791612737061E-3</v>
      </c>
      <c r="J254" s="14">
        <v>-4.7769266872623728E-3</v>
      </c>
      <c r="K254" s="14">
        <v>-4.8493350066366233E-3</v>
      </c>
    </row>
    <row r="255" spans="2:11" x14ac:dyDescent="0.25">
      <c r="B255" s="29">
        <v>247</v>
      </c>
      <c r="C255" s="30">
        <v>0.17950581395348839</v>
      </c>
      <c r="D255" s="41">
        <v>-1.0312147892997704E-2</v>
      </c>
      <c r="E255" s="41">
        <v>3.3363599890194884E-3</v>
      </c>
      <c r="F255" s="41">
        <v>3.8787804162954131E-3</v>
      </c>
      <c r="G255" s="41">
        <v>3.9597467574262529E-3</v>
      </c>
      <c r="H255" s="14">
        <v>-8.4782685019187953E-3</v>
      </c>
      <c r="I255" s="14">
        <v>-8.5868181734334303E-3</v>
      </c>
      <c r="J255" s="14">
        <v>-4.7663476685841921E-3</v>
      </c>
      <c r="K255" s="14">
        <v>-4.8482336233132365E-3</v>
      </c>
    </row>
    <row r="256" spans="2:11" x14ac:dyDescent="0.25">
      <c r="B256" s="29">
        <v>248</v>
      </c>
      <c r="C256" s="30">
        <v>0.18023255813953487</v>
      </c>
      <c r="D256" s="41">
        <v>-7.4021875029885026E-3</v>
      </c>
      <c r="E256" s="41">
        <v>2.1782594970010116E-3</v>
      </c>
      <c r="F256" s="41">
        <v>8.100337937348101E-3</v>
      </c>
      <c r="G256" s="41">
        <v>3.3167008330574179E-3</v>
      </c>
      <c r="H256" s="14">
        <v>-8.4692377686007569E-3</v>
      </c>
      <c r="I256" s="14">
        <v>-8.568305417314459E-3</v>
      </c>
      <c r="J256" s="14">
        <v>-4.7441545238900984E-3</v>
      </c>
      <c r="K256" s="14">
        <v>-4.8394958310643112E-3</v>
      </c>
    </row>
    <row r="257" spans="2:11" x14ac:dyDescent="0.25">
      <c r="B257" s="29">
        <v>249</v>
      </c>
      <c r="C257" s="30">
        <v>0.18095930232558138</v>
      </c>
      <c r="D257" s="41">
        <v>-1.7116718714409462E-2</v>
      </c>
      <c r="E257" s="41">
        <v>8.3475959973540181E-3</v>
      </c>
      <c r="F257" s="41">
        <v>-2.3955989509677478E-3</v>
      </c>
      <c r="G257" s="41">
        <v>1.6561823494291475E-3</v>
      </c>
      <c r="H257" s="14">
        <v>-8.3938074158733667E-3</v>
      </c>
      <c r="I257" s="14">
        <v>-8.5506899577251216E-3</v>
      </c>
      <c r="J257" s="14">
        <v>-4.7109984045496933E-3</v>
      </c>
      <c r="K257" s="14">
        <v>-4.8234730298526438E-3</v>
      </c>
    </row>
    <row r="258" spans="2:11" x14ac:dyDescent="0.25">
      <c r="B258" s="29">
        <v>250</v>
      </c>
      <c r="C258" s="30">
        <v>0.1816860465116279</v>
      </c>
      <c r="D258" s="41">
        <v>2.1114808962110074E-2</v>
      </c>
      <c r="E258" s="41">
        <v>-9.5072475841385673E-3</v>
      </c>
      <c r="F258" s="41">
        <v>-6.3879887627926735E-4</v>
      </c>
      <c r="G258" s="41">
        <v>-1.5159811191456376E-3</v>
      </c>
      <c r="H258" s="14">
        <v>-8.3878891783750742E-3</v>
      </c>
      <c r="I258" s="14">
        <v>-8.5440123176748761E-3</v>
      </c>
      <c r="J258" s="14">
        <v>-4.6847660439126582E-3</v>
      </c>
      <c r="K258" s="14">
        <v>-4.7811026795778755E-3</v>
      </c>
    </row>
    <row r="259" spans="2:11" x14ac:dyDescent="0.25">
      <c r="B259" s="29">
        <v>251</v>
      </c>
      <c r="C259" s="30">
        <v>0.18241279069767441</v>
      </c>
      <c r="D259" s="41">
        <v>4.1811143071425827E-3</v>
      </c>
      <c r="E259" s="41">
        <v>-1.8555703907736754E-2</v>
      </c>
      <c r="F259" s="41">
        <v>-1.0783259660444466E-2</v>
      </c>
      <c r="G259" s="41">
        <v>-9.2582380459873626E-4</v>
      </c>
      <c r="H259" s="14">
        <v>-8.3238154570309808E-3</v>
      </c>
      <c r="I259" s="14">
        <v>-8.5260628566747876E-3</v>
      </c>
      <c r="J259" s="14">
        <v>-4.6775258639665251E-3</v>
      </c>
      <c r="K259" s="14">
        <v>-4.71016763795995E-3</v>
      </c>
    </row>
    <row r="260" spans="2:11" x14ac:dyDescent="0.25">
      <c r="B260" s="29">
        <v>252</v>
      </c>
      <c r="C260" s="30">
        <v>0.18313953488372092</v>
      </c>
      <c r="D260" s="41">
        <v>4.9529031770290076E-3</v>
      </c>
      <c r="E260" s="41">
        <v>3.7063221715192274E-3</v>
      </c>
      <c r="F260" s="41">
        <v>7.0096967611243954E-4</v>
      </c>
      <c r="G260" s="41">
        <v>1.6227228038301789E-3</v>
      </c>
      <c r="H260" s="14">
        <v>-8.2995784078696566E-3</v>
      </c>
      <c r="I260" s="14">
        <v>-8.5211654755360522E-3</v>
      </c>
      <c r="J260" s="14">
        <v>-4.6531187877365543E-3</v>
      </c>
      <c r="K260" s="14">
        <v>-4.6825133049907212E-3</v>
      </c>
    </row>
    <row r="261" spans="2:11" x14ac:dyDescent="0.25">
      <c r="B261" s="29">
        <v>253</v>
      </c>
      <c r="C261" s="30">
        <v>0.18386627906976744</v>
      </c>
      <c r="D261" s="41">
        <v>-3.1904700793113153E-3</v>
      </c>
      <c r="E261" s="41">
        <v>-1.1173959445037407E-2</v>
      </c>
      <c r="F261" s="41">
        <v>4.3133063317237763E-3</v>
      </c>
      <c r="G261" s="41">
        <v>-2.3086727135219311E-3</v>
      </c>
      <c r="H261" s="14">
        <v>-8.2955391469226036E-3</v>
      </c>
      <c r="I261" s="14">
        <v>-8.5184566560881914E-3</v>
      </c>
      <c r="J261" s="14">
        <v>-4.6279806277084168E-3</v>
      </c>
      <c r="K261" s="14">
        <v>-4.6592589578286613E-3</v>
      </c>
    </row>
    <row r="262" spans="2:11" x14ac:dyDescent="0.25">
      <c r="B262" s="29">
        <v>254</v>
      </c>
      <c r="C262" s="30">
        <v>0.18459302325581395</v>
      </c>
      <c r="D262" s="41">
        <v>-9.3643667645609153E-3</v>
      </c>
      <c r="E262" s="41">
        <v>-4.867624361866274E-3</v>
      </c>
      <c r="F262" s="41">
        <v>-1.653737419551371E-2</v>
      </c>
      <c r="G262" s="41">
        <v>-7.0416325094528002E-3</v>
      </c>
      <c r="H262" s="14">
        <v>-8.2859136884263496E-3</v>
      </c>
      <c r="I262" s="14">
        <v>-8.5145772388744989E-3</v>
      </c>
      <c r="J262" s="14">
        <v>-4.6178084424403076E-3</v>
      </c>
      <c r="K262" s="14">
        <v>-4.6244341679153372E-3</v>
      </c>
    </row>
    <row r="263" spans="2:11" x14ac:dyDescent="0.25">
      <c r="B263" s="29">
        <v>255</v>
      </c>
      <c r="C263" s="30">
        <v>0.18531976744186046</v>
      </c>
      <c r="D263" s="41">
        <v>7.0968754773355633E-3</v>
      </c>
      <c r="E263" s="41">
        <v>2.9825817227391305E-3</v>
      </c>
      <c r="F263" s="41">
        <v>7.9178886587525366E-3</v>
      </c>
      <c r="G263" s="41">
        <v>-1.8658526894096191E-3</v>
      </c>
      <c r="H263" s="14">
        <v>-8.2645052339473946E-3</v>
      </c>
      <c r="I263" s="14">
        <v>-8.4470252849028205E-3</v>
      </c>
      <c r="J263" s="14">
        <v>-4.5854751794969228E-3</v>
      </c>
      <c r="K263" s="14">
        <v>-4.5949031325277509E-3</v>
      </c>
    </row>
    <row r="264" spans="2:11" x14ac:dyDescent="0.25">
      <c r="B264" s="29">
        <v>256</v>
      </c>
      <c r="C264" s="30">
        <v>0.18604651162790697</v>
      </c>
      <c r="D264" s="41">
        <v>3.9534098609795305E-3</v>
      </c>
      <c r="E264" s="41">
        <v>-2.5909144976588805E-2</v>
      </c>
      <c r="F264" s="41">
        <v>-1.505917127711609E-2</v>
      </c>
      <c r="G264" s="41">
        <v>-1.4127046209548612E-2</v>
      </c>
      <c r="H264" s="14">
        <v>-8.2364341085271464E-3</v>
      </c>
      <c r="I264" s="14">
        <v>-8.4231663496090459E-3</v>
      </c>
      <c r="J264" s="14">
        <v>-4.5809938865195576E-3</v>
      </c>
      <c r="K264" s="14">
        <v>-4.5920516807999691E-3</v>
      </c>
    </row>
    <row r="265" spans="2:11" x14ac:dyDescent="0.25">
      <c r="B265" s="29">
        <v>257</v>
      </c>
      <c r="C265" s="30">
        <v>0.18677325581395349</v>
      </c>
      <c r="D265" s="41">
        <v>5.3694378621360461E-3</v>
      </c>
      <c r="E265" s="41">
        <v>1.2966108280325628E-2</v>
      </c>
      <c r="F265" s="41">
        <v>2.1994760050281226E-3</v>
      </c>
      <c r="G265" s="41">
        <v>2.8028047370217911E-3</v>
      </c>
      <c r="H265" s="14">
        <v>-8.1597594994937683E-3</v>
      </c>
      <c r="I265" s="14">
        <v>-8.4216164742293431E-3</v>
      </c>
      <c r="J265" s="14">
        <v>-4.5800813198111356E-3</v>
      </c>
      <c r="K265" s="14">
        <v>-4.5912947775243124E-3</v>
      </c>
    </row>
    <row r="266" spans="2:11" x14ac:dyDescent="0.25">
      <c r="B266" s="29">
        <v>258</v>
      </c>
      <c r="C266" s="30">
        <v>0.1875</v>
      </c>
      <c r="D266" s="41">
        <v>2.4050368720715993E-2</v>
      </c>
      <c r="E266" s="41">
        <v>1.4816600729870899E-2</v>
      </c>
      <c r="F266" s="41">
        <v>7.7367917564421518E-3</v>
      </c>
      <c r="G266" s="41">
        <v>7.284410597522095E-3</v>
      </c>
      <c r="H266" s="14">
        <v>-8.1375009506425844E-3</v>
      </c>
      <c r="I266" s="14">
        <v>-8.4089547602672621E-3</v>
      </c>
      <c r="J266" s="14">
        <v>-4.5774673014005174E-3</v>
      </c>
      <c r="K266" s="14">
        <v>-4.5598805634007094E-3</v>
      </c>
    </row>
    <row r="267" spans="2:11" x14ac:dyDescent="0.25">
      <c r="B267" s="29">
        <v>259</v>
      </c>
      <c r="C267" s="30">
        <v>0.18822674418604651</v>
      </c>
      <c r="D267" s="41">
        <v>-1.0127171424143652E-3</v>
      </c>
      <c r="E267" s="41">
        <v>1.4405891945011406E-2</v>
      </c>
      <c r="F267" s="41">
        <v>1.1109259806104888E-2</v>
      </c>
      <c r="G267" s="41">
        <v>9.6911570654497417E-3</v>
      </c>
      <c r="H267" s="14">
        <v>-8.1294082585514627E-3</v>
      </c>
      <c r="I267" s="14">
        <v>-8.3559954464962338E-3</v>
      </c>
      <c r="J267" s="14">
        <v>-4.5562693978287161E-3</v>
      </c>
      <c r="K267" s="14">
        <v>-4.5592346628540621E-3</v>
      </c>
    </row>
    <row r="268" spans="2:11" x14ac:dyDescent="0.25">
      <c r="B268" s="29">
        <v>260</v>
      </c>
      <c r="C268" s="30">
        <v>0.18895348837209303</v>
      </c>
      <c r="D268" s="41">
        <v>1.3330938955557812E-2</v>
      </c>
      <c r="E268" s="41">
        <v>-1.5223292702400637E-2</v>
      </c>
      <c r="F268" s="41">
        <v>-7.970365595871054E-3</v>
      </c>
      <c r="G268" s="41">
        <v>-3.8432682261041024E-3</v>
      </c>
      <c r="H268" s="14">
        <v>-8.1218193403388428E-3</v>
      </c>
      <c r="I268" s="14">
        <v>-8.3504576872780456E-3</v>
      </c>
      <c r="J268" s="14">
        <v>-4.5508845781899732E-3</v>
      </c>
      <c r="K268" s="14">
        <v>-4.5053577363955988E-3</v>
      </c>
    </row>
    <row r="269" spans="2:11" x14ac:dyDescent="0.25">
      <c r="B269" s="29">
        <v>261</v>
      </c>
      <c r="C269" s="30">
        <v>0.18968023255813954</v>
      </c>
      <c r="D269" s="41">
        <v>4.2167818989340636E-3</v>
      </c>
      <c r="E269" s="41">
        <v>-1.6215339711367349E-3</v>
      </c>
      <c r="F269" s="41">
        <v>-1.3409896957855771E-2</v>
      </c>
      <c r="G269" s="41">
        <v>8.4710471364717347E-4</v>
      </c>
      <c r="H269" s="14">
        <v>-8.1208553494804825E-3</v>
      </c>
      <c r="I269" s="14">
        <v>-8.2889941139056011E-3</v>
      </c>
      <c r="J269" s="14">
        <v>-4.5429730600999862E-3</v>
      </c>
      <c r="K269" s="14">
        <v>-4.4996680806512314E-3</v>
      </c>
    </row>
    <row r="270" spans="2:11" x14ac:dyDescent="0.25">
      <c r="B270" s="29">
        <v>262</v>
      </c>
      <c r="C270" s="30">
        <v>0.19040697674418605</v>
      </c>
      <c r="D270" s="41">
        <v>-3.3280520144078562E-3</v>
      </c>
      <c r="E270" s="41">
        <v>-3.6706188078609037E-3</v>
      </c>
      <c r="F270" s="41">
        <v>1.5963335071207396E-3</v>
      </c>
      <c r="G270" s="41">
        <v>2.3497382251891417E-5</v>
      </c>
      <c r="H270" s="14">
        <v>-8.0648381043636475E-3</v>
      </c>
      <c r="I270" s="14">
        <v>-8.246887966805061E-3</v>
      </c>
      <c r="J270" s="14">
        <v>-4.5126418153217385E-3</v>
      </c>
      <c r="K270" s="14">
        <v>-4.4988338527762305E-3</v>
      </c>
    </row>
    <row r="271" spans="2:11" x14ac:dyDescent="0.25">
      <c r="B271" s="29">
        <v>263</v>
      </c>
      <c r="C271" s="30">
        <v>0.19113372093023256</v>
      </c>
      <c r="D271" s="41">
        <v>-7.7682347846851603E-3</v>
      </c>
      <c r="E271" s="41">
        <v>-7.7595200834637001E-3</v>
      </c>
      <c r="F271" s="41">
        <v>-1.0822908332590586E-2</v>
      </c>
      <c r="G271" s="41">
        <v>-5.8836673958998272E-3</v>
      </c>
      <c r="H271" s="14">
        <v>-8.0034994893990463E-3</v>
      </c>
      <c r="I271" s="14">
        <v>-8.2293885001520906E-3</v>
      </c>
      <c r="J271" s="14">
        <v>-4.4531837372043803E-3</v>
      </c>
      <c r="K271" s="14">
        <v>-4.4729926640857849E-3</v>
      </c>
    </row>
    <row r="272" spans="2:11" x14ac:dyDescent="0.25">
      <c r="B272" s="29">
        <v>264</v>
      </c>
      <c r="C272" s="30">
        <v>0.19186046511627908</v>
      </c>
      <c r="D272" s="41">
        <v>3.5874213972977272E-3</v>
      </c>
      <c r="E272" s="41">
        <v>7.4478105627484581E-4</v>
      </c>
      <c r="F272" s="41">
        <v>5.4983190231943091E-3</v>
      </c>
      <c r="G272" s="41">
        <v>1.1510621021566525E-3</v>
      </c>
      <c r="H272" s="14">
        <v>-7.9623582681469518E-3</v>
      </c>
      <c r="I272" s="14">
        <v>-8.2138662849280397E-3</v>
      </c>
      <c r="J272" s="14">
        <v>-4.4482111206480823E-3</v>
      </c>
      <c r="K272" s="14">
        <v>-4.4567660003823617E-3</v>
      </c>
    </row>
    <row r="273" spans="2:11" x14ac:dyDescent="0.25">
      <c r="B273" s="29">
        <v>265</v>
      </c>
      <c r="C273" s="30">
        <v>0.19258720930232559</v>
      </c>
      <c r="D273" s="41">
        <v>2.0166931263401518E-2</v>
      </c>
      <c r="E273" s="41">
        <v>-1.0977344861551996E-2</v>
      </c>
      <c r="F273" s="41">
        <v>-7.7335181404558639E-3</v>
      </c>
      <c r="G273" s="41">
        <v>-1.099387903317286E-2</v>
      </c>
      <c r="H273" s="14">
        <v>-7.9547586132824311E-3</v>
      </c>
      <c r="I273" s="14">
        <v>-8.2074734601131905E-3</v>
      </c>
      <c r="J273" s="14">
        <v>-4.4154983993817121E-3</v>
      </c>
      <c r="K273" s="14">
        <v>-4.4022396271428564E-3</v>
      </c>
    </row>
    <row r="274" spans="2:11" x14ac:dyDescent="0.25">
      <c r="B274" s="29">
        <v>266</v>
      </c>
      <c r="C274" s="30">
        <v>0.1933139534883721</v>
      </c>
      <c r="D274" s="41">
        <v>5.6616005540761766E-3</v>
      </c>
      <c r="E274" s="41">
        <v>-4.647714320493046E-3</v>
      </c>
      <c r="F274" s="41">
        <v>2.1151887745840536E-3</v>
      </c>
      <c r="G274" s="41">
        <v>6.8730522953530659E-4</v>
      </c>
      <c r="H274" s="14">
        <v>-7.9267745585094307E-3</v>
      </c>
      <c r="I274" s="14">
        <v>-8.2000133877769832E-3</v>
      </c>
      <c r="J274" s="14">
        <v>-4.4073737373941935E-3</v>
      </c>
      <c r="K274" s="14">
        <v>-4.4016145555715097E-3</v>
      </c>
    </row>
    <row r="275" spans="2:11" x14ac:dyDescent="0.25">
      <c r="B275" s="29">
        <v>267</v>
      </c>
      <c r="C275" s="30">
        <v>0.19404069767441862</v>
      </c>
      <c r="D275" s="41">
        <v>-6.2584085050178132E-3</v>
      </c>
      <c r="E275" s="41">
        <v>0</v>
      </c>
      <c r="F275" s="41">
        <v>6.2221795630752474E-3</v>
      </c>
      <c r="G275" s="41">
        <v>1.2444359126150496E-3</v>
      </c>
      <c r="H275" s="14">
        <v>-7.8141286151767186E-3</v>
      </c>
      <c r="I275" s="14">
        <v>-8.1681471433364683E-3</v>
      </c>
      <c r="J275" s="14">
        <v>-4.3758596618451717E-3</v>
      </c>
      <c r="K275" s="14">
        <v>-4.3869674134872309E-3</v>
      </c>
    </row>
    <row r="276" spans="2:11" x14ac:dyDescent="0.25">
      <c r="B276" s="29">
        <v>268</v>
      </c>
      <c r="C276" s="30">
        <v>0.19476744186046513</v>
      </c>
      <c r="D276" s="41">
        <v>-4.8304856608713245E-3</v>
      </c>
      <c r="E276" s="41">
        <v>3.125173713409013E-2</v>
      </c>
      <c r="F276" s="41">
        <v>1.1814222279081132E-2</v>
      </c>
      <c r="G276" s="41">
        <v>1.2378670912490185E-2</v>
      </c>
      <c r="H276" s="14">
        <v>-7.8041838874280955E-3</v>
      </c>
      <c r="I276" s="14">
        <v>-8.0718287509310427E-3</v>
      </c>
      <c r="J276" s="14">
        <v>-4.3670365803535338E-3</v>
      </c>
      <c r="K276" s="14">
        <v>-4.3755880938068266E-3</v>
      </c>
    </row>
    <row r="277" spans="2:11" x14ac:dyDescent="0.25">
      <c r="B277" s="29">
        <v>269</v>
      </c>
      <c r="C277" s="30">
        <v>0.19549418604651161</v>
      </c>
      <c r="D277" s="41">
        <v>-3.8517612220681798E-3</v>
      </c>
      <c r="E277" s="41">
        <v>3.0186075594551554E-4</v>
      </c>
      <c r="F277" s="41">
        <v>-7.8573816490159487E-3</v>
      </c>
      <c r="G277" s="41">
        <v>-5.7561883665338E-4</v>
      </c>
      <c r="H277" s="14">
        <v>-7.8027910767038966E-3</v>
      </c>
      <c r="I277" s="14">
        <v>-8.0036258382175651E-3</v>
      </c>
      <c r="J277" s="14">
        <v>-4.3664924811779304E-3</v>
      </c>
      <c r="K277" s="14">
        <v>-4.363351771300406E-3</v>
      </c>
    </row>
    <row r="278" spans="2:11" x14ac:dyDescent="0.25">
      <c r="B278" s="29">
        <v>270</v>
      </c>
      <c r="C278" s="30">
        <v>0.19622093023255813</v>
      </c>
      <c r="D278" s="41">
        <v>4.4848597704319803E-3</v>
      </c>
      <c r="E278" s="41">
        <v>3.2440238829134493E-3</v>
      </c>
      <c r="F278" s="41">
        <v>-1.1083461312433318E-4</v>
      </c>
      <c r="G278" s="41">
        <v>2.0239496950882115E-3</v>
      </c>
      <c r="H278" s="14">
        <v>-7.7891513455089489E-3</v>
      </c>
      <c r="I278" s="14">
        <v>-7.9603515225833421E-3</v>
      </c>
      <c r="J278" s="14">
        <v>-4.2903917805127145E-3</v>
      </c>
      <c r="K278" s="14">
        <v>-4.3112099427933259E-3</v>
      </c>
    </row>
    <row r="279" spans="2:11" x14ac:dyDescent="0.25">
      <c r="B279" s="29">
        <v>271</v>
      </c>
      <c r="C279" s="30">
        <v>0.19694767441860464</v>
      </c>
      <c r="D279" s="41">
        <v>1.2352435218030392E-3</v>
      </c>
      <c r="E279" s="41">
        <v>-1.9551602264549217E-3</v>
      </c>
      <c r="F279" s="41">
        <v>-6.269593168704013E-3</v>
      </c>
      <c r="G279" s="41">
        <v>-5.4182503268691568E-4</v>
      </c>
      <c r="H279" s="14">
        <v>-7.7657821845055208E-3</v>
      </c>
      <c r="I279" s="14">
        <v>-7.9561285542876226E-3</v>
      </c>
      <c r="J279" s="14">
        <v>-4.1749970598611297E-3</v>
      </c>
      <c r="K279" s="14">
        <v>-4.2811927683664482E-3</v>
      </c>
    </row>
    <row r="280" spans="2:11" x14ac:dyDescent="0.25">
      <c r="B280" s="29">
        <v>272</v>
      </c>
      <c r="C280" s="30">
        <v>0.19767441860465115</v>
      </c>
      <c r="D280" s="41">
        <v>-1.6348455357914689E-2</v>
      </c>
      <c r="E280" s="41">
        <v>2.3141919164739733E-3</v>
      </c>
      <c r="F280" s="41">
        <v>1.9370271923826454E-3</v>
      </c>
      <c r="G280" s="41">
        <v>7.2544455886269831E-5</v>
      </c>
      <c r="H280" s="14">
        <v>-7.7635973546260617E-3</v>
      </c>
      <c r="I280" s="14">
        <v>-7.9242347989201267E-3</v>
      </c>
      <c r="J280" s="14">
        <v>-4.1522491349481605E-3</v>
      </c>
      <c r="K280" s="14">
        <v>-4.251782441071961E-3</v>
      </c>
    </row>
    <row r="281" spans="2:11" x14ac:dyDescent="0.25">
      <c r="B281" s="29">
        <v>273</v>
      </c>
      <c r="C281" s="30">
        <v>0.19840116279069767</v>
      </c>
      <c r="D281" s="41">
        <v>4.0656783483639311E-3</v>
      </c>
      <c r="E281" s="41">
        <v>2.5987972508589863E-3</v>
      </c>
      <c r="F281" s="41">
        <v>4.4182809010306912E-4</v>
      </c>
      <c r="G281" s="41">
        <v>1.5012217296583863E-3</v>
      </c>
      <c r="H281" s="14">
        <v>-7.7172203201628653E-3</v>
      </c>
      <c r="I281" s="14">
        <v>-7.9054303657185576E-3</v>
      </c>
      <c r="J281" s="14">
        <v>-4.1341035224827793E-3</v>
      </c>
      <c r="K281" s="14">
        <v>-4.2124473044765189E-3</v>
      </c>
    </row>
    <row r="282" spans="2:11" x14ac:dyDescent="0.25">
      <c r="B282" s="29">
        <v>274</v>
      </c>
      <c r="C282" s="30">
        <v>0.19912790697674418</v>
      </c>
      <c r="D282" s="41">
        <v>-9.857648434218479E-3</v>
      </c>
      <c r="E282" s="41">
        <v>-1.5627343030354957E-2</v>
      </c>
      <c r="F282" s="41">
        <v>-5.2998638171741774E-3</v>
      </c>
      <c r="G282" s="41">
        <v>-6.0677034134525073E-3</v>
      </c>
      <c r="H282" s="14">
        <v>-7.7079658703965714E-3</v>
      </c>
      <c r="I282" s="14">
        <v>-7.8862452635666269E-3</v>
      </c>
      <c r="J282" s="14">
        <v>-4.1234040439168673E-3</v>
      </c>
      <c r="K282" s="14">
        <v>-4.2044246216199621E-3</v>
      </c>
    </row>
    <row r="283" spans="2:11" x14ac:dyDescent="0.25">
      <c r="B283" s="29">
        <v>275</v>
      </c>
      <c r="C283" s="30">
        <v>0.19985465116279069</v>
      </c>
      <c r="D283" s="41">
        <v>-5.7737946079537261E-3</v>
      </c>
      <c r="E283" s="41">
        <v>-7.0073882245410557E-3</v>
      </c>
      <c r="F283" s="41">
        <v>-5.5501285519418131E-3</v>
      </c>
      <c r="G283" s="41">
        <v>-2.0539640870010922E-3</v>
      </c>
      <c r="H283" s="14">
        <v>-7.7015347444595594E-3</v>
      </c>
      <c r="I283" s="14">
        <v>-7.8447680401471098E-3</v>
      </c>
      <c r="J283" s="14">
        <v>-4.0914298183406528E-3</v>
      </c>
      <c r="K283" s="14">
        <v>-4.1671344173464415E-3</v>
      </c>
    </row>
    <row r="284" spans="2:11" x14ac:dyDescent="0.25">
      <c r="B284" s="29">
        <v>276</v>
      </c>
      <c r="C284" s="30">
        <v>0.2005813953488372</v>
      </c>
      <c r="D284" s="41">
        <v>2.8038179250272797E-3</v>
      </c>
      <c r="E284" s="41">
        <v>1.2404256018584414E-2</v>
      </c>
      <c r="F284" s="41">
        <v>-1.2058257827808783E-2</v>
      </c>
      <c r="G284" s="41">
        <v>-3.6797412884804095E-3</v>
      </c>
      <c r="H284" s="14">
        <v>-7.696951403561636E-3</v>
      </c>
      <c r="I284" s="14">
        <v>-7.8418255472554321E-3</v>
      </c>
      <c r="J284" s="14">
        <v>-4.0819659887607607E-3</v>
      </c>
      <c r="K284" s="14">
        <v>-4.1553479228325198E-3</v>
      </c>
    </row>
    <row r="285" spans="2:11" x14ac:dyDescent="0.25">
      <c r="B285" s="29">
        <v>277</v>
      </c>
      <c r="C285" s="30">
        <v>0.20130813953488372</v>
      </c>
      <c r="D285" s="41">
        <v>1.6020191890164334E-2</v>
      </c>
      <c r="E285" s="41">
        <v>-4.4809559372666063E-3</v>
      </c>
      <c r="F285" s="41">
        <v>-3.7856208645510314E-3</v>
      </c>
      <c r="G285" s="41">
        <v>-3.0506768240727844E-3</v>
      </c>
      <c r="H285" s="14">
        <v>-7.6425110127698037E-3</v>
      </c>
      <c r="I285" s="14">
        <v>-7.8411976126883109E-3</v>
      </c>
      <c r="J285" s="14">
        <v>-4.0798170082571028E-3</v>
      </c>
      <c r="K285" s="14">
        <v>-4.1243385247139224E-3</v>
      </c>
    </row>
    <row r="286" spans="2:11" x14ac:dyDescent="0.25">
      <c r="B286" s="29">
        <v>278</v>
      </c>
      <c r="C286" s="30">
        <v>0.20203488372093023</v>
      </c>
      <c r="D286" s="41">
        <v>-3.5130410397036008E-3</v>
      </c>
      <c r="E286" s="41">
        <v>2.8126596866608011E-2</v>
      </c>
      <c r="F286" s="41">
        <v>2.7794478164246961E-3</v>
      </c>
      <c r="G286" s="41">
        <v>1.0160557736869525E-3</v>
      </c>
      <c r="H286" s="14">
        <v>-7.63931964349851E-3</v>
      </c>
      <c r="I286" s="14">
        <v>-7.8262057084028669E-3</v>
      </c>
      <c r="J286" s="14">
        <v>-4.0528022232515504E-3</v>
      </c>
      <c r="K286" s="14">
        <v>-4.1158689860981042E-3</v>
      </c>
    </row>
    <row r="287" spans="2:11" x14ac:dyDescent="0.25">
      <c r="B287" s="29">
        <v>279</v>
      </c>
      <c r="C287" s="30">
        <v>0.20276162790697674</v>
      </c>
      <c r="D287" s="41">
        <v>-3.3900118746308734E-3</v>
      </c>
      <c r="E287" s="41">
        <v>-2.7917600778308849E-3</v>
      </c>
      <c r="F287" s="41">
        <v>2.8289649365964564E-4</v>
      </c>
      <c r="G287" s="41">
        <v>-1.833847358763041E-3</v>
      </c>
      <c r="H287" s="14">
        <v>-7.6282577199014989E-3</v>
      </c>
      <c r="I287" s="14">
        <v>-7.7940980835596863E-3</v>
      </c>
      <c r="J287" s="14">
        <v>-4.0277027358908146E-3</v>
      </c>
      <c r="K287" s="14">
        <v>-4.1129836862036535E-3</v>
      </c>
    </row>
    <row r="288" spans="2:11" x14ac:dyDescent="0.25">
      <c r="B288" s="29">
        <v>280</v>
      </c>
      <c r="C288" s="30">
        <v>0.20348837209302326</v>
      </c>
      <c r="D288" s="41">
        <v>-9.5966663962941297E-3</v>
      </c>
      <c r="E288" s="41">
        <v>4.5493107104983554E-3</v>
      </c>
      <c r="F288" s="41">
        <v>1.2432047266914825E-3</v>
      </c>
      <c r="G288" s="41">
        <v>2.7789516023576598E-3</v>
      </c>
      <c r="H288" s="14">
        <v>-7.6058201058201158E-3</v>
      </c>
      <c r="I288" s="14">
        <v>-7.7902758566693597E-3</v>
      </c>
      <c r="J288" s="14">
        <v>-4.0268456375838202E-3</v>
      </c>
      <c r="K288" s="14">
        <v>-4.0796621235607237E-3</v>
      </c>
    </row>
    <row r="289" spans="2:11" x14ac:dyDescent="0.25">
      <c r="B289" s="29">
        <v>281</v>
      </c>
      <c r="C289" s="30">
        <v>0.20421511627906977</v>
      </c>
      <c r="D289" s="41">
        <v>-7.9974873817928605E-3</v>
      </c>
      <c r="E289" s="41">
        <v>3.3991702646496424E-3</v>
      </c>
      <c r="F289" s="41">
        <v>2.8332835358502173E-4</v>
      </c>
      <c r="G289" s="41">
        <v>3.2009941488500001E-4</v>
      </c>
      <c r="H289" s="14">
        <v>-7.592751151980659E-3</v>
      </c>
      <c r="I289" s="14">
        <v>-7.7595200834637001E-3</v>
      </c>
      <c r="J289" s="14">
        <v>-3.9864285626669549E-3</v>
      </c>
      <c r="K289" s="14">
        <v>-4.056349640833368E-3</v>
      </c>
    </row>
    <row r="290" spans="2:11" x14ac:dyDescent="0.25">
      <c r="B290" s="29">
        <v>282</v>
      </c>
      <c r="C290" s="30">
        <v>0.20494186046511628</v>
      </c>
      <c r="D290" s="41">
        <v>-1.1543704834000044E-2</v>
      </c>
      <c r="E290" s="41">
        <v>5.1761685831817061E-3</v>
      </c>
      <c r="F290" s="41">
        <v>1.2251613362824099E-2</v>
      </c>
      <c r="G290" s="41">
        <v>2.839539117128087E-3</v>
      </c>
      <c r="H290" s="14">
        <v>-7.5868863789126939E-3</v>
      </c>
      <c r="I290" s="14">
        <v>-7.7324431477485689E-3</v>
      </c>
      <c r="J290" s="14">
        <v>-3.9733619140743803E-3</v>
      </c>
      <c r="K290" s="14">
        <v>-4.0520916464853677E-3</v>
      </c>
    </row>
    <row r="291" spans="2:11" x14ac:dyDescent="0.25">
      <c r="B291" s="29">
        <v>283</v>
      </c>
      <c r="C291" s="30">
        <v>0.2056686046511628</v>
      </c>
      <c r="D291" s="41">
        <v>2.0807096259034879E-3</v>
      </c>
      <c r="E291" s="41">
        <v>-3.6632720345812775E-3</v>
      </c>
      <c r="F291" s="41">
        <v>1.3375254289906824E-3</v>
      </c>
      <c r="G291" s="41">
        <v>1.0749727324839587E-3</v>
      </c>
      <c r="H291" s="14">
        <v>-7.5753689358573073E-3</v>
      </c>
      <c r="I291" s="14">
        <v>-7.6765285996055477E-3</v>
      </c>
      <c r="J291" s="14">
        <v>-3.9434006031083824E-3</v>
      </c>
      <c r="K291" s="14">
        <v>-4.0492385806626171E-3</v>
      </c>
    </row>
    <row r="292" spans="2:11" x14ac:dyDescent="0.25">
      <c r="B292" s="29">
        <v>284</v>
      </c>
      <c r="C292" s="30">
        <v>0.20639534883720931</v>
      </c>
      <c r="D292" s="41">
        <v>-1.1427681087752446E-2</v>
      </c>
      <c r="E292" s="41">
        <v>-7.8262057084028669E-3</v>
      </c>
      <c r="F292" s="41">
        <v>-1.3200848958400457E-2</v>
      </c>
      <c r="G292" s="41">
        <v>-9.1281750413905842E-3</v>
      </c>
      <c r="H292" s="14">
        <v>-7.5711435778149649E-3</v>
      </c>
      <c r="I292" s="14">
        <v>-7.6032725490443598E-3</v>
      </c>
      <c r="J292" s="14">
        <v>-3.932900356989677E-3</v>
      </c>
      <c r="K292" s="14">
        <v>-4.0138282696180914E-3</v>
      </c>
    </row>
    <row r="293" spans="2:11" x14ac:dyDescent="0.25">
      <c r="B293" s="29">
        <v>285</v>
      </c>
      <c r="C293" s="30">
        <v>0.20712209302325582</v>
      </c>
      <c r="D293" s="41">
        <v>7.1188013298926012E-3</v>
      </c>
      <c r="E293" s="41">
        <v>-6.9562087074369616E-3</v>
      </c>
      <c r="F293" s="41">
        <v>-2.2009386480489335E-3</v>
      </c>
      <c r="G293" s="41">
        <v>2.116707973841803E-3</v>
      </c>
      <c r="H293" s="14">
        <v>-7.5164274978023471E-3</v>
      </c>
      <c r="I293" s="14">
        <v>-7.5766025589955044E-3</v>
      </c>
      <c r="J293" s="14">
        <v>-3.9271878875621891E-3</v>
      </c>
      <c r="K293" s="14">
        <v>-3.9788143394283047E-3</v>
      </c>
    </row>
    <row r="294" spans="2:11" x14ac:dyDescent="0.25">
      <c r="B294" s="29">
        <v>286</v>
      </c>
      <c r="C294" s="30">
        <v>0.20784883720930233</v>
      </c>
      <c r="D294" s="41">
        <v>-8.2206045810981551E-3</v>
      </c>
      <c r="E294" s="41">
        <v>7.7939247902252262E-3</v>
      </c>
      <c r="F294" s="41">
        <v>-1.7540910096677242E-3</v>
      </c>
      <c r="G294" s="41">
        <v>-6.0557003196648604E-5</v>
      </c>
      <c r="H294" s="14">
        <v>-7.4505598344967172E-3</v>
      </c>
      <c r="I294" s="14">
        <v>-7.5339090744054316E-3</v>
      </c>
      <c r="J294" s="14">
        <v>-3.9220297900358636E-3</v>
      </c>
      <c r="K294" s="14">
        <v>-3.9541145776615045E-3</v>
      </c>
    </row>
    <row r="295" spans="2:11" x14ac:dyDescent="0.25">
      <c r="B295" s="29">
        <v>287</v>
      </c>
      <c r="C295" s="30">
        <v>0.20857558139534885</v>
      </c>
      <c r="D295" s="41">
        <v>3.4374435446519079E-3</v>
      </c>
      <c r="E295" s="41">
        <v>8.5905926662575016E-3</v>
      </c>
      <c r="F295" s="41">
        <v>-3.2856465965038772E-3</v>
      </c>
      <c r="G295" s="41">
        <v>3.8792752553107775E-3</v>
      </c>
      <c r="H295" s="14">
        <v>-7.4496593111101905E-3</v>
      </c>
      <c r="I295" s="14">
        <v>-7.526567425934827E-3</v>
      </c>
      <c r="J295" s="14">
        <v>-3.9203050319532862E-3</v>
      </c>
      <c r="K295" s="14">
        <v>-3.9477684882048168E-3</v>
      </c>
    </row>
    <row r="296" spans="2:11" x14ac:dyDescent="0.25">
      <c r="B296" s="29">
        <v>288</v>
      </c>
      <c r="C296" s="30">
        <v>0.20930232558139536</v>
      </c>
      <c r="D296" s="41">
        <v>-1.0352384701309654E-2</v>
      </c>
      <c r="E296" s="41">
        <v>-6.3565989049028104E-3</v>
      </c>
      <c r="F296" s="41">
        <v>4.1504823761167042E-3</v>
      </c>
      <c r="G296" s="41">
        <v>-4.2179876024017759E-4</v>
      </c>
      <c r="H296" s="14">
        <v>-7.4226341460038592E-3</v>
      </c>
      <c r="I296" s="14">
        <v>-7.5157006074333399E-3</v>
      </c>
      <c r="J296" s="14">
        <v>-3.9186134657545058E-3</v>
      </c>
      <c r="K296" s="14">
        <v>-3.9115534897482982E-3</v>
      </c>
    </row>
    <row r="297" spans="2:11" x14ac:dyDescent="0.25">
      <c r="B297" s="29">
        <v>289</v>
      </c>
      <c r="C297" s="30">
        <v>0.21002906976744187</v>
      </c>
      <c r="D297" s="41">
        <v>-1.2746200110995337E-2</v>
      </c>
      <c r="E297" s="41">
        <v>8.5824676969850078E-3</v>
      </c>
      <c r="F297" s="41">
        <v>5.3216229259291925E-3</v>
      </c>
      <c r="G297" s="41">
        <v>-7.1345571217214005E-4</v>
      </c>
      <c r="H297" s="14">
        <v>-7.412894596635855E-3</v>
      </c>
      <c r="I297" s="14">
        <v>-7.4924813211916241E-3</v>
      </c>
      <c r="J297" s="14">
        <v>-3.918128654970765E-3</v>
      </c>
      <c r="K297" s="14">
        <v>-3.893470941613875E-3</v>
      </c>
    </row>
    <row r="298" spans="2:11" x14ac:dyDescent="0.25">
      <c r="B298" s="29">
        <v>290</v>
      </c>
      <c r="C298" s="30">
        <v>0.21075581395348839</v>
      </c>
      <c r="D298" s="41">
        <v>-1.0318397088994527E-2</v>
      </c>
      <c r="E298" s="41">
        <v>5.285688866560001E-3</v>
      </c>
      <c r="F298" s="41">
        <v>-4.7871717594990537E-3</v>
      </c>
      <c r="G298" s="41">
        <v>-3.4222019136860289E-4</v>
      </c>
      <c r="H298" s="14">
        <v>-7.402049798405641E-3</v>
      </c>
      <c r="I298" s="14">
        <v>-7.4636280935210797E-3</v>
      </c>
      <c r="J298" s="14">
        <v>-3.9117133913014746E-3</v>
      </c>
      <c r="K298" s="14">
        <v>-3.8924731515070036E-3</v>
      </c>
    </row>
    <row r="299" spans="2:11" x14ac:dyDescent="0.25">
      <c r="B299" s="29">
        <v>291</v>
      </c>
      <c r="C299" s="30">
        <v>0.21148255813953487</v>
      </c>
      <c r="D299" s="41">
        <v>9.678425040672357E-3</v>
      </c>
      <c r="E299" s="41">
        <v>4.7581367261519958E-3</v>
      </c>
      <c r="F299" s="41">
        <v>-2.6032540049627517E-3</v>
      </c>
      <c r="G299" s="41">
        <v>1.1208892721613407E-3</v>
      </c>
      <c r="H299" s="14">
        <v>-7.3628235844094281E-3</v>
      </c>
      <c r="I299" s="14">
        <v>-7.3682325882467037E-3</v>
      </c>
      <c r="J299" s="14">
        <v>-3.8968965679140322E-3</v>
      </c>
      <c r="K299" s="14">
        <v>-3.859379758301707E-3</v>
      </c>
    </row>
    <row r="300" spans="2:11" x14ac:dyDescent="0.25">
      <c r="B300" s="29">
        <v>292</v>
      </c>
      <c r="C300" s="30">
        <v>0.21220930232558138</v>
      </c>
      <c r="D300" s="41">
        <v>-2.3796870529734075E-3</v>
      </c>
      <c r="E300" s="41">
        <v>7.937577070143087E-3</v>
      </c>
      <c r="F300" s="41">
        <v>-1.6908082939981472E-4</v>
      </c>
      <c r="G300" s="41">
        <v>2.6069116715856636E-4</v>
      </c>
      <c r="H300" s="14">
        <v>-7.3108562853038128E-3</v>
      </c>
      <c r="I300" s="14">
        <v>-7.3438211070163684E-3</v>
      </c>
      <c r="J300" s="14">
        <v>-3.8961883026241706E-3</v>
      </c>
      <c r="K300" s="14">
        <v>-3.8432682261041024E-3</v>
      </c>
    </row>
    <row r="301" spans="2:11" x14ac:dyDescent="0.25">
      <c r="B301" s="29">
        <v>293</v>
      </c>
      <c r="C301" s="30">
        <v>0.2129360465116279</v>
      </c>
      <c r="D301" s="41">
        <v>-3.4665839709553379E-3</v>
      </c>
      <c r="E301" s="41">
        <v>1.0722840781749454E-2</v>
      </c>
      <c r="F301" s="41">
        <v>-4.7109984045496933E-3</v>
      </c>
      <c r="G301" s="41">
        <v>1.698404689264521E-3</v>
      </c>
      <c r="H301" s="14">
        <v>-7.2982118623530212E-3</v>
      </c>
      <c r="I301" s="14">
        <v>-7.3394959257793158E-3</v>
      </c>
      <c r="J301" s="14">
        <v>-3.8828470260999781E-3</v>
      </c>
      <c r="K301" s="14">
        <v>-3.8414965095711516E-3</v>
      </c>
    </row>
    <row r="302" spans="2:11" x14ac:dyDescent="0.25">
      <c r="B302" s="29">
        <v>294</v>
      </c>
      <c r="C302" s="30">
        <v>0.21366279069767441</v>
      </c>
      <c r="D302" s="41">
        <v>-2.9413216021238139E-2</v>
      </c>
      <c r="E302" s="41">
        <v>-9.4393359915371233E-3</v>
      </c>
      <c r="F302" s="41">
        <v>5.7951291049240794E-5</v>
      </c>
      <c r="G302" s="41">
        <v>5.5058843354711222E-3</v>
      </c>
      <c r="H302" s="14">
        <v>-7.2883408565452834E-3</v>
      </c>
      <c r="I302" s="14">
        <v>-7.3145462080397294E-3</v>
      </c>
      <c r="J302" s="14">
        <v>-3.86479238956694E-3</v>
      </c>
      <c r="K302" s="14">
        <v>-3.8088410594461666E-3</v>
      </c>
    </row>
    <row r="303" spans="2:11" x14ac:dyDescent="0.25">
      <c r="B303" s="29">
        <v>295</v>
      </c>
      <c r="C303" s="30">
        <v>0.21438953488372092</v>
      </c>
      <c r="D303" s="41">
        <v>-3.4317693679991076E-3</v>
      </c>
      <c r="E303" s="41">
        <v>-3.3064979873490552E-3</v>
      </c>
      <c r="F303" s="41">
        <v>-8.5525235559487101E-3</v>
      </c>
      <c r="G303" s="41">
        <v>-2.191845477889798E-3</v>
      </c>
      <c r="H303" s="14">
        <v>-7.2508924253192886E-3</v>
      </c>
      <c r="I303" s="14">
        <v>-7.3015200262008806E-3</v>
      </c>
      <c r="J303" s="14">
        <v>-3.847571715720588E-3</v>
      </c>
      <c r="K303" s="14">
        <v>-3.7971636947187418E-3</v>
      </c>
    </row>
    <row r="304" spans="2:11" x14ac:dyDescent="0.25">
      <c r="B304" s="29">
        <v>296</v>
      </c>
      <c r="C304" s="30">
        <v>0.21511627906976744</v>
      </c>
      <c r="D304" s="41">
        <v>3.2582700502322088E-3</v>
      </c>
      <c r="E304" s="41">
        <v>-3.7501802971297016E-3</v>
      </c>
      <c r="F304" s="41">
        <v>6.2681107256161717E-3</v>
      </c>
      <c r="G304" s="41">
        <v>3.2408451653405117E-3</v>
      </c>
      <c r="H304" s="14">
        <v>-7.2013087375467633E-3</v>
      </c>
      <c r="I304" s="14">
        <v>-7.2985123491786652E-3</v>
      </c>
      <c r="J304" s="14">
        <v>-3.8452790289595917E-3</v>
      </c>
      <c r="K304" s="14">
        <v>-3.7838693047879792E-3</v>
      </c>
    </row>
    <row r="305" spans="2:11" x14ac:dyDescent="0.25">
      <c r="B305" s="29">
        <v>297</v>
      </c>
      <c r="C305" s="30">
        <v>0.21584302325581395</v>
      </c>
      <c r="D305" s="41">
        <v>1.0813257273662079E-2</v>
      </c>
      <c r="E305" s="41">
        <v>1.1582452584335545E-3</v>
      </c>
      <c r="F305" s="41">
        <v>3.9932334047065865E-4</v>
      </c>
      <c r="G305" s="41">
        <v>5.431627714675535E-4</v>
      </c>
      <c r="H305" s="14">
        <v>-7.1729477399521402E-3</v>
      </c>
      <c r="I305" s="14">
        <v>-7.2976213229544173E-3</v>
      </c>
      <c r="J305" s="14">
        <v>-3.827266878077662E-3</v>
      </c>
      <c r="K305" s="14">
        <v>-3.7632157033726135E-3</v>
      </c>
    </row>
    <row r="306" spans="2:11" x14ac:dyDescent="0.25">
      <c r="B306" s="29">
        <v>298</v>
      </c>
      <c r="C306" s="30">
        <v>0.21656976744186046</v>
      </c>
      <c r="D306" s="41">
        <v>-7.4241931676212848E-3</v>
      </c>
      <c r="E306" s="41">
        <v>2.2518334882759561E-3</v>
      </c>
      <c r="F306" s="41">
        <v>3.3141685568625068E-3</v>
      </c>
      <c r="G306" s="41">
        <v>-2.9179011733937886E-3</v>
      </c>
      <c r="H306" s="14">
        <v>-7.1678613102182931E-3</v>
      </c>
      <c r="I306" s="14">
        <v>-7.2807952006022081E-3</v>
      </c>
      <c r="J306" s="14">
        <v>-3.8174504227730388E-3</v>
      </c>
      <c r="K306" s="14">
        <v>-3.7378387618620668E-3</v>
      </c>
    </row>
    <row r="307" spans="2:11" x14ac:dyDescent="0.25">
      <c r="B307" s="29">
        <v>299</v>
      </c>
      <c r="C307" s="30">
        <v>0.21729651162790697</v>
      </c>
      <c r="D307" s="41">
        <v>-1.3660410370486426E-2</v>
      </c>
      <c r="E307" s="41">
        <v>-4.6996743208145286E-3</v>
      </c>
      <c r="F307" s="41">
        <v>-3.0188360866671982E-3</v>
      </c>
      <c r="G307" s="41">
        <v>-2.1754529365582988E-4</v>
      </c>
      <c r="H307" s="14">
        <v>-7.1474492304200998E-3</v>
      </c>
      <c r="I307" s="14">
        <v>-7.2416734663600657E-3</v>
      </c>
      <c r="J307" s="14">
        <v>-3.8129415722776283E-3</v>
      </c>
      <c r="K307" s="14">
        <v>-3.7310486039066511E-3</v>
      </c>
    </row>
    <row r="308" spans="2:11" x14ac:dyDescent="0.25">
      <c r="B308" s="29">
        <v>300</v>
      </c>
      <c r="C308" s="30">
        <v>0.21802325581395349</v>
      </c>
      <c r="D308" s="41">
        <v>5.9001677736871157E-3</v>
      </c>
      <c r="E308" s="41">
        <v>-1.0862361761173056E-2</v>
      </c>
      <c r="F308" s="41">
        <v>-3.8828470260999781E-3</v>
      </c>
      <c r="G308" s="41">
        <v>-5.4434133748027637E-3</v>
      </c>
      <c r="H308" s="14">
        <v>-7.1203367287053787E-3</v>
      </c>
      <c r="I308" s="14">
        <v>-7.2051375763587666E-3</v>
      </c>
      <c r="J308" s="14">
        <v>-3.8063634589108331E-3</v>
      </c>
      <c r="K308" s="14">
        <v>-3.7137517100160667E-3</v>
      </c>
    </row>
    <row r="309" spans="2:11" x14ac:dyDescent="0.25">
      <c r="B309" s="29">
        <v>301</v>
      </c>
      <c r="C309" s="30">
        <v>0.21875</v>
      </c>
      <c r="D309" s="41">
        <v>-5.0868196247974449E-3</v>
      </c>
      <c r="E309" s="41">
        <v>-1.1588832009045036E-2</v>
      </c>
      <c r="F309" s="41">
        <v>1.3988642348040203E-2</v>
      </c>
      <c r="G309" s="41">
        <v>2.0925983110797299E-3</v>
      </c>
      <c r="H309" s="14">
        <v>-7.1156773211568103E-3</v>
      </c>
      <c r="I309" s="14">
        <v>-7.1899066533350764E-3</v>
      </c>
      <c r="J309" s="14">
        <v>-3.7856208645510314E-3</v>
      </c>
      <c r="K309" s="14">
        <v>-3.7137033969765641E-3</v>
      </c>
    </row>
    <row r="310" spans="2:11" x14ac:dyDescent="0.25">
      <c r="B310" s="29">
        <v>302</v>
      </c>
      <c r="C310" s="30">
        <v>0.21947674418604651</v>
      </c>
      <c r="D310" s="41">
        <v>-7.0380084829765302E-4</v>
      </c>
      <c r="E310" s="41">
        <v>1.2127181833587519E-2</v>
      </c>
      <c r="F310" s="41">
        <v>1.5269718753383454E-3</v>
      </c>
      <c r="G310" s="41">
        <v>4.3268176267513342E-3</v>
      </c>
      <c r="H310" s="14">
        <v>-7.0682717933829853E-3</v>
      </c>
      <c r="I310" s="14">
        <v>-7.1380366505736648E-3</v>
      </c>
      <c r="J310" s="14">
        <v>-3.7788500668566316E-3</v>
      </c>
      <c r="K310" s="14">
        <v>-3.6797412884804095E-3</v>
      </c>
    </row>
    <row r="311" spans="2:11" x14ac:dyDescent="0.25">
      <c r="B311" s="29">
        <v>303</v>
      </c>
      <c r="C311" s="30">
        <v>0.22020348837209303</v>
      </c>
      <c r="D311" s="41">
        <v>-1.0667464201163853E-2</v>
      </c>
      <c r="E311" s="41">
        <v>1.7444354914661897E-2</v>
      </c>
      <c r="F311" s="41">
        <v>7.7330747321744386E-3</v>
      </c>
      <c r="G311" s="41">
        <v>8.3325572937226425E-3</v>
      </c>
      <c r="H311" s="14">
        <v>-7.0682717933829853E-3</v>
      </c>
      <c r="I311" s="14">
        <v>-7.1200036050650395E-3</v>
      </c>
      <c r="J311" s="14">
        <v>-3.7278034873906574E-3</v>
      </c>
      <c r="K311" s="14">
        <v>-3.6668151973200387E-3</v>
      </c>
    </row>
    <row r="312" spans="2:11" x14ac:dyDescent="0.25">
      <c r="B312" s="29">
        <v>304</v>
      </c>
      <c r="C312" s="30">
        <v>0.22093023255813954</v>
      </c>
      <c r="D312" s="41">
        <v>6.8539316197917541E-3</v>
      </c>
      <c r="E312" s="41">
        <v>-3.8980540585016321E-3</v>
      </c>
      <c r="F312" s="41">
        <v>-2.0166551544774647E-3</v>
      </c>
      <c r="G312" s="41">
        <v>-2.7942174440973356E-3</v>
      </c>
      <c r="H312" s="14">
        <v>-7.058834440285211E-3</v>
      </c>
      <c r="I312" s="14">
        <v>-7.0952675321108716E-3</v>
      </c>
      <c r="J312" s="14">
        <v>-3.714254185860133E-3</v>
      </c>
      <c r="K312" s="14">
        <v>-3.6657300974639374E-3</v>
      </c>
    </row>
    <row r="313" spans="2:11" x14ac:dyDescent="0.25">
      <c r="B313" s="29">
        <v>305</v>
      </c>
      <c r="C313" s="30">
        <v>0.22165697674418605</v>
      </c>
      <c r="D313" s="41">
        <v>-3.8196177124155367E-3</v>
      </c>
      <c r="E313" s="41">
        <v>-1.8379126268727508E-2</v>
      </c>
      <c r="F313" s="41">
        <v>-3.8174504227730388E-3</v>
      </c>
      <c r="G313" s="41">
        <v>-1.4012533776008019E-2</v>
      </c>
      <c r="H313" s="14">
        <v>-7.0445935617865496E-3</v>
      </c>
      <c r="I313" s="14">
        <v>-7.0462535116131431E-3</v>
      </c>
      <c r="J313" s="14">
        <v>-3.7055892964453774E-3</v>
      </c>
      <c r="K313" s="14">
        <v>-3.6541103643728868E-3</v>
      </c>
    </row>
    <row r="314" spans="2:11" x14ac:dyDescent="0.25">
      <c r="B314" s="29">
        <v>306</v>
      </c>
      <c r="C314" s="30">
        <v>0.22238372093023256</v>
      </c>
      <c r="D314" s="41">
        <v>-1.2982567115576231E-2</v>
      </c>
      <c r="E314" s="41">
        <v>-9.5194016977143692E-3</v>
      </c>
      <c r="F314" s="41">
        <v>2.0290765819084289E-3</v>
      </c>
      <c r="G314" s="41">
        <v>-5.6140593994171263E-3</v>
      </c>
      <c r="H314" s="14">
        <v>-7.0422130627250112E-3</v>
      </c>
      <c r="I314" s="14">
        <v>-7.0411582563942865E-3</v>
      </c>
      <c r="J314" s="14">
        <v>-3.6783146630998687E-3</v>
      </c>
      <c r="K314" s="14">
        <v>-3.6512554515697464E-3</v>
      </c>
    </row>
    <row r="315" spans="2:11" x14ac:dyDescent="0.25">
      <c r="B315" s="29">
        <v>307</v>
      </c>
      <c r="C315" s="30">
        <v>0.22311046511627908</v>
      </c>
      <c r="D315" s="41">
        <v>-1.202599448485938E-2</v>
      </c>
      <c r="E315" s="41">
        <v>-6.8667431290089564E-2</v>
      </c>
      <c r="F315" s="41">
        <v>-1.0346379827033458E-2</v>
      </c>
      <c r="G315" s="41">
        <v>-3.5031843184825266E-2</v>
      </c>
      <c r="H315" s="14">
        <v>-7.0349639625822968E-3</v>
      </c>
      <c r="I315" s="14">
        <v>-7.0073882245410557E-3</v>
      </c>
      <c r="J315" s="14">
        <v>-3.6743263734980713E-3</v>
      </c>
      <c r="K315" s="14">
        <v>-3.638038682523926E-3</v>
      </c>
    </row>
    <row r="316" spans="2:11" x14ac:dyDescent="0.25">
      <c r="B316" s="29">
        <v>308</v>
      </c>
      <c r="C316" s="30">
        <v>0.22383720930232559</v>
      </c>
      <c r="D316" s="41">
        <v>-4.1056310077070717E-4</v>
      </c>
      <c r="E316" s="41">
        <v>5.1164222673265147E-2</v>
      </c>
      <c r="F316" s="41">
        <v>-1.9943928252952769E-2</v>
      </c>
      <c r="G316" s="41">
        <v>2.1186728988790725E-2</v>
      </c>
      <c r="H316" s="14">
        <v>-7.0316423907583747E-3</v>
      </c>
      <c r="I316" s="14">
        <v>-6.9562087074369616E-3</v>
      </c>
      <c r="J316" s="14">
        <v>-3.6737692872886862E-3</v>
      </c>
      <c r="K316" s="14">
        <v>-3.6209028594975652E-3</v>
      </c>
    </row>
    <row r="317" spans="2:11" x14ac:dyDescent="0.25">
      <c r="B317" s="29">
        <v>309</v>
      </c>
      <c r="C317" s="30">
        <v>0.2245639534883721</v>
      </c>
      <c r="D317" s="41">
        <v>-1.69570863334891E-3</v>
      </c>
      <c r="E317" s="41">
        <v>-2.9180452351250663E-3</v>
      </c>
      <c r="F317" s="41">
        <v>9.7389599344659405E-3</v>
      </c>
      <c r="G317" s="41">
        <v>-3.8088410594461666E-3</v>
      </c>
      <c r="H317" s="14">
        <v>-7.0198669077636833E-3</v>
      </c>
      <c r="I317" s="14">
        <v>-6.9559757203656591E-3</v>
      </c>
      <c r="J317" s="14">
        <v>-3.6724402543302226E-3</v>
      </c>
      <c r="K317" s="14">
        <v>-3.6100097826909485E-3</v>
      </c>
    </row>
    <row r="318" spans="2:11" x14ac:dyDescent="0.25">
      <c r="B318" s="29">
        <v>310</v>
      </c>
      <c r="C318" s="30">
        <v>0.22529069767441862</v>
      </c>
      <c r="D318" s="41">
        <v>-5.2499502078409647E-3</v>
      </c>
      <c r="E318" s="41">
        <v>-1.6841463945341473E-2</v>
      </c>
      <c r="F318" s="41">
        <v>-1.0621193466833656E-2</v>
      </c>
      <c r="G318" s="41">
        <v>-1.2840248428872237E-2</v>
      </c>
      <c r="H318" s="14">
        <v>-6.9888069888069948E-3</v>
      </c>
      <c r="I318" s="14">
        <v>-6.9400678250952641E-3</v>
      </c>
      <c r="J318" s="14">
        <v>-3.670381283638724E-3</v>
      </c>
      <c r="K318" s="14">
        <v>-3.6036270574796082E-3</v>
      </c>
    </row>
    <row r="319" spans="2:11" x14ac:dyDescent="0.25">
      <c r="B319" s="29">
        <v>311</v>
      </c>
      <c r="C319" s="30">
        <v>0.22601744186046513</v>
      </c>
      <c r="D319" s="41">
        <v>-4.6709155645455374E-3</v>
      </c>
      <c r="E319" s="41">
        <v>1.2106055240793223E-2</v>
      </c>
      <c r="F319" s="41">
        <v>-1.1616255650891416E-3</v>
      </c>
      <c r="G319" s="41">
        <v>3.0022674283542777E-3</v>
      </c>
      <c r="H319" s="14">
        <v>-6.8833039859131917E-3</v>
      </c>
      <c r="I319" s="14">
        <v>-6.8786320363122266E-3</v>
      </c>
      <c r="J319" s="14">
        <v>-3.6128864686569839E-3</v>
      </c>
      <c r="K319" s="14">
        <v>-3.5784057906051553E-3</v>
      </c>
    </row>
    <row r="320" spans="2:11" x14ac:dyDescent="0.25">
      <c r="B320" s="29">
        <v>312</v>
      </c>
      <c r="C320" s="30">
        <v>0.22674418604651161</v>
      </c>
      <c r="D320" s="41">
        <v>-1.4162099129739376E-3</v>
      </c>
      <c r="E320" s="41">
        <v>2.6644945441822943E-2</v>
      </c>
      <c r="F320" s="41">
        <v>8.772959378299916E-3</v>
      </c>
      <c r="G320" s="41">
        <v>1.7255362303307997E-2</v>
      </c>
      <c r="H320" s="14">
        <v>-6.8807504201160441E-3</v>
      </c>
      <c r="I320" s="14">
        <v>-6.8428055502757212E-3</v>
      </c>
      <c r="J320" s="14">
        <v>-3.6088675030074846E-3</v>
      </c>
      <c r="K320" s="14">
        <v>-3.5744081797113524E-3</v>
      </c>
    </row>
    <row r="321" spans="2:11" x14ac:dyDescent="0.25">
      <c r="B321" s="29">
        <v>313</v>
      </c>
      <c r="C321" s="30">
        <v>0.22747093023255813</v>
      </c>
      <c r="D321" s="41">
        <v>1.7292028798383291E-2</v>
      </c>
      <c r="E321" s="41">
        <v>1.8850041001501339E-3</v>
      </c>
      <c r="F321" s="41">
        <v>-8.7547982760446397E-3</v>
      </c>
      <c r="G321" s="41">
        <v>2.0600702743659438E-3</v>
      </c>
      <c r="H321" s="14">
        <v>-6.8776732249784533E-3</v>
      </c>
      <c r="I321" s="14">
        <v>-6.8320649762823038E-3</v>
      </c>
      <c r="J321" s="14">
        <v>-3.525010120022487E-3</v>
      </c>
      <c r="K321" s="14">
        <v>-3.5387670658790791E-3</v>
      </c>
    </row>
    <row r="322" spans="2:11" x14ac:dyDescent="0.25">
      <c r="B322" s="29">
        <v>314</v>
      </c>
      <c r="C322" s="30">
        <v>0.22819767441860464</v>
      </c>
      <c r="D322" s="41">
        <v>-8.6865107178244654E-4</v>
      </c>
      <c r="E322" s="41">
        <v>2.1259407287725907E-3</v>
      </c>
      <c r="F322" s="41">
        <v>1.278695694004961E-3</v>
      </c>
      <c r="G322" s="41">
        <v>5.1253209797108568E-4</v>
      </c>
      <c r="H322" s="14">
        <v>-6.8640497784497878E-3</v>
      </c>
      <c r="I322" s="14">
        <v>-6.8025316279425319E-3</v>
      </c>
      <c r="J322" s="14">
        <v>-3.5181927599295948E-3</v>
      </c>
      <c r="K322" s="14">
        <v>-3.5269370122189333E-3</v>
      </c>
    </row>
    <row r="323" spans="2:11" x14ac:dyDescent="0.25">
      <c r="B323" s="29">
        <v>315</v>
      </c>
      <c r="C323" s="30">
        <v>0.22892441860465115</v>
      </c>
      <c r="D323" s="41">
        <v>-1.5143196574114661E-3</v>
      </c>
      <c r="E323" s="41">
        <v>-5.0171835886121396E-3</v>
      </c>
      <c r="F323" s="41">
        <v>-1.3336382545529046E-3</v>
      </c>
      <c r="G323" s="41">
        <v>-5.7082194420584606E-3</v>
      </c>
      <c r="H323" s="14">
        <v>-6.8526676456190927E-3</v>
      </c>
      <c r="I323" s="14">
        <v>-6.7938833752182459E-3</v>
      </c>
      <c r="J323" s="14">
        <v>-3.5078800203356408E-3</v>
      </c>
      <c r="K323" s="14">
        <v>-3.5139815495942805E-3</v>
      </c>
    </row>
    <row r="324" spans="2:11" x14ac:dyDescent="0.25">
      <c r="B324" s="29">
        <v>316</v>
      </c>
      <c r="C324" s="30">
        <v>0.22965116279069767</v>
      </c>
      <c r="D324" s="41">
        <v>-1.5266142490947211E-3</v>
      </c>
      <c r="E324" s="41">
        <v>-1.1214993123887296E-2</v>
      </c>
      <c r="F324" s="41">
        <v>-8.9487656541450411E-3</v>
      </c>
      <c r="G324" s="41">
        <v>-6.4090374362986372E-3</v>
      </c>
      <c r="H324" s="14">
        <v>-6.828557179575645E-3</v>
      </c>
      <c r="I324" s="14">
        <v>-6.7652217489351241E-3</v>
      </c>
      <c r="J324" s="14">
        <v>-3.5075083635468518E-3</v>
      </c>
      <c r="K324" s="14">
        <v>-3.4777868141380396E-3</v>
      </c>
    </row>
    <row r="325" spans="2:11" x14ac:dyDescent="0.25">
      <c r="B325" s="29">
        <v>317</v>
      </c>
      <c r="C325" s="30">
        <v>0.23037790697674418</v>
      </c>
      <c r="D325" s="41">
        <v>1.1058188706365699E-3</v>
      </c>
      <c r="E325" s="41">
        <v>-6.8786320363122266E-3</v>
      </c>
      <c r="F325" s="41">
        <v>3.575401897353947E-3</v>
      </c>
      <c r="G325" s="41">
        <v>-1.3032915896983078E-3</v>
      </c>
      <c r="H325" s="14">
        <v>-6.7755677053633612E-3</v>
      </c>
      <c r="I325" s="14">
        <v>-6.70826674267333E-3</v>
      </c>
      <c r="J325" s="14">
        <v>-3.5058430717862521E-3</v>
      </c>
      <c r="K325" s="14">
        <v>-3.4745808655182852E-3</v>
      </c>
    </row>
    <row r="326" spans="2:11" x14ac:dyDescent="0.25">
      <c r="B326" s="29">
        <v>318</v>
      </c>
      <c r="C326" s="30">
        <v>0.23110465116279069</v>
      </c>
      <c r="D326" s="41">
        <v>-6.8152516642719183E-3</v>
      </c>
      <c r="E326" s="41">
        <v>2.8769011974423275E-3</v>
      </c>
      <c r="F326" s="41">
        <v>-1.7452440291398919E-4</v>
      </c>
      <c r="G326" s="41">
        <v>1.1158555983941333E-3</v>
      </c>
      <c r="H326" s="14">
        <v>-6.7271589486858074E-3</v>
      </c>
      <c r="I326" s="14">
        <v>-6.7045045354002797E-3</v>
      </c>
      <c r="J326" s="14">
        <v>-3.4943034891780078E-3</v>
      </c>
      <c r="K326" s="14">
        <v>-3.4497488859586587E-3</v>
      </c>
    </row>
    <row r="327" spans="2:11" x14ac:dyDescent="0.25">
      <c r="B327" s="29">
        <v>319</v>
      </c>
      <c r="C327" s="30">
        <v>0.2318313953488372</v>
      </c>
      <c r="D327" s="41">
        <v>1.6520577906760801E-4</v>
      </c>
      <c r="E327" s="41">
        <v>-1.9290307216003777E-2</v>
      </c>
      <c r="F327" s="41">
        <v>7.303807705642873E-3</v>
      </c>
      <c r="G327" s="41">
        <v>-7.4527302627831029E-3</v>
      </c>
      <c r="H327" s="14">
        <v>-6.7163596084488519E-3</v>
      </c>
      <c r="I327" s="14">
        <v>-6.6967898570272633E-3</v>
      </c>
      <c r="J327" s="14">
        <v>-3.4853765722078212E-3</v>
      </c>
      <c r="K327" s="14">
        <v>-3.440040983189019E-3</v>
      </c>
    </row>
    <row r="328" spans="2:11" x14ac:dyDescent="0.25">
      <c r="B328" s="29">
        <v>320</v>
      </c>
      <c r="C328" s="30">
        <v>0.23255813953488372</v>
      </c>
      <c r="D328" s="41">
        <v>2.8596121891297593E-3</v>
      </c>
      <c r="E328" s="41">
        <v>1.1810675968033868E-2</v>
      </c>
      <c r="F328" s="41">
        <v>-2.8951711499292099E-4</v>
      </c>
      <c r="G328" s="41">
        <v>3.3986756467870864E-3</v>
      </c>
      <c r="H328" s="14">
        <v>-6.6952002445734848E-3</v>
      </c>
      <c r="I328" s="14">
        <v>-6.6937394787022209E-3</v>
      </c>
      <c r="J328" s="14">
        <v>-3.4402656672201104E-3</v>
      </c>
      <c r="K328" s="14">
        <v>-3.4320334556954268E-3</v>
      </c>
    </row>
    <row r="329" spans="2:11" x14ac:dyDescent="0.25">
      <c r="B329" s="29">
        <v>321</v>
      </c>
      <c r="C329" s="30">
        <v>0.23328488372093023</v>
      </c>
      <c r="D329" s="41">
        <v>-1.3884690538763169E-2</v>
      </c>
      <c r="E329" s="41">
        <v>1.275282002050937E-2</v>
      </c>
      <c r="F329" s="41">
        <v>4.3529032160192216E-3</v>
      </c>
      <c r="G329" s="41">
        <v>4.9007731691757435E-3</v>
      </c>
      <c r="H329" s="14">
        <v>-6.6943575848061876E-3</v>
      </c>
      <c r="I329" s="14">
        <v>-6.6886630956982662E-3</v>
      </c>
      <c r="J329" s="14">
        <v>-3.4372579395816061E-3</v>
      </c>
      <c r="K329" s="14">
        <v>-3.4259249129091839E-3</v>
      </c>
    </row>
    <row r="330" spans="2:11" x14ac:dyDescent="0.25">
      <c r="B330" s="29">
        <v>322</v>
      </c>
      <c r="C330" s="30">
        <v>0.23401162790697674</v>
      </c>
      <c r="D330" s="41">
        <v>2.0348939168047895E-3</v>
      </c>
      <c r="E330" s="41">
        <v>1.9227661980933952E-2</v>
      </c>
      <c r="F330" s="41">
        <v>1.6175026036999718E-3</v>
      </c>
      <c r="G330" s="41">
        <v>7.1420150327174085E-3</v>
      </c>
      <c r="H330" s="14">
        <v>-6.6836167653729905E-3</v>
      </c>
      <c r="I330" s="14">
        <v>-6.6706186164089409E-3</v>
      </c>
      <c r="J330" s="14">
        <v>-3.3922527866088181E-3</v>
      </c>
      <c r="K330" s="14">
        <v>-3.3850505379804385E-3</v>
      </c>
    </row>
    <row r="331" spans="2:11" x14ac:dyDescent="0.25">
      <c r="B331" s="29">
        <v>323</v>
      </c>
      <c r="C331" s="30">
        <v>0.23473837209302326</v>
      </c>
      <c r="D331" s="41">
        <v>1.7862359045163312E-2</v>
      </c>
      <c r="E331" s="41">
        <v>-8.4231663496090459E-3</v>
      </c>
      <c r="F331" s="41">
        <v>-4.8461337934410098E-3</v>
      </c>
      <c r="G331" s="41">
        <v>-4.4729926640857849E-3</v>
      </c>
      <c r="H331" s="14">
        <v>-6.5663364305433847E-3</v>
      </c>
      <c r="I331" s="14">
        <v>-6.585743801652777E-3</v>
      </c>
      <c r="J331" s="14">
        <v>-3.3916117321104444E-3</v>
      </c>
      <c r="K331" s="14">
        <v>-3.3763215337516252E-3</v>
      </c>
    </row>
    <row r="332" spans="2:11" x14ac:dyDescent="0.25">
      <c r="B332" s="29">
        <v>324</v>
      </c>
      <c r="C332" s="30">
        <v>0.23546511627906977</v>
      </c>
      <c r="D332" s="41">
        <v>1.8884185293860385E-2</v>
      </c>
      <c r="E332" s="41">
        <v>6.7787216354198154E-3</v>
      </c>
      <c r="F332" s="41">
        <v>4.3473264023443647E-3</v>
      </c>
      <c r="G332" s="41">
        <v>1.2260808831950243E-3</v>
      </c>
      <c r="H332" s="14">
        <v>-6.5491969437081465E-3</v>
      </c>
      <c r="I332" s="14">
        <v>-6.5524579372006064E-3</v>
      </c>
      <c r="J332" s="14">
        <v>-3.3858953274644721E-3</v>
      </c>
      <c r="K332" s="14">
        <v>-3.3728272533660951E-3</v>
      </c>
    </row>
    <row r="333" spans="2:11" x14ac:dyDescent="0.25">
      <c r="B333" s="29">
        <v>325</v>
      </c>
      <c r="C333" s="30">
        <v>0.23619186046511628</v>
      </c>
      <c r="D333" s="41">
        <v>3.6791707123762954E-3</v>
      </c>
      <c r="E333" s="41">
        <v>1.5234122741083489E-2</v>
      </c>
      <c r="F333" s="41">
        <v>-7.4957046031864927E-4</v>
      </c>
      <c r="G333" s="41">
        <v>7.6357811821907706E-3</v>
      </c>
      <c r="H333" s="14">
        <v>-6.4921752420203926E-3</v>
      </c>
      <c r="I333" s="14">
        <v>-6.5367656969019805E-3</v>
      </c>
      <c r="J333" s="14">
        <v>-3.3829351769116833E-3</v>
      </c>
      <c r="K333" s="14">
        <v>-3.3728115525227809E-3</v>
      </c>
    </row>
    <row r="334" spans="2:11" x14ac:dyDescent="0.25">
      <c r="B334" s="29">
        <v>326</v>
      </c>
      <c r="C334" s="30">
        <v>0.2369186046511628</v>
      </c>
      <c r="D334" s="41">
        <v>2.4183903728831396E-3</v>
      </c>
      <c r="E334" s="41">
        <v>4.2858036663955268E-3</v>
      </c>
      <c r="F334" s="41">
        <v>9.587757060911084E-3</v>
      </c>
      <c r="G334" s="41">
        <v>1.6773135125388364E-3</v>
      </c>
      <c r="H334" s="14">
        <v>-6.4805075832117254E-3</v>
      </c>
      <c r="I334" s="14">
        <v>-6.5345841689435913E-3</v>
      </c>
      <c r="J334" s="14">
        <v>-3.3638469173925545E-3</v>
      </c>
      <c r="K334" s="14">
        <v>-3.3687353848194991E-3</v>
      </c>
    </row>
    <row r="335" spans="2:11" x14ac:dyDescent="0.25">
      <c r="B335" s="29">
        <v>327</v>
      </c>
      <c r="C335" s="30">
        <v>0.23764534883720931</v>
      </c>
      <c r="D335" s="41">
        <v>3.2515909774930504E-3</v>
      </c>
      <c r="E335" s="41">
        <v>-1.7049289266839129E-2</v>
      </c>
      <c r="F335" s="41">
        <v>-7.2656941961846133E-3</v>
      </c>
      <c r="G335" s="41">
        <v>-5.0219028204617549E-3</v>
      </c>
      <c r="H335" s="14">
        <v>-6.397969377282986E-3</v>
      </c>
      <c r="I335" s="14">
        <v>-6.5280867126989994E-3</v>
      </c>
      <c r="J335" s="14">
        <v>-3.355513848603775E-3</v>
      </c>
      <c r="K335" s="14">
        <v>-3.3620626969781851E-3</v>
      </c>
    </row>
    <row r="336" spans="2:11" x14ac:dyDescent="0.25">
      <c r="B336" s="29">
        <v>328</v>
      </c>
      <c r="C336" s="30">
        <v>0.23837209302325582</v>
      </c>
      <c r="D336" s="41">
        <v>-8.0355599124989456E-3</v>
      </c>
      <c r="E336" s="41">
        <v>4.3837873810304018E-3</v>
      </c>
      <c r="F336" s="41">
        <v>4.84049203296677E-3</v>
      </c>
      <c r="G336" s="41">
        <v>1.9825575096230176E-3</v>
      </c>
      <c r="H336" s="14">
        <v>-6.3781079295593957E-3</v>
      </c>
      <c r="I336" s="14">
        <v>-6.5188253929571172E-3</v>
      </c>
      <c r="J336" s="14">
        <v>-3.3548389341186979E-3</v>
      </c>
      <c r="K336" s="14">
        <v>-3.3558748127667129E-3</v>
      </c>
    </row>
    <row r="337" spans="2:11" x14ac:dyDescent="0.25">
      <c r="B337" s="29">
        <v>329</v>
      </c>
      <c r="C337" s="30">
        <v>0.23909883720930233</v>
      </c>
      <c r="D337" s="41">
        <v>-9.6775884640722884E-3</v>
      </c>
      <c r="E337" s="41">
        <v>8.6241349571936077E-4</v>
      </c>
      <c r="F337" s="41">
        <v>8.9459919074807992E-3</v>
      </c>
      <c r="G337" s="41">
        <v>2.4707527187305626E-3</v>
      </c>
      <c r="H337" s="14">
        <v>-6.3747693340044931E-3</v>
      </c>
      <c r="I337" s="14">
        <v>-6.50925096985977E-3</v>
      </c>
      <c r="J337" s="14">
        <v>-3.3450504592356101E-3</v>
      </c>
      <c r="K337" s="14">
        <v>-3.3535219271953578E-3</v>
      </c>
    </row>
    <row r="338" spans="2:11" x14ac:dyDescent="0.25">
      <c r="B338" s="29">
        <v>330</v>
      </c>
      <c r="C338" s="30">
        <v>0.23982558139534885</v>
      </c>
      <c r="D338" s="41">
        <v>1.7030885749466684E-3</v>
      </c>
      <c r="E338" s="41">
        <v>0</v>
      </c>
      <c r="F338" s="41">
        <v>2.7856857468711027E-3</v>
      </c>
      <c r="G338" s="41">
        <v>5.5713714937422054E-4</v>
      </c>
      <c r="H338" s="14">
        <v>-6.3507572056666906E-3</v>
      </c>
      <c r="I338" s="14">
        <v>-6.4926771117165272E-3</v>
      </c>
      <c r="J338" s="14">
        <v>-3.334259516532434E-3</v>
      </c>
      <c r="K338" s="14">
        <v>-3.3525435787531864E-3</v>
      </c>
    </row>
    <row r="339" spans="2:11" x14ac:dyDescent="0.25">
      <c r="B339" s="29">
        <v>331</v>
      </c>
      <c r="C339" s="30">
        <v>0.24055232558139536</v>
      </c>
      <c r="D339" s="41">
        <v>1.3678454794195893E-2</v>
      </c>
      <c r="E339" s="41">
        <v>3.9510739355217428E-3</v>
      </c>
      <c r="F339" s="41">
        <v>-1.710716265809209E-4</v>
      </c>
      <c r="G339" s="41">
        <v>1.1427198321823484E-3</v>
      </c>
      <c r="H339" s="14">
        <v>-6.3274265503082683E-3</v>
      </c>
      <c r="I339" s="14">
        <v>-6.4917859035507064E-3</v>
      </c>
      <c r="J339" s="14">
        <v>-3.330701412103565E-3</v>
      </c>
      <c r="K339" s="14">
        <v>-3.3032605572949512E-3</v>
      </c>
    </row>
    <row r="340" spans="2:11" x14ac:dyDescent="0.25">
      <c r="B340" s="29">
        <v>332</v>
      </c>
      <c r="C340" s="30">
        <v>0.24127906976744187</v>
      </c>
      <c r="D340" s="41">
        <v>1.7684153170334591E-2</v>
      </c>
      <c r="E340" s="41">
        <v>2.0274230688716699E-2</v>
      </c>
      <c r="F340" s="41">
        <v>7.6534517771713606E-3</v>
      </c>
      <c r="G340" s="41">
        <v>9.3710596733614267E-3</v>
      </c>
      <c r="H340" s="14">
        <v>-6.2550120288694666E-3</v>
      </c>
      <c r="I340" s="14">
        <v>-6.4640150264504426E-3</v>
      </c>
      <c r="J340" s="14">
        <v>-3.3253869904870115E-3</v>
      </c>
      <c r="K340" s="14">
        <v>-3.2967740727069426E-3</v>
      </c>
    </row>
    <row r="341" spans="2:11" x14ac:dyDescent="0.25">
      <c r="B341" s="29">
        <v>333</v>
      </c>
      <c r="C341" s="30">
        <v>0.24200581395348839</v>
      </c>
      <c r="D341" s="41">
        <v>2.194997512882509E-2</v>
      </c>
      <c r="E341" s="41">
        <v>-3.1699785590447727E-3</v>
      </c>
      <c r="F341" s="41">
        <v>-1.5740829832575631E-3</v>
      </c>
      <c r="G341" s="41">
        <v>-1.5154074247515582E-3</v>
      </c>
      <c r="H341" s="14">
        <v>-6.2122281330829754E-3</v>
      </c>
      <c r="I341" s="14">
        <v>-6.4612766560898649E-3</v>
      </c>
      <c r="J341" s="14">
        <v>-3.2856465965038772E-3</v>
      </c>
      <c r="K341" s="14">
        <v>-3.2752410528299699E-3</v>
      </c>
    </row>
    <row r="342" spans="2:11" x14ac:dyDescent="0.25">
      <c r="B342" s="29">
        <v>334</v>
      </c>
      <c r="C342" s="30">
        <v>0.24273255813953487</v>
      </c>
      <c r="D342" s="41">
        <v>-3.8673105312344688E-3</v>
      </c>
      <c r="E342" s="41">
        <v>5.2383500740984523E-3</v>
      </c>
      <c r="F342" s="41">
        <v>-3.4943034891780078E-3</v>
      </c>
      <c r="G342" s="41">
        <v>1.8419130766604834E-4</v>
      </c>
      <c r="H342" s="14">
        <v>-6.2121709924052304E-3</v>
      </c>
      <c r="I342" s="14">
        <v>-6.4233041983898786E-3</v>
      </c>
      <c r="J342" s="14">
        <v>-3.2757505167765322E-3</v>
      </c>
      <c r="K342" s="14">
        <v>-3.2600743774267916E-3</v>
      </c>
    </row>
    <row r="343" spans="2:11" x14ac:dyDescent="0.25">
      <c r="B343" s="29">
        <v>335</v>
      </c>
      <c r="C343" s="30">
        <v>0.24345930232558138</v>
      </c>
      <c r="D343" s="41">
        <v>7.3864949685464622E-3</v>
      </c>
      <c r="E343" s="41">
        <v>-3.7572816527943198E-3</v>
      </c>
      <c r="F343" s="41">
        <v>1.1312269933776431E-3</v>
      </c>
      <c r="G343" s="41">
        <v>-6.0115201040344957E-4</v>
      </c>
      <c r="H343" s="14">
        <v>-6.1646117960678648E-3</v>
      </c>
      <c r="I343" s="14">
        <v>-6.421451409226453E-3</v>
      </c>
      <c r="J343" s="14">
        <v>-3.2730186787388593E-3</v>
      </c>
      <c r="K343" s="14">
        <v>-3.2327250299528211E-3</v>
      </c>
    </row>
    <row r="344" spans="2:11" x14ac:dyDescent="0.25">
      <c r="B344" s="29">
        <v>336</v>
      </c>
      <c r="C344" s="30">
        <v>0.2441860465116279</v>
      </c>
      <c r="D344" s="41">
        <v>-1.5010263442892099E-2</v>
      </c>
      <c r="E344" s="41">
        <v>1.0985510225053785E-2</v>
      </c>
      <c r="F344" s="41">
        <v>7.0046582632328214E-3</v>
      </c>
      <c r="G344" s="41">
        <v>9.1672464480170301E-3</v>
      </c>
      <c r="H344" s="14">
        <v>-6.1386408176952179E-3</v>
      </c>
      <c r="I344" s="14">
        <v>-6.3991078422261927E-3</v>
      </c>
      <c r="J344" s="14">
        <v>-3.2715376226826187E-3</v>
      </c>
      <c r="K344" s="14">
        <v>-3.2085963168588362E-3</v>
      </c>
    </row>
    <row r="345" spans="2:11" x14ac:dyDescent="0.25">
      <c r="B345" s="29">
        <v>337</v>
      </c>
      <c r="C345" s="30">
        <v>0.24491279069767441</v>
      </c>
      <c r="D345" s="41">
        <v>2.1426616291768424E-2</v>
      </c>
      <c r="E345" s="41">
        <v>-1.4433974730378996E-3</v>
      </c>
      <c r="F345" s="41">
        <v>3.1404860254882205E-3</v>
      </c>
      <c r="G345" s="41">
        <v>4.2640806870811072E-3</v>
      </c>
      <c r="H345" s="14">
        <v>-6.1358519241768716E-3</v>
      </c>
      <c r="I345" s="14">
        <v>-6.3787037936108293E-3</v>
      </c>
      <c r="J345" s="14">
        <v>-3.2530588463779431E-3</v>
      </c>
      <c r="K345" s="14">
        <v>-3.1948400050632927E-3</v>
      </c>
    </row>
    <row r="346" spans="2:11" x14ac:dyDescent="0.25">
      <c r="B346" s="29">
        <v>338</v>
      </c>
      <c r="C346" s="30">
        <v>0.24563953488372092</v>
      </c>
      <c r="D346" s="41">
        <v>-7.645317233048299E-3</v>
      </c>
      <c r="E346" s="41">
        <v>-6.70826674267333E-3</v>
      </c>
      <c r="F346" s="41">
        <v>3.4670916070791424E-3</v>
      </c>
      <c r="G346" s="41">
        <v>-2.6516885375806876E-3</v>
      </c>
      <c r="H346" s="14">
        <v>-6.1300457619014592E-3</v>
      </c>
      <c r="I346" s="14">
        <v>-6.3565989049028104E-3</v>
      </c>
      <c r="J346" s="14">
        <v>-3.2510197361240722E-3</v>
      </c>
      <c r="K346" s="14">
        <v>-3.1911641126403769E-3</v>
      </c>
    </row>
    <row r="347" spans="2:11" x14ac:dyDescent="0.25">
      <c r="B347" s="29">
        <v>339</v>
      </c>
      <c r="C347" s="30">
        <v>0.24636627906976744</v>
      </c>
      <c r="D347" s="41">
        <v>1.0890904627858217E-2</v>
      </c>
      <c r="E347" s="41">
        <v>-6.138678800549302E-3</v>
      </c>
      <c r="F347" s="41">
        <v>-6.4651401367672445E-3</v>
      </c>
      <c r="G347" s="41">
        <v>-6.8641600857767496E-3</v>
      </c>
      <c r="H347" s="14">
        <v>-6.1284864339279377E-3</v>
      </c>
      <c r="I347" s="14">
        <v>-6.3514216776269228E-3</v>
      </c>
      <c r="J347" s="14">
        <v>-3.2199154171471678E-3</v>
      </c>
      <c r="K347" s="14">
        <v>-3.1420045190037049E-3</v>
      </c>
    </row>
    <row r="348" spans="2:11" x14ac:dyDescent="0.25">
      <c r="B348" s="29">
        <v>340</v>
      </c>
      <c r="C348" s="30">
        <v>0.24709302325581395</v>
      </c>
      <c r="D348" s="41">
        <v>-1.7110345807851742E-3</v>
      </c>
      <c r="E348" s="41">
        <v>-1.5312593448066014E-2</v>
      </c>
      <c r="F348" s="41">
        <v>-5.438721727301532E-3</v>
      </c>
      <c r="G348" s="41">
        <v>-1.2490934010259825E-2</v>
      </c>
      <c r="H348" s="14">
        <v>-6.1203164651439934E-3</v>
      </c>
      <c r="I348" s="14">
        <v>-6.2629064106235477E-3</v>
      </c>
      <c r="J348" s="14">
        <v>-3.1956614256187788E-3</v>
      </c>
      <c r="K348" s="14">
        <v>-3.1285613241125E-3</v>
      </c>
    </row>
    <row r="349" spans="2:11" x14ac:dyDescent="0.25">
      <c r="B349" s="29">
        <v>341</v>
      </c>
      <c r="C349" s="30">
        <v>0.24781976744186046</v>
      </c>
      <c r="D349" s="41">
        <v>-5.213012917309451E-3</v>
      </c>
      <c r="E349" s="41">
        <v>-1.6231386265106451E-3</v>
      </c>
      <c r="F349" s="41">
        <v>-5.6748115077054351E-5</v>
      </c>
      <c r="G349" s="41">
        <v>-6.2800775351188783E-3</v>
      </c>
      <c r="H349" s="14">
        <v>-6.0986866887476898E-3</v>
      </c>
      <c r="I349" s="14">
        <v>-6.2427280050120215E-3</v>
      </c>
      <c r="J349" s="14">
        <v>-3.17477525572607E-3</v>
      </c>
      <c r="K349" s="14">
        <v>-3.1050182123615322E-3</v>
      </c>
    </row>
    <row r="350" spans="2:11" x14ac:dyDescent="0.25">
      <c r="B350" s="29">
        <v>342</v>
      </c>
      <c r="C350" s="30">
        <v>0.24854651162790697</v>
      </c>
      <c r="D350" s="41">
        <v>-3.2667424448663837E-3</v>
      </c>
      <c r="E350" s="41">
        <v>1.0488887024197924E-2</v>
      </c>
      <c r="F350" s="41">
        <v>-1.6923317676464933E-3</v>
      </c>
      <c r="G350" s="41">
        <v>6.6725893926686385E-3</v>
      </c>
      <c r="H350" s="14">
        <v>-6.0676676852727818E-3</v>
      </c>
      <c r="I350" s="14">
        <v>-6.204910279397402E-3</v>
      </c>
      <c r="J350" s="14">
        <v>-3.1707850426415662E-3</v>
      </c>
      <c r="K350" s="14">
        <v>-3.1027185530700051E-3</v>
      </c>
    </row>
    <row r="351" spans="2:11" x14ac:dyDescent="0.25">
      <c r="B351" s="29">
        <v>343</v>
      </c>
      <c r="C351" s="30">
        <v>0.24927325581395349</v>
      </c>
      <c r="D351" s="41">
        <v>-1.4856961465857718E-3</v>
      </c>
      <c r="E351" s="41">
        <v>4.8267056955126897E-3</v>
      </c>
      <c r="F351" s="41">
        <v>8.1341788329405418E-3</v>
      </c>
      <c r="G351" s="41">
        <v>2.9437978298224813E-3</v>
      </c>
      <c r="H351" s="14">
        <v>-6.0461416070008989E-3</v>
      </c>
      <c r="I351" s="14">
        <v>-6.1771137026238598E-3</v>
      </c>
      <c r="J351" s="14">
        <v>-3.1299118853060914E-3</v>
      </c>
      <c r="K351" s="14">
        <v>-3.0540144491021833E-3</v>
      </c>
    </row>
    <row r="352" spans="2:11" x14ac:dyDescent="0.25">
      <c r="B352" s="29">
        <v>344</v>
      </c>
      <c r="C352" s="30">
        <v>0.25</v>
      </c>
      <c r="D352" s="41">
        <v>-3.6547978944836529E-3</v>
      </c>
      <c r="E352" s="41">
        <v>-2.5825379116565239E-3</v>
      </c>
      <c r="F352" s="41">
        <v>-7.1721514437255163E-3</v>
      </c>
      <c r="G352" s="41">
        <v>-3.5038960775990468E-4</v>
      </c>
      <c r="H352" s="14">
        <v>-6.0206193377321249E-3</v>
      </c>
      <c r="I352" s="14">
        <v>-6.1614105174201406E-3</v>
      </c>
      <c r="J352" s="14">
        <v>-3.1264747522417036E-3</v>
      </c>
      <c r="K352" s="14">
        <v>-3.0531471345605302E-3</v>
      </c>
    </row>
    <row r="353" spans="2:11" x14ac:dyDescent="0.25">
      <c r="B353" s="29">
        <v>345</v>
      </c>
      <c r="C353" s="30">
        <v>0.25072674418604651</v>
      </c>
      <c r="D353" s="41">
        <v>-4.2320356784141568E-3</v>
      </c>
      <c r="E353" s="41">
        <v>-1.0605464299770051E-2</v>
      </c>
      <c r="F353" s="41">
        <v>3.9524284073944038E-4</v>
      </c>
      <c r="G353" s="41">
        <v>-7.2201415568680536E-3</v>
      </c>
      <c r="H353" s="14">
        <v>-6.0063049610088459E-3</v>
      </c>
      <c r="I353" s="14">
        <v>-6.138678800549302E-3</v>
      </c>
      <c r="J353" s="14">
        <v>-3.1262236383633457E-3</v>
      </c>
      <c r="K353" s="14">
        <v>-3.0506768240727844E-3</v>
      </c>
    </row>
    <row r="354" spans="2:11" x14ac:dyDescent="0.25">
      <c r="B354" s="29">
        <v>346</v>
      </c>
      <c r="C354" s="30">
        <v>0.25145348837209303</v>
      </c>
      <c r="D354" s="41">
        <v>5.2695928045760785E-3</v>
      </c>
      <c r="E354" s="41">
        <v>-8.9186642939390604E-3</v>
      </c>
      <c r="F354" s="41">
        <v>-3.9508668555543469E-4</v>
      </c>
      <c r="G354" s="41">
        <v>-6.7270969524705357E-3</v>
      </c>
      <c r="H354" s="14">
        <v>-5.9869361026300139E-3</v>
      </c>
      <c r="I354" s="14">
        <v>-5.992710359786213E-3</v>
      </c>
      <c r="J354" s="14">
        <v>-3.1179239645675594E-3</v>
      </c>
      <c r="K354" s="14">
        <v>-3.046581445654973E-3</v>
      </c>
    </row>
    <row r="355" spans="2:11" x14ac:dyDescent="0.25">
      <c r="B355" s="29">
        <v>347</v>
      </c>
      <c r="C355" s="30">
        <v>0.25218023255813954</v>
      </c>
      <c r="D355" s="41">
        <v>-5.5573326608181249E-3</v>
      </c>
      <c r="E355" s="41">
        <v>7.3089841357021346E-3</v>
      </c>
      <c r="F355" s="41">
        <v>4.8533705401485605E-3</v>
      </c>
      <c r="G355" s="41">
        <v>4.0322235397820096E-3</v>
      </c>
      <c r="H355" s="14">
        <v>-5.9514916642424698E-3</v>
      </c>
      <c r="I355" s="14">
        <v>-5.9811534447151704E-3</v>
      </c>
      <c r="J355" s="14">
        <v>-3.0845420418337266E-3</v>
      </c>
      <c r="K355" s="14">
        <v>-3.0307484797656996E-3</v>
      </c>
    </row>
    <row r="356" spans="2:11" x14ac:dyDescent="0.25">
      <c r="B356" s="29">
        <v>348</v>
      </c>
      <c r="C356" s="30">
        <v>0.25290697674418605</v>
      </c>
      <c r="D356" s="41">
        <v>-8.942021125284466E-4</v>
      </c>
      <c r="E356" s="41">
        <v>-1.5329768270944788E-2</v>
      </c>
      <c r="F356" s="41">
        <v>-3.9864285626669549E-3</v>
      </c>
      <c r="G356" s="41">
        <v>-6.7223139704672983E-3</v>
      </c>
      <c r="H356" s="14">
        <v>-5.9231739800925665E-3</v>
      </c>
      <c r="I356" s="14">
        <v>-5.9730705632234926E-3</v>
      </c>
      <c r="J356" s="14">
        <v>-3.0663445456236005E-3</v>
      </c>
      <c r="K356" s="14">
        <v>-3.0298542808011144E-3</v>
      </c>
    </row>
    <row r="357" spans="2:11" x14ac:dyDescent="0.25">
      <c r="B357" s="29">
        <v>349</v>
      </c>
      <c r="C357" s="30">
        <v>0.25363372093023256</v>
      </c>
      <c r="D357" s="41">
        <v>-4.7597004758083228E-3</v>
      </c>
      <c r="E357" s="41">
        <v>-6.7938833752182459E-3</v>
      </c>
      <c r="F357" s="41">
        <v>-5.0866526730741768E-4</v>
      </c>
      <c r="G357" s="41">
        <v>-1.9231959902118682E-3</v>
      </c>
      <c r="H357" s="14">
        <v>-5.8978938751208521E-3</v>
      </c>
      <c r="I357" s="14">
        <v>-5.9052232607162969E-3</v>
      </c>
      <c r="J357" s="14">
        <v>-3.0562323699795391E-3</v>
      </c>
      <c r="K357" s="14">
        <v>-2.9985992167208772E-3</v>
      </c>
    </row>
    <row r="358" spans="2:11" x14ac:dyDescent="0.25">
      <c r="B358" s="29">
        <v>350</v>
      </c>
      <c r="C358" s="30">
        <v>0.25436046511627908</v>
      </c>
      <c r="D358" s="41">
        <v>-1.41887040272143E-2</v>
      </c>
      <c r="E358" s="41">
        <v>0</v>
      </c>
      <c r="F358" s="41">
        <v>0</v>
      </c>
      <c r="G358" s="41">
        <v>0</v>
      </c>
      <c r="H358" s="14">
        <v>-5.8871826286044371E-3</v>
      </c>
      <c r="I358" s="14">
        <v>-5.8831029269803548E-3</v>
      </c>
      <c r="J358" s="14">
        <v>-3.0403103213293425E-3</v>
      </c>
      <c r="K358" s="14">
        <v>-2.991080376302158E-3</v>
      </c>
    </row>
    <row r="359" spans="2:11" x14ac:dyDescent="0.25">
      <c r="B359" s="29">
        <v>351</v>
      </c>
      <c r="C359" s="30">
        <v>0.25508720930232559</v>
      </c>
      <c r="D359" s="41">
        <v>-5.2154799626814826E-3</v>
      </c>
      <c r="E359" s="41">
        <v>4.0313069582931238E-3</v>
      </c>
      <c r="F359" s="41">
        <v>0</v>
      </c>
      <c r="G359" s="41">
        <v>1.543775037285755E-3</v>
      </c>
      <c r="H359" s="14">
        <v>-5.8773884043912261E-3</v>
      </c>
      <c r="I359" s="14">
        <v>-5.8634153024180735E-3</v>
      </c>
      <c r="J359" s="14">
        <v>-3.0271277215042636E-3</v>
      </c>
      <c r="K359" s="14">
        <v>-2.983785011325458E-3</v>
      </c>
    </row>
    <row r="360" spans="2:11" x14ac:dyDescent="0.25">
      <c r="B360" s="29">
        <v>352</v>
      </c>
      <c r="C360" s="30">
        <v>0.2558139534883721</v>
      </c>
      <c r="D360" s="41">
        <v>8.274667890057933E-3</v>
      </c>
      <c r="E360" s="41">
        <v>1.8036007944813415E-2</v>
      </c>
      <c r="F360" s="41">
        <v>6.3192350257537111E-3</v>
      </c>
      <c r="G360" s="41">
        <v>9.9227679363342886E-3</v>
      </c>
      <c r="H360" s="14">
        <v>-5.8421353428022016E-3</v>
      </c>
      <c r="I360" s="14">
        <v>-5.8552496724803005E-3</v>
      </c>
      <c r="J360" s="14">
        <v>-3.0213170704415093E-3</v>
      </c>
      <c r="K360" s="14">
        <v>-2.9801831241592419E-3</v>
      </c>
    </row>
    <row r="361" spans="2:11" x14ac:dyDescent="0.25">
      <c r="B361" s="29">
        <v>353</v>
      </c>
      <c r="C361" s="30">
        <v>0.25654069767441862</v>
      </c>
      <c r="D361" s="41">
        <v>2.7209510845513732E-4</v>
      </c>
      <c r="E361" s="41">
        <v>1.8345833114805643E-2</v>
      </c>
      <c r="F361" s="41">
        <v>4.4304271226465186E-3</v>
      </c>
      <c r="G361" s="41">
        <v>1.1582842945822014E-2</v>
      </c>
      <c r="H361" s="14">
        <v>-5.8159425248032193E-3</v>
      </c>
      <c r="I361" s="14">
        <v>-5.8548362758412686E-3</v>
      </c>
      <c r="J361" s="14">
        <v>-3.0188360866671982E-3</v>
      </c>
      <c r="K361" s="14">
        <v>-2.959147744195412E-3</v>
      </c>
    </row>
    <row r="362" spans="2:11" x14ac:dyDescent="0.25">
      <c r="B362" s="29">
        <v>354</v>
      </c>
      <c r="C362" s="30">
        <v>0.25726744186046513</v>
      </c>
      <c r="D362" s="41">
        <v>2.7201374501362799E-3</v>
      </c>
      <c r="E362" s="41">
        <v>-4.2231469655151788E-4</v>
      </c>
      <c r="F362" s="41">
        <v>3.6825458476590356E-3</v>
      </c>
      <c r="G362" s="41">
        <v>-3.1027185530700051E-3</v>
      </c>
      <c r="H362" s="14">
        <v>-5.8030380611026056E-3</v>
      </c>
      <c r="I362" s="14">
        <v>-5.852972732990569E-3</v>
      </c>
      <c r="J362" s="14">
        <v>-3.0081207004402089E-3</v>
      </c>
      <c r="K362" s="14">
        <v>-2.9338830022112459E-3</v>
      </c>
    </row>
    <row r="363" spans="2:11" x14ac:dyDescent="0.25">
      <c r="B363" s="29">
        <v>355</v>
      </c>
      <c r="C363" s="30">
        <v>0.25799418604651164</v>
      </c>
      <c r="D363" s="41">
        <v>1.7521418071680707E-2</v>
      </c>
      <c r="E363" s="41">
        <v>0</v>
      </c>
      <c r="F363" s="41">
        <v>0</v>
      </c>
      <c r="G363" s="41">
        <v>0</v>
      </c>
      <c r="H363" s="14">
        <v>-5.7589218563660616E-3</v>
      </c>
      <c r="I363" s="14">
        <v>-5.8327691517934266E-3</v>
      </c>
      <c r="J363" s="14">
        <v>-3.006753631233261E-3</v>
      </c>
      <c r="K363" s="14">
        <v>-2.9179011733937886E-3</v>
      </c>
    </row>
    <row r="364" spans="2:11" x14ac:dyDescent="0.25">
      <c r="B364" s="29">
        <v>356</v>
      </c>
      <c r="C364" s="30">
        <v>0.25872093023255816</v>
      </c>
      <c r="D364" s="41">
        <v>4.9607390552928714E-3</v>
      </c>
      <c r="E364" s="41">
        <v>4.7504714404955628E-3</v>
      </c>
      <c r="F364" s="41">
        <v>3.1149057630275312E-3</v>
      </c>
      <c r="G364" s="41">
        <v>-3.3763215337516252E-3</v>
      </c>
      <c r="H364" s="14">
        <v>-5.7484123022906175E-3</v>
      </c>
      <c r="I364" s="14">
        <v>-5.8225281140539265E-3</v>
      </c>
      <c r="J364" s="14">
        <v>-3.0061793687023997E-3</v>
      </c>
      <c r="K364" s="14">
        <v>-2.9156607281749288E-3</v>
      </c>
    </row>
    <row r="365" spans="2:11" x14ac:dyDescent="0.25">
      <c r="B365" s="29">
        <v>357</v>
      </c>
      <c r="C365" s="30">
        <v>0.25944767441860467</v>
      </c>
      <c r="D365" s="41">
        <v>4.7225952006513632E-3</v>
      </c>
      <c r="E365" s="41">
        <v>2.0819658680670816E-3</v>
      </c>
      <c r="F365" s="41">
        <v>8.205113430083566E-3</v>
      </c>
      <c r="G365" s="41">
        <v>-7.3434362816796397E-3</v>
      </c>
      <c r="H365" s="14">
        <v>-5.7143256761904571E-3</v>
      </c>
      <c r="I365" s="14">
        <v>-5.8149440357935234E-3</v>
      </c>
      <c r="J365" s="14">
        <v>-2.973381159146693E-3</v>
      </c>
      <c r="K365" s="14">
        <v>-2.9083088156340196E-3</v>
      </c>
    </row>
    <row r="366" spans="2:11" x14ac:dyDescent="0.25">
      <c r="B366" s="29">
        <v>358</v>
      </c>
      <c r="C366" s="30">
        <v>0.26017441860465118</v>
      </c>
      <c r="D366" s="41">
        <v>9.5025448016567305E-3</v>
      </c>
      <c r="E366" s="41">
        <v>-1.0736180621654601E-2</v>
      </c>
      <c r="F366" s="41">
        <v>2.2544993293152071E-3</v>
      </c>
      <c r="G366" s="41">
        <v>-4.9142494137721657E-3</v>
      </c>
      <c r="H366" s="14">
        <v>-5.6723584036969532E-3</v>
      </c>
      <c r="I366" s="14">
        <v>-5.7919133507732257E-3</v>
      </c>
      <c r="J366" s="14">
        <v>-2.9572338489536332E-3</v>
      </c>
      <c r="K366" s="14">
        <v>-2.9053141789823216E-3</v>
      </c>
    </row>
    <row r="367" spans="2:11" x14ac:dyDescent="0.25">
      <c r="B367" s="29">
        <v>359</v>
      </c>
      <c r="C367" s="30">
        <v>0.26090116279069769</v>
      </c>
      <c r="D367" s="41">
        <v>3.7416088631333283E-3</v>
      </c>
      <c r="E367" s="41">
        <v>-2.6692048252602296E-3</v>
      </c>
      <c r="F367" s="41">
        <v>1.7016535672624844E-3</v>
      </c>
      <c r="G367" s="41">
        <v>3.0658285263299059E-3</v>
      </c>
      <c r="H367" s="14">
        <v>-5.5921466088596494E-3</v>
      </c>
      <c r="I367" s="14">
        <v>-5.7227208809352836E-3</v>
      </c>
      <c r="J367" s="14">
        <v>-2.9352839770768746E-3</v>
      </c>
      <c r="K367" s="14">
        <v>-2.89545582766082E-3</v>
      </c>
    </row>
    <row r="368" spans="2:11" x14ac:dyDescent="0.25">
      <c r="B368" s="29">
        <v>360</v>
      </c>
      <c r="C368" s="30">
        <v>0.26162790697674421</v>
      </c>
      <c r="D368" s="41">
        <v>-4.0724723817261244E-3</v>
      </c>
      <c r="E368" s="41">
        <v>-8.246887966805061E-3</v>
      </c>
      <c r="F368" s="41">
        <v>-4.9848329146621184E-3</v>
      </c>
      <c r="G368" s="41">
        <v>-8.762223177823247E-3</v>
      </c>
      <c r="H368" s="14">
        <v>-5.5612443063451922E-3</v>
      </c>
      <c r="I368" s="14">
        <v>-5.6969236612228746E-3</v>
      </c>
      <c r="J368" s="14">
        <v>-2.9229958311371984E-3</v>
      </c>
      <c r="K368" s="14">
        <v>-2.8450200263797415E-3</v>
      </c>
    </row>
    <row r="369" spans="2:11" x14ac:dyDescent="0.25">
      <c r="B369" s="29">
        <v>361</v>
      </c>
      <c r="C369" s="30">
        <v>0.26235465116279072</v>
      </c>
      <c r="D369" s="41">
        <v>5.6766067977304683E-3</v>
      </c>
      <c r="E369" s="41">
        <v>-2.9663720516709291E-2</v>
      </c>
      <c r="F369" s="41">
        <v>2.0369425690442977E-3</v>
      </c>
      <c r="G369" s="41">
        <v>-1.7624067366221043E-2</v>
      </c>
      <c r="H369" s="14">
        <v>-5.5302850917826607E-3</v>
      </c>
      <c r="I369" s="14">
        <v>-5.6724788087794131E-3</v>
      </c>
      <c r="J369" s="14">
        <v>-2.9179058414231518E-3</v>
      </c>
      <c r="K369" s="14">
        <v>-2.8421397603673793E-3</v>
      </c>
    </row>
    <row r="370" spans="2:11" x14ac:dyDescent="0.25">
      <c r="B370" s="29">
        <v>362</v>
      </c>
      <c r="C370" s="30">
        <v>0.26308139534883723</v>
      </c>
      <c r="D370" s="41">
        <v>-9.1425732810502733E-4</v>
      </c>
      <c r="E370" s="41">
        <v>1.241794133816243E-2</v>
      </c>
      <c r="F370" s="41">
        <v>-9.8925169828123494E-4</v>
      </c>
      <c r="G370" s="41">
        <v>4.4780239714648845E-3</v>
      </c>
      <c r="H370" s="14">
        <v>-5.5001766850305556E-3</v>
      </c>
      <c r="I370" s="14">
        <v>-5.6591626516031557E-3</v>
      </c>
      <c r="J370" s="14">
        <v>-2.9175382582847798E-3</v>
      </c>
      <c r="K370" s="14">
        <v>-2.8060227991059342E-3</v>
      </c>
    </row>
    <row r="371" spans="2:11" x14ac:dyDescent="0.25">
      <c r="B371" s="29">
        <v>363</v>
      </c>
      <c r="C371" s="30">
        <v>0.26380813953488375</v>
      </c>
      <c r="D371" s="41">
        <v>5.3857562667735887E-3</v>
      </c>
      <c r="E371" s="41">
        <v>1.3745594701930264E-2</v>
      </c>
      <c r="F371" s="41">
        <v>1.5407876455930669E-3</v>
      </c>
      <c r="G371" s="41">
        <v>7.5553765732576219E-3</v>
      </c>
      <c r="H371" s="14">
        <v>-5.4953935671570031E-3</v>
      </c>
      <c r="I371" s="14">
        <v>-5.6562284745402813E-3</v>
      </c>
      <c r="J371" s="14">
        <v>-2.9066387629346213E-3</v>
      </c>
      <c r="K371" s="14">
        <v>-2.7979930947335417E-3</v>
      </c>
    </row>
    <row r="372" spans="2:11" x14ac:dyDescent="0.25">
      <c r="B372" s="29">
        <v>364</v>
      </c>
      <c r="C372" s="30">
        <v>0.26453488372093026</v>
      </c>
      <c r="D372" s="41">
        <v>-6.2860312486757173E-3</v>
      </c>
      <c r="E372" s="41">
        <v>6.1126748729152247E-3</v>
      </c>
      <c r="F372" s="41">
        <v>8.221400376013932E-4</v>
      </c>
      <c r="G372" s="41">
        <v>5.2215310444724498E-3</v>
      </c>
      <c r="H372" s="14">
        <v>-5.4316537133670684E-3</v>
      </c>
      <c r="I372" s="14">
        <v>-5.6203088257776868E-3</v>
      </c>
      <c r="J372" s="14">
        <v>-2.8944246737840906E-3</v>
      </c>
      <c r="K372" s="14">
        <v>-2.7956929649212369E-3</v>
      </c>
    </row>
    <row r="373" spans="2:11" x14ac:dyDescent="0.25">
      <c r="B373" s="29">
        <v>365</v>
      </c>
      <c r="C373" s="30">
        <v>0.26526162790697677</v>
      </c>
      <c r="D373" s="41">
        <v>-2.1809667262829993E-3</v>
      </c>
      <c r="E373" s="41">
        <v>-7.526567425934827E-3</v>
      </c>
      <c r="F373" s="41">
        <v>4.6090856128748747E-3</v>
      </c>
      <c r="G373" s="41">
        <v>-1.0075905949708643E-3</v>
      </c>
      <c r="H373" s="14">
        <v>-5.4272818829497194E-3</v>
      </c>
      <c r="I373" s="14">
        <v>-5.573686617725726E-3</v>
      </c>
      <c r="J373" s="14">
        <v>-2.892608743962688E-3</v>
      </c>
      <c r="K373" s="14">
        <v>-2.7942174440973356E-3</v>
      </c>
    </row>
    <row r="374" spans="2:11" x14ac:dyDescent="0.25">
      <c r="B374" s="29">
        <v>366</v>
      </c>
      <c r="C374" s="30">
        <v>0.26598837209302323</v>
      </c>
      <c r="D374" s="41">
        <v>2.1940864200579212E-3</v>
      </c>
      <c r="E374" s="41">
        <v>1.1338655559412159E-2</v>
      </c>
      <c r="F374" s="41">
        <v>-2.2381274244043237E-3</v>
      </c>
      <c r="G374" s="41">
        <v>8.0418872554749669E-3</v>
      </c>
      <c r="H374" s="14">
        <v>-5.4190548914284653E-3</v>
      </c>
      <c r="I374" s="14">
        <v>-5.5709276001361108E-3</v>
      </c>
      <c r="J374" s="14">
        <v>-2.8772753963595132E-3</v>
      </c>
      <c r="K374" s="14">
        <v>-2.7920787091253894E-3</v>
      </c>
    </row>
    <row r="375" spans="2:11" x14ac:dyDescent="0.25">
      <c r="B375" s="29">
        <v>367</v>
      </c>
      <c r="C375" s="30">
        <v>0.26671511627906974</v>
      </c>
      <c r="D375" s="41">
        <v>-1.3076529905397961E-2</v>
      </c>
      <c r="E375" s="41">
        <v>0</v>
      </c>
      <c r="F375" s="41">
        <v>5.2529392289082377E-3</v>
      </c>
      <c r="G375" s="41">
        <v>1.0505878457816476E-3</v>
      </c>
      <c r="H375" s="14">
        <v>-5.4037826478534612E-3</v>
      </c>
      <c r="I375" s="14">
        <v>-5.566339346882776E-3</v>
      </c>
      <c r="J375" s="14">
        <v>-2.8495378117328052E-3</v>
      </c>
      <c r="K375" s="14">
        <v>-2.7858882158208424E-3</v>
      </c>
    </row>
    <row r="376" spans="2:11" x14ac:dyDescent="0.25">
      <c r="B376" s="29">
        <v>368</v>
      </c>
      <c r="C376" s="30">
        <v>0.26744186046511625</v>
      </c>
      <c r="D376" s="41">
        <v>2.1225773620110753E-3</v>
      </c>
      <c r="E376" s="41">
        <v>1.7774126114133093E-2</v>
      </c>
      <c r="F376" s="41">
        <v>2.2329143618324832E-3</v>
      </c>
      <c r="G376" s="41">
        <v>9.8341867755212583E-3</v>
      </c>
      <c r="H376" s="14">
        <v>-5.3837774426011009E-3</v>
      </c>
      <c r="I376" s="14">
        <v>-5.5481491534083993E-3</v>
      </c>
      <c r="J376" s="14">
        <v>-2.8372933596383376E-3</v>
      </c>
      <c r="K376" s="14">
        <v>-2.756838438189124E-3</v>
      </c>
    </row>
    <row r="377" spans="2:11" x14ac:dyDescent="0.25">
      <c r="B377" s="29">
        <v>369</v>
      </c>
      <c r="C377" s="30">
        <v>0.26816860465116277</v>
      </c>
      <c r="D377" s="41">
        <v>-8.5149899547757209E-3</v>
      </c>
      <c r="E377" s="41">
        <v>-7.9603515225833421E-3</v>
      </c>
      <c r="F377" s="41">
        <v>-7.3347650593533764E-3</v>
      </c>
      <c r="G377" s="41">
        <v>-6.349970083807133E-3</v>
      </c>
      <c r="H377" s="14">
        <v>-5.380746247864665E-3</v>
      </c>
      <c r="I377" s="14">
        <v>-5.5416488257962193E-3</v>
      </c>
      <c r="J377" s="14">
        <v>-2.8354315526823992E-3</v>
      </c>
      <c r="K377" s="14">
        <v>-2.7400389026293495E-3</v>
      </c>
    </row>
    <row r="378" spans="2:11" x14ac:dyDescent="0.25">
      <c r="B378" s="29">
        <v>370</v>
      </c>
      <c r="C378" s="30">
        <v>0.26889534883720928</v>
      </c>
      <c r="D378" s="41">
        <v>9.7886094643393254E-4</v>
      </c>
      <c r="E378" s="41">
        <v>-8.0036258382175651E-3</v>
      </c>
      <c r="F378" s="41">
        <v>-1.3571099836935829E-2</v>
      </c>
      <c r="G378" s="41">
        <v>-4.8493350066366233E-3</v>
      </c>
      <c r="H378" s="14">
        <v>-5.3595155954393459E-3</v>
      </c>
      <c r="I378" s="14">
        <v>-5.5086301872934174E-3</v>
      </c>
      <c r="J378" s="14">
        <v>-2.8328849380057086E-3</v>
      </c>
      <c r="K378" s="14">
        <v>-2.7352325870576791E-3</v>
      </c>
    </row>
    <row r="379" spans="2:11" x14ac:dyDescent="0.25">
      <c r="B379" s="29">
        <v>371</v>
      </c>
      <c r="C379" s="30">
        <v>0.26962209302325579</v>
      </c>
      <c r="D379" s="41">
        <v>4.1537579551209332E-4</v>
      </c>
      <c r="E379" s="41">
        <v>-5.6591626516031557E-3</v>
      </c>
      <c r="F379" s="41">
        <v>-1.2205370672259019E-2</v>
      </c>
      <c r="G379" s="41">
        <v>5.0081545946881745E-3</v>
      </c>
      <c r="H379" s="14">
        <v>-5.3525160276314265E-3</v>
      </c>
      <c r="I379" s="14">
        <v>-5.4821390401226244E-3</v>
      </c>
      <c r="J379" s="14">
        <v>-2.8228938380033819E-3</v>
      </c>
      <c r="K379" s="14">
        <v>-2.7289139203834356E-3</v>
      </c>
    </row>
    <row r="380" spans="2:11" x14ac:dyDescent="0.25">
      <c r="B380" s="29">
        <v>372</v>
      </c>
      <c r="C380" s="30">
        <v>0.27034883720930231</v>
      </c>
      <c r="D380" s="41">
        <v>7.7306941971082418E-3</v>
      </c>
      <c r="E380" s="41">
        <v>-6.6834448981289984E-4</v>
      </c>
      <c r="F380" s="41">
        <v>4.8306327840308416E-3</v>
      </c>
      <c r="G380" s="41">
        <v>-3.7310486039066511E-3</v>
      </c>
      <c r="H380" s="14">
        <v>-5.3497045659078868E-3</v>
      </c>
      <c r="I380" s="14">
        <v>-5.4809953416010693E-3</v>
      </c>
      <c r="J380" s="14">
        <v>-2.8225992077253181E-3</v>
      </c>
      <c r="K380" s="14">
        <v>-2.7003998614891778E-3</v>
      </c>
    </row>
    <row r="381" spans="2:11" x14ac:dyDescent="0.25">
      <c r="B381" s="29">
        <v>373</v>
      </c>
      <c r="C381" s="30">
        <v>0.27107558139534882</v>
      </c>
      <c r="D381" s="41">
        <v>-3.3791837305995418E-3</v>
      </c>
      <c r="E381" s="41">
        <v>1.2612989184387802E-2</v>
      </c>
      <c r="F381" s="41">
        <v>0</v>
      </c>
      <c r="G381" s="41">
        <v>9.5945698530902849E-3</v>
      </c>
      <c r="H381" s="14">
        <v>-5.3294370447598549E-3</v>
      </c>
      <c r="I381" s="14">
        <v>-5.4422377288722013E-3</v>
      </c>
      <c r="J381" s="14">
        <v>-2.8107472627107999E-3</v>
      </c>
      <c r="K381" s="14">
        <v>-2.6516885375806876E-3</v>
      </c>
    </row>
    <row r="382" spans="2:11" x14ac:dyDescent="0.25">
      <c r="B382" s="29">
        <v>374</v>
      </c>
      <c r="C382" s="30">
        <v>0.27180232558139533</v>
      </c>
      <c r="D382" s="41">
        <v>9.7928585014433918E-3</v>
      </c>
      <c r="E382" s="41">
        <v>8.709830550453157E-3</v>
      </c>
      <c r="F382" s="41">
        <v>9.1100845997482693E-3</v>
      </c>
      <c r="G382" s="41">
        <v>4.7523403449216683E-3</v>
      </c>
      <c r="H382" s="14">
        <v>-5.3292011786117977E-3</v>
      </c>
      <c r="I382" s="14">
        <v>-5.4079220686197305E-3</v>
      </c>
      <c r="J382" s="14">
        <v>-2.8065754052351011E-3</v>
      </c>
      <c r="K382" s="14">
        <v>-2.6447072242439251E-3</v>
      </c>
    </row>
    <row r="383" spans="2:11" x14ac:dyDescent="0.25">
      <c r="B383" s="29">
        <v>375</v>
      </c>
      <c r="C383" s="30">
        <v>0.27252906976744184</v>
      </c>
      <c r="D383" s="41">
        <v>-6.6521735416165979E-3</v>
      </c>
      <c r="E383" s="41">
        <v>8.2151699302273062E-3</v>
      </c>
      <c r="F383" s="41">
        <v>9.9150780788312964E-3</v>
      </c>
      <c r="G383" s="41">
        <v>-2.7003998614891778E-3</v>
      </c>
      <c r="H383" s="14">
        <v>-5.3070507960576441E-3</v>
      </c>
      <c r="I383" s="14">
        <v>-5.3734076561019473E-3</v>
      </c>
      <c r="J383" s="14">
        <v>-2.7487049370968908E-3</v>
      </c>
      <c r="K383" s="14">
        <v>-2.6416866056299341E-3</v>
      </c>
    </row>
    <row r="384" spans="2:11" x14ac:dyDescent="0.25">
      <c r="B384" s="29">
        <v>376</v>
      </c>
      <c r="C384" s="30">
        <v>0.27325581395348836</v>
      </c>
      <c r="D384" s="41">
        <v>2.4752784199521337E-2</v>
      </c>
      <c r="E384" s="41">
        <v>-5.2867101644867853E-3</v>
      </c>
      <c r="F384" s="41">
        <v>2.5774241576490553E-3</v>
      </c>
      <c r="G384" s="41">
        <v>-4.7811026795778755E-3</v>
      </c>
      <c r="H384" s="14">
        <v>-5.2943205395040716E-3</v>
      </c>
      <c r="I384" s="14">
        <v>-5.3689505114632441E-3</v>
      </c>
      <c r="J384" s="14">
        <v>-2.6942294503772279E-3</v>
      </c>
      <c r="K384" s="14">
        <v>-2.6398176759227622E-3</v>
      </c>
    </row>
    <row r="385" spans="2:11" x14ac:dyDescent="0.25">
      <c r="B385" s="29">
        <v>377</v>
      </c>
      <c r="C385" s="30">
        <v>0.27398255813953487</v>
      </c>
      <c r="D385" s="41">
        <v>-1.72960835166329E-2</v>
      </c>
      <c r="E385" s="41">
        <v>2.1412249561349794E-2</v>
      </c>
      <c r="F385" s="41">
        <v>-3.1179239645675594E-3</v>
      </c>
      <c r="G385" s="41">
        <v>1.186147683833454E-2</v>
      </c>
      <c r="H385" s="14">
        <v>-5.2938062466914015E-3</v>
      </c>
      <c r="I385" s="14">
        <v>-5.3534725873524147E-3</v>
      </c>
      <c r="J385" s="14">
        <v>-2.6628794603230643E-3</v>
      </c>
      <c r="K385" s="14">
        <v>-2.6360329741713208E-3</v>
      </c>
    </row>
    <row r="386" spans="2:11" x14ac:dyDescent="0.25">
      <c r="B386" s="29">
        <v>378</v>
      </c>
      <c r="C386" s="30">
        <v>0.27470930232558138</v>
      </c>
      <c r="D386" s="41">
        <v>-7.3611187495122308E-3</v>
      </c>
      <c r="E386" s="41">
        <v>4.724000519340521E-3</v>
      </c>
      <c r="F386" s="41">
        <v>-1.8117237844296197E-3</v>
      </c>
      <c r="G386" s="41">
        <v>7.5083918995491031E-4</v>
      </c>
      <c r="H386" s="14">
        <v>-5.2769401682273287E-3</v>
      </c>
      <c r="I386" s="14">
        <v>-5.3454412818997321E-3</v>
      </c>
      <c r="J386" s="14">
        <v>-2.6604898954306622E-3</v>
      </c>
      <c r="K386" s="14">
        <v>-2.6008071199868704E-3</v>
      </c>
    </row>
    <row r="387" spans="2:11" x14ac:dyDescent="0.25">
      <c r="B387" s="29">
        <v>379</v>
      </c>
      <c r="C387" s="30">
        <v>0.2754360465116279</v>
      </c>
      <c r="D387" s="41">
        <v>-1.285052361233527E-2</v>
      </c>
      <c r="E387" s="41">
        <v>8.9463220675933819E-4</v>
      </c>
      <c r="F387" s="41">
        <v>-5.9362861125542565E-3</v>
      </c>
      <c r="G387" s="41">
        <v>-4.7583890256017733E-4</v>
      </c>
      <c r="H387" s="14">
        <v>-5.2092277749156146E-3</v>
      </c>
      <c r="I387" s="14">
        <v>-5.3355282981428775E-3</v>
      </c>
      <c r="J387" s="14">
        <v>-2.6489081251037661E-3</v>
      </c>
      <c r="K387" s="14">
        <v>-2.5972463803685115E-3</v>
      </c>
    </row>
    <row r="388" spans="2:11" x14ac:dyDescent="0.25">
      <c r="B388" s="29">
        <v>380</v>
      </c>
      <c r="C388" s="30">
        <v>0.27616279069767441</v>
      </c>
      <c r="D388" s="41">
        <v>-5.0098893665971945E-3</v>
      </c>
      <c r="E388" s="41">
        <v>-3.3369748733736992E-3</v>
      </c>
      <c r="F388" s="41">
        <v>-1.0729239297477267E-2</v>
      </c>
      <c r="G388" s="41">
        <v>4.0559260970167692E-4</v>
      </c>
      <c r="H388" s="14">
        <v>-5.1634910761478858E-3</v>
      </c>
      <c r="I388" s="14">
        <v>-5.3310793272590695E-3</v>
      </c>
      <c r="J388" s="14">
        <v>-2.6304462193313949E-3</v>
      </c>
      <c r="K388" s="14">
        <v>-2.5707063649333065E-3</v>
      </c>
    </row>
    <row r="389" spans="2:11" x14ac:dyDescent="0.25">
      <c r="B389" s="29">
        <v>381</v>
      </c>
      <c r="C389" s="30">
        <v>0.27688953488372092</v>
      </c>
      <c r="D389" s="41">
        <v>-3.5923291164822462E-3</v>
      </c>
      <c r="E389" s="41">
        <v>8.8885345875600041E-3</v>
      </c>
      <c r="F389" s="41">
        <v>2.5717130982676473E-3</v>
      </c>
      <c r="G389" s="41">
        <v>3.7199022973988696E-3</v>
      </c>
      <c r="H389" s="14">
        <v>-5.1407607549672774E-3</v>
      </c>
      <c r="I389" s="14">
        <v>-5.3212090595267103E-3</v>
      </c>
      <c r="J389" s="14">
        <v>-2.6268296062742502E-3</v>
      </c>
      <c r="K389" s="14">
        <v>-2.5682990842368805E-3</v>
      </c>
    </row>
    <row r="390" spans="2:11" x14ac:dyDescent="0.25">
      <c r="B390" s="29">
        <v>382</v>
      </c>
      <c r="C390" s="30">
        <v>0.27761627906976744</v>
      </c>
      <c r="D390" s="41">
        <v>-1.6006348799301219E-2</v>
      </c>
      <c r="E390" s="41">
        <v>-1.698832546470963E-3</v>
      </c>
      <c r="F390" s="41">
        <v>1.1374299793647014E-2</v>
      </c>
      <c r="G390" s="41">
        <v>4.467029454191529E-3</v>
      </c>
      <c r="H390" s="14">
        <v>-5.1258334342937362E-3</v>
      </c>
      <c r="I390" s="14">
        <v>-5.3171611911295713E-3</v>
      </c>
      <c r="J390" s="14">
        <v>-2.6243788039532756E-3</v>
      </c>
      <c r="K390" s="14">
        <v>-2.5651339910660381E-3</v>
      </c>
    </row>
    <row r="391" spans="2:11" x14ac:dyDescent="0.25">
      <c r="B391" s="29">
        <v>383</v>
      </c>
      <c r="C391" s="30">
        <v>0.27834302325581395</v>
      </c>
      <c r="D391" s="41">
        <v>-1.1025367633500484E-3</v>
      </c>
      <c r="E391" s="41">
        <v>8.1821239883650421E-3</v>
      </c>
      <c r="F391" s="41">
        <v>-2.8107472627107999E-3</v>
      </c>
      <c r="G391" s="41">
        <v>1.4589328329820185E-3</v>
      </c>
      <c r="H391" s="14">
        <v>-5.0854724273878826E-3</v>
      </c>
      <c r="I391" s="14">
        <v>-5.2867101644867853E-3</v>
      </c>
      <c r="J391" s="14">
        <v>-2.6182995334665948E-3</v>
      </c>
      <c r="K391" s="14">
        <v>-2.5591778653079045E-3</v>
      </c>
    </row>
    <row r="392" spans="2:11" x14ac:dyDescent="0.25">
      <c r="B392" s="29">
        <v>384</v>
      </c>
      <c r="C392" s="30">
        <v>0.27906976744186046</v>
      </c>
      <c r="D392" s="41">
        <v>-4.1386866741214305E-3</v>
      </c>
      <c r="E392" s="41">
        <v>9.8134463842347586E-4</v>
      </c>
      <c r="F392" s="41">
        <v>6.5228787741327121E-3</v>
      </c>
      <c r="G392" s="41">
        <v>-3.046581445654973E-3</v>
      </c>
      <c r="H392" s="14">
        <v>-5.0369375419745399E-3</v>
      </c>
      <c r="I392" s="14">
        <v>-5.2707410041764602E-3</v>
      </c>
      <c r="J392" s="14">
        <v>-2.6032540049627517E-3</v>
      </c>
      <c r="K392" s="14">
        <v>-2.5575600424015302E-3</v>
      </c>
    </row>
    <row r="393" spans="2:11" x14ac:dyDescent="0.25">
      <c r="B393" s="29">
        <v>385</v>
      </c>
      <c r="C393" s="30">
        <v>0.27979651162790697</v>
      </c>
      <c r="D393" s="41">
        <v>-3.3805928279271608E-3</v>
      </c>
      <c r="E393" s="41">
        <v>4.0489799119618475E-3</v>
      </c>
      <c r="F393" s="41">
        <v>-5.9320506032790599E-3</v>
      </c>
      <c r="G393" s="41">
        <v>1.2803714118170496E-3</v>
      </c>
      <c r="H393" s="14">
        <v>-5.0076051234830832E-3</v>
      </c>
      <c r="I393" s="14">
        <v>-5.2426786811387016E-3</v>
      </c>
      <c r="J393" s="14">
        <v>-2.5969274575733392E-3</v>
      </c>
      <c r="K393" s="14">
        <v>-2.5550945330438338E-3</v>
      </c>
    </row>
    <row r="394" spans="2:11" x14ac:dyDescent="0.25">
      <c r="B394" s="29">
        <v>386</v>
      </c>
      <c r="C394" s="30">
        <v>0.28052325581395349</v>
      </c>
      <c r="D394" s="41">
        <v>8.3857345530010275E-3</v>
      </c>
      <c r="E394" s="41">
        <v>-3.9545374655809429E-3</v>
      </c>
      <c r="F394" s="41">
        <v>8.0688209756307749E-3</v>
      </c>
      <c r="G394" s="41">
        <v>-2.7858882158208424E-3</v>
      </c>
      <c r="H394" s="14">
        <v>-5.0054053959885936E-3</v>
      </c>
      <c r="I394" s="14">
        <v>-5.2307614367496091E-3</v>
      </c>
      <c r="J394" s="14">
        <v>-2.5876155674933177E-3</v>
      </c>
      <c r="K394" s="14">
        <v>-2.545672104289087E-3</v>
      </c>
    </row>
    <row r="395" spans="2:11" x14ac:dyDescent="0.25">
      <c r="B395" s="29">
        <v>387</v>
      </c>
      <c r="C395" s="30">
        <v>0.28125</v>
      </c>
      <c r="D395" s="41">
        <v>-5.8193377369368388E-3</v>
      </c>
      <c r="E395" s="41">
        <v>0</v>
      </c>
      <c r="F395" s="41">
        <v>-3.1262236383633457E-3</v>
      </c>
      <c r="G395" s="41">
        <v>-6.2524472767266914E-4</v>
      </c>
      <c r="H395" s="14">
        <v>-4.9648670357644864E-3</v>
      </c>
      <c r="I395" s="14">
        <v>-5.2217086115390332E-3</v>
      </c>
      <c r="J395" s="14">
        <v>-2.5540485412111069E-3</v>
      </c>
      <c r="K395" s="14">
        <v>-2.5372862430236291E-3</v>
      </c>
    </row>
    <row r="396" spans="2:11" x14ac:dyDescent="0.25">
      <c r="B396" s="29">
        <v>388</v>
      </c>
      <c r="C396" s="30">
        <v>0.28197674418604651</v>
      </c>
      <c r="D396" s="41">
        <v>-5.9960451266041041E-3</v>
      </c>
      <c r="E396" s="41">
        <v>2.6174161103431626E-3</v>
      </c>
      <c r="F396" s="41">
        <v>3.4106404924278966E-3</v>
      </c>
      <c r="G396" s="41">
        <v>-1.3925790123483941E-3</v>
      </c>
      <c r="H396" s="14">
        <v>-4.9616588460293931E-3</v>
      </c>
      <c r="I396" s="14">
        <v>-5.188959394829884E-3</v>
      </c>
      <c r="J396" s="14">
        <v>-2.5353272638295454E-3</v>
      </c>
      <c r="K396" s="14">
        <v>-2.5371545926222705E-3</v>
      </c>
    </row>
    <row r="397" spans="2:11" x14ac:dyDescent="0.25">
      <c r="B397" s="29">
        <v>389</v>
      </c>
      <c r="C397" s="30">
        <v>0.28270348837209303</v>
      </c>
      <c r="D397" s="41">
        <v>3.0322996405233969E-3</v>
      </c>
      <c r="E397" s="41">
        <v>9.1125972857757365E-3</v>
      </c>
      <c r="F397" s="41">
        <v>-2.8495378117328052E-3</v>
      </c>
      <c r="G397" s="41">
        <v>6.1498133062419134E-3</v>
      </c>
      <c r="H397" s="14">
        <v>-4.9199860741296897E-3</v>
      </c>
      <c r="I397" s="14">
        <v>-5.1700606487882217E-3</v>
      </c>
      <c r="J397" s="14">
        <v>-2.5226294702478391E-3</v>
      </c>
      <c r="K397" s="14">
        <v>-2.5364559209420491E-3</v>
      </c>
    </row>
    <row r="398" spans="2:11" x14ac:dyDescent="0.25">
      <c r="B398" s="29">
        <v>390</v>
      </c>
      <c r="C398" s="30">
        <v>0.28343023255813954</v>
      </c>
      <c r="D398" s="41">
        <v>1.2023365905940474E-3</v>
      </c>
      <c r="E398" s="41">
        <v>-3.6818851251840812E-3</v>
      </c>
      <c r="F398" s="41">
        <v>2.5832192846027002E-3</v>
      </c>
      <c r="G398" s="41">
        <v>2.5022927218167903E-4</v>
      </c>
      <c r="H398" s="14">
        <v>-4.9169209901661626E-3</v>
      </c>
      <c r="I398" s="14">
        <v>-5.1603974099153627E-3</v>
      </c>
      <c r="J398" s="14">
        <v>-2.4952535937076137E-3</v>
      </c>
      <c r="K398" s="14">
        <v>-2.5012601771122081E-3</v>
      </c>
    </row>
    <row r="399" spans="2:11" x14ac:dyDescent="0.25">
      <c r="B399" s="29">
        <v>391</v>
      </c>
      <c r="C399" s="30">
        <v>0.28415697674418605</v>
      </c>
      <c r="D399" s="41">
        <v>6.0136357115747884E-5</v>
      </c>
      <c r="E399" s="41">
        <v>5.7669117361029976E-3</v>
      </c>
      <c r="F399" s="41">
        <v>-1.3718512291850393E-3</v>
      </c>
      <c r="G399" s="41">
        <v>3.5180110884750928E-3</v>
      </c>
      <c r="H399" s="14">
        <v>-4.8863984155039786E-3</v>
      </c>
      <c r="I399" s="14">
        <v>-5.1476682807659602E-3</v>
      </c>
      <c r="J399" s="14">
        <v>-2.4895293439940458E-3</v>
      </c>
      <c r="K399" s="14">
        <v>-2.4923361531299817E-3</v>
      </c>
    </row>
    <row r="400" spans="2:11" x14ac:dyDescent="0.25">
      <c r="B400" s="29">
        <v>392</v>
      </c>
      <c r="C400" s="30">
        <v>0.28488372093023256</v>
      </c>
      <c r="D400" s="41">
        <v>-4.3113173817708184E-3</v>
      </c>
      <c r="E400" s="41">
        <v>3.8000019338433333E-3</v>
      </c>
      <c r="F400" s="41">
        <v>-1.262403165949566E-2</v>
      </c>
      <c r="G400" s="41">
        <v>2.5194217051225818E-3</v>
      </c>
      <c r="H400" s="14">
        <v>-4.8766244239992762E-3</v>
      </c>
      <c r="I400" s="14">
        <v>-5.0355050355050945E-3</v>
      </c>
      <c r="J400" s="14">
        <v>-2.48098747416714E-3</v>
      </c>
      <c r="K400" s="14">
        <v>-2.475408110655497E-3</v>
      </c>
    </row>
    <row r="401" spans="2:11" x14ac:dyDescent="0.25">
      <c r="B401" s="29">
        <v>393</v>
      </c>
      <c r="C401" s="30">
        <v>0.28561046511627908</v>
      </c>
      <c r="D401" s="41">
        <v>4.0498833925051263E-3</v>
      </c>
      <c r="E401" s="41">
        <v>-7.3015200262008806E-3</v>
      </c>
      <c r="F401" s="41">
        <v>1.7226369075327153E-3</v>
      </c>
      <c r="G401" s="41">
        <v>4.2012261233618457E-3</v>
      </c>
      <c r="H401" s="14">
        <v>-4.8659409254182551E-3</v>
      </c>
      <c r="I401" s="14">
        <v>-5.0171835886121396E-3</v>
      </c>
      <c r="J401" s="14">
        <v>-2.4734137251205546E-3</v>
      </c>
      <c r="K401" s="14">
        <v>-2.4530657875115216E-3</v>
      </c>
    </row>
    <row r="402" spans="2:11" x14ac:dyDescent="0.25">
      <c r="B402" s="29">
        <v>394</v>
      </c>
      <c r="C402" s="30">
        <v>0.28633720930232559</v>
      </c>
      <c r="D402" s="41">
        <v>2.6920182526822328E-3</v>
      </c>
      <c r="E402" s="41">
        <v>1.1974072349014264E-2</v>
      </c>
      <c r="F402" s="41">
        <v>5.4387614094530967E-3</v>
      </c>
      <c r="G402" s="41">
        <v>1.9612326498573479E-3</v>
      </c>
      <c r="H402" s="14">
        <v>-4.8486287791177363E-3</v>
      </c>
      <c r="I402" s="14">
        <v>-5.0027997995932827E-3</v>
      </c>
      <c r="J402" s="14">
        <v>-2.4690207770425854E-3</v>
      </c>
      <c r="K402" s="14">
        <v>-2.4524735659032346E-3</v>
      </c>
    </row>
    <row r="403" spans="2:11" x14ac:dyDescent="0.25">
      <c r="B403" s="29">
        <v>395</v>
      </c>
      <c r="C403" s="30">
        <v>0.2870639534883721</v>
      </c>
      <c r="D403" s="41">
        <v>-9.0941359193431517E-3</v>
      </c>
      <c r="E403" s="41">
        <v>5.5326493431777646E-3</v>
      </c>
      <c r="F403" s="41">
        <v>7.7245038787165932E-4</v>
      </c>
      <c r="G403" s="41">
        <v>4.1715100306221496E-3</v>
      </c>
      <c r="H403" s="14">
        <v>-4.8226345778261681E-3</v>
      </c>
      <c r="I403" s="14">
        <v>-4.9769112365315449E-3</v>
      </c>
      <c r="J403" s="14">
        <v>-2.425410350496815E-3</v>
      </c>
      <c r="K403" s="14">
        <v>-2.430316109238051E-3</v>
      </c>
    </row>
    <row r="404" spans="2:11" x14ac:dyDescent="0.25">
      <c r="B404" s="29">
        <v>396</v>
      </c>
      <c r="C404" s="30">
        <v>0.28779069767441862</v>
      </c>
      <c r="D404" s="41">
        <v>-2.3734513079257209E-3</v>
      </c>
      <c r="E404" s="41">
        <v>6.3890451715020724E-4</v>
      </c>
      <c r="F404" s="41">
        <v>9.3823129613035405E-4</v>
      </c>
      <c r="G404" s="41">
        <v>-1.3526529949227761E-3</v>
      </c>
      <c r="H404" s="14">
        <v>-4.7925510064356081E-3</v>
      </c>
      <c r="I404" s="14">
        <v>-4.9397085855825695E-3</v>
      </c>
      <c r="J404" s="14">
        <v>-2.4068647969861523E-3</v>
      </c>
      <c r="K404" s="14">
        <v>-2.4231930509282188E-3</v>
      </c>
    </row>
    <row r="405" spans="2:11" x14ac:dyDescent="0.25">
      <c r="B405" s="29">
        <v>397</v>
      </c>
      <c r="C405" s="30">
        <v>0.28851744186046513</v>
      </c>
      <c r="D405" s="41">
        <v>9.3260111677297558E-3</v>
      </c>
      <c r="E405" s="41">
        <v>-1.5628871481120354E-3</v>
      </c>
      <c r="F405" s="41">
        <v>-1.4316789298806087E-3</v>
      </c>
      <c r="G405" s="41">
        <v>4.5698131913193283E-3</v>
      </c>
      <c r="H405" s="14">
        <v>-4.7653716328015516E-3</v>
      </c>
      <c r="I405" s="14">
        <v>-4.9270999247371661E-3</v>
      </c>
      <c r="J405" s="14">
        <v>-2.4041091529678482E-3</v>
      </c>
      <c r="K405" s="14">
        <v>-2.4113887022437996E-3</v>
      </c>
    </row>
    <row r="406" spans="2:11" x14ac:dyDescent="0.25">
      <c r="B406" s="29">
        <v>398</v>
      </c>
      <c r="C406" s="30">
        <v>0.28924418604651164</v>
      </c>
      <c r="D406" s="41">
        <v>-6.7711756717081066E-3</v>
      </c>
      <c r="E406" s="41">
        <v>4.1233177436288404E-3</v>
      </c>
      <c r="F406" s="41">
        <v>-1.8216243209642213E-3</v>
      </c>
      <c r="G406" s="41">
        <v>4.6389288201856846E-3</v>
      </c>
      <c r="H406" s="14">
        <v>-4.7607548211267003E-3</v>
      </c>
      <c r="I406" s="14">
        <v>-4.9261707570346092E-3</v>
      </c>
      <c r="J406" s="14">
        <v>-2.3955989509677478E-3</v>
      </c>
      <c r="K406" s="14">
        <v>-2.3452793704036084E-3</v>
      </c>
    </row>
    <row r="407" spans="2:11" x14ac:dyDescent="0.25">
      <c r="B407" s="29">
        <v>399</v>
      </c>
      <c r="C407" s="30">
        <v>0.28997093023255816</v>
      </c>
      <c r="D407" s="41">
        <v>-1.1987003671887934E-2</v>
      </c>
      <c r="E407" s="41">
        <v>-4.4580901503774584E-3</v>
      </c>
      <c r="F407" s="41">
        <v>5.4178731837901672E-3</v>
      </c>
      <c r="G407" s="41">
        <v>-1.3105697882401567E-3</v>
      </c>
      <c r="H407" s="14">
        <v>-4.7401297160933886E-3</v>
      </c>
      <c r="I407" s="14">
        <v>-4.9239662012537933E-3</v>
      </c>
      <c r="J407" s="14">
        <v>-2.383367139959458E-3</v>
      </c>
      <c r="K407" s="14">
        <v>-2.3315139176476544E-3</v>
      </c>
    </row>
    <row r="408" spans="2:11" x14ac:dyDescent="0.25">
      <c r="B408" s="29">
        <v>400</v>
      </c>
      <c r="C408" s="30">
        <v>0.29069767441860467</v>
      </c>
      <c r="D408" s="41">
        <v>-1.0525989204640847E-2</v>
      </c>
      <c r="E408" s="41">
        <v>-1.1725053230595917E-2</v>
      </c>
      <c r="F408" s="41">
        <v>5.6626192030317934E-3</v>
      </c>
      <c r="G408" s="41">
        <v>-1.9939137986109139E-3</v>
      </c>
      <c r="H408" s="14">
        <v>-4.7381974248927872E-3</v>
      </c>
      <c r="I408" s="14">
        <v>-4.8832306729469366E-3</v>
      </c>
      <c r="J408" s="14">
        <v>-2.3791052495476528E-3</v>
      </c>
      <c r="K408" s="14">
        <v>-2.3094691457119952E-3</v>
      </c>
    </row>
    <row r="409" spans="2:11" x14ac:dyDescent="0.25">
      <c r="B409" s="29">
        <v>401</v>
      </c>
      <c r="C409" s="30">
        <v>0.29142441860465118</v>
      </c>
      <c r="D409" s="41">
        <v>-1.3272167317692733E-2</v>
      </c>
      <c r="E409" s="41">
        <v>1.9941065649002665E-2</v>
      </c>
      <c r="F409" s="41">
        <v>1.7498177818269234E-3</v>
      </c>
      <c r="G409" s="41">
        <v>4.5342497757359986E-3</v>
      </c>
      <c r="H409" s="14">
        <v>-4.7299819292451195E-3</v>
      </c>
      <c r="I409" s="14">
        <v>-4.8816190591299824E-3</v>
      </c>
      <c r="J409" s="14">
        <v>-2.3759531439937476E-3</v>
      </c>
      <c r="K409" s="14">
        <v>-2.3086727135219311E-3</v>
      </c>
    </row>
    <row r="410" spans="2:11" x14ac:dyDescent="0.25">
      <c r="B410" s="29">
        <v>402</v>
      </c>
      <c r="C410" s="30">
        <v>0.29215116279069769</v>
      </c>
      <c r="D410" s="41">
        <v>1.2402182882233938E-2</v>
      </c>
      <c r="E410" s="41">
        <v>-3.2016974680068033E-3</v>
      </c>
      <c r="F410" s="41">
        <v>-2.8372933596383376E-3</v>
      </c>
      <c r="G410" s="41">
        <v>-5.3347243882891698E-3</v>
      </c>
      <c r="H410" s="14">
        <v>-4.7117951939690261E-3</v>
      </c>
      <c r="I410" s="14">
        <v>-4.8691860465115422E-3</v>
      </c>
      <c r="J410" s="14">
        <v>-2.3368803818432093E-3</v>
      </c>
      <c r="K410" s="14">
        <v>-2.2818492801468752E-3</v>
      </c>
    </row>
    <row r="411" spans="2:11" x14ac:dyDescent="0.25">
      <c r="B411" s="29">
        <v>403</v>
      </c>
      <c r="C411" s="30">
        <v>0.29287790697674421</v>
      </c>
      <c r="D411" s="41">
        <v>7.9791092311055703E-3</v>
      </c>
      <c r="E411" s="41">
        <v>1.1346466345468542E-2</v>
      </c>
      <c r="F411" s="41">
        <v>2.2980684672813112E-3</v>
      </c>
      <c r="G411" s="41">
        <v>4.6533795371252133E-3</v>
      </c>
      <c r="H411" s="14">
        <v>-4.6595289079230939E-3</v>
      </c>
      <c r="I411" s="14">
        <v>-4.867624361866274E-3</v>
      </c>
      <c r="J411" s="14">
        <v>-2.335030121888737E-3</v>
      </c>
      <c r="K411" s="14">
        <v>-2.2385309465089431E-3</v>
      </c>
    </row>
    <row r="412" spans="2:11" x14ac:dyDescent="0.25">
      <c r="B412" s="29">
        <v>404</v>
      </c>
      <c r="C412" s="30">
        <v>0.29360465116279072</v>
      </c>
      <c r="D412" s="41">
        <v>3.5776551928026045E-3</v>
      </c>
      <c r="E412" s="41">
        <v>3.9652337326756548E-3</v>
      </c>
      <c r="F412" s="41">
        <v>2.9496037855092361E-3</v>
      </c>
      <c r="G412" s="41">
        <v>-3.0887700306108127E-4</v>
      </c>
      <c r="H412" s="14">
        <v>-4.5833089540303629E-3</v>
      </c>
      <c r="I412" s="14">
        <v>-4.8272893757437263E-3</v>
      </c>
      <c r="J412" s="14">
        <v>-2.2624434389140191E-3</v>
      </c>
      <c r="K412" s="14">
        <v>-2.2311817255566079E-3</v>
      </c>
    </row>
    <row r="413" spans="2:11" x14ac:dyDescent="0.25">
      <c r="B413" s="29">
        <v>405</v>
      </c>
      <c r="C413" s="30">
        <v>0.29433139534883723</v>
      </c>
      <c r="D413" s="41">
        <v>-8.4637410294879454E-3</v>
      </c>
      <c r="E413" s="41">
        <v>1.3570806854661388E-3</v>
      </c>
      <c r="F413" s="41">
        <v>-4.7925028065031183E-3</v>
      </c>
      <c r="G413" s="41">
        <v>-4.8608897674754514E-3</v>
      </c>
      <c r="H413" s="14">
        <v>-4.5697012872879528E-3</v>
      </c>
      <c r="I413" s="14">
        <v>-4.7802300946658827E-3</v>
      </c>
      <c r="J413" s="14">
        <v>-2.2382631078283755E-3</v>
      </c>
      <c r="K413" s="14">
        <v>-2.216493234243866E-3</v>
      </c>
    </row>
    <row r="414" spans="2:11" x14ac:dyDescent="0.25">
      <c r="B414" s="29">
        <v>406</v>
      </c>
      <c r="C414" s="30">
        <v>0.29505813953488375</v>
      </c>
      <c r="D414" s="41">
        <v>1.517738303424796E-2</v>
      </c>
      <c r="E414" s="41">
        <v>-1.2243906086437661E-3</v>
      </c>
      <c r="F414" s="41">
        <v>-6.0732669822660679E-3</v>
      </c>
      <c r="G414" s="41">
        <v>-5.8063250269317905E-4</v>
      </c>
      <c r="H414" s="14">
        <v>-4.5375218150087715E-3</v>
      </c>
      <c r="I414" s="14">
        <v>-4.7228702494845898E-3</v>
      </c>
      <c r="J414" s="14">
        <v>-2.2381274244043237E-3</v>
      </c>
      <c r="K414" s="14">
        <v>-2.2067338747853165E-3</v>
      </c>
    </row>
    <row r="415" spans="2:11" x14ac:dyDescent="0.25">
      <c r="B415" s="29">
        <v>407</v>
      </c>
      <c r="C415" s="30">
        <v>0.29578488372093026</v>
      </c>
      <c r="D415" s="41">
        <v>-1.0236355360663517E-2</v>
      </c>
      <c r="E415" s="41">
        <v>9.9755757479342844E-3</v>
      </c>
      <c r="F415" s="41">
        <v>2.2578240986474984E-3</v>
      </c>
      <c r="G415" s="41">
        <v>1.990400545332038E-3</v>
      </c>
      <c r="H415" s="14">
        <v>-4.4896526525223246E-3</v>
      </c>
      <c r="I415" s="14">
        <v>-4.7224262776786041E-3</v>
      </c>
      <c r="J415" s="14">
        <v>-2.2009386480489335E-3</v>
      </c>
      <c r="K415" s="14">
        <v>-2.191845477889798E-3</v>
      </c>
    </row>
    <row r="416" spans="2:11" x14ac:dyDescent="0.25">
      <c r="B416" s="29">
        <v>408</v>
      </c>
      <c r="C416" s="30">
        <v>0.29651162790697677</v>
      </c>
      <c r="D416" s="41">
        <v>-8.9753699006574258E-3</v>
      </c>
      <c r="E416" s="41">
        <v>1.093331603769343E-3</v>
      </c>
      <c r="F416" s="41">
        <v>-3.8452790289595917E-3</v>
      </c>
      <c r="G416" s="41">
        <v>1.2891588349611461E-3</v>
      </c>
      <c r="H416" s="14">
        <v>-4.4778849070706839E-3</v>
      </c>
      <c r="I416" s="14">
        <v>-4.7115469825420586E-3</v>
      </c>
      <c r="J416" s="14">
        <v>-2.187366623986442E-3</v>
      </c>
      <c r="K416" s="14">
        <v>-2.1860036538331245E-3</v>
      </c>
    </row>
    <row r="417" spans="2:11" x14ac:dyDescent="0.25">
      <c r="B417" s="29">
        <v>409</v>
      </c>
      <c r="C417" s="30">
        <v>0.29723837209302323</v>
      </c>
      <c r="D417" s="41">
        <v>1.6695484138377976E-2</v>
      </c>
      <c r="E417" s="41">
        <v>4.6924892405941776E-3</v>
      </c>
      <c r="F417" s="41">
        <v>6.727032405666078E-3</v>
      </c>
      <c r="G417" s="41">
        <v>4.4155155938923503E-3</v>
      </c>
      <c r="H417" s="14">
        <v>-4.4721825176819996E-3</v>
      </c>
      <c r="I417" s="14">
        <v>-4.7010430439252682E-3</v>
      </c>
      <c r="J417" s="14">
        <v>-2.1759980914071164E-3</v>
      </c>
      <c r="K417" s="14">
        <v>-2.1810212939790356E-3</v>
      </c>
    </row>
    <row r="418" spans="2:11" x14ac:dyDescent="0.25">
      <c r="B418" s="29">
        <v>410</v>
      </c>
      <c r="C418" s="30">
        <v>0.29796511627906974</v>
      </c>
      <c r="D418" s="41">
        <v>1.4622386190186628E-3</v>
      </c>
      <c r="E418" s="41">
        <v>3.8875377699167935E-3</v>
      </c>
      <c r="F418" s="41">
        <v>7.1088676141473073E-4</v>
      </c>
      <c r="G418" s="41">
        <v>2.3270181407016644E-3</v>
      </c>
      <c r="H418" s="14">
        <v>-4.4677698140088706E-3</v>
      </c>
      <c r="I418" s="14">
        <v>-4.6996743208145286E-3</v>
      </c>
      <c r="J418" s="14">
        <v>-2.1759637101912421E-3</v>
      </c>
      <c r="K418" s="14">
        <v>-2.1787599539697662E-3</v>
      </c>
    </row>
    <row r="419" spans="2:11" x14ac:dyDescent="0.25">
      <c r="B419" s="29">
        <v>411</v>
      </c>
      <c r="C419" s="30">
        <v>0.29869186046511625</v>
      </c>
      <c r="D419" s="41">
        <v>-7.8268794002720637E-4</v>
      </c>
      <c r="E419" s="41">
        <v>8.6442637693395774E-3</v>
      </c>
      <c r="F419" s="41">
        <v>3.8317157686986736E-3</v>
      </c>
      <c r="G419" s="41">
        <v>2.5472329141942749E-3</v>
      </c>
      <c r="H419" s="14">
        <v>-4.4597846316906109E-3</v>
      </c>
      <c r="I419" s="14">
        <v>-4.6763535947927926E-3</v>
      </c>
      <c r="J419" s="14">
        <v>-2.1487429576821926E-3</v>
      </c>
      <c r="K419" s="14">
        <v>-2.1266185744028389E-3</v>
      </c>
    </row>
    <row r="420" spans="2:11" x14ac:dyDescent="0.25">
      <c r="B420" s="29">
        <v>412</v>
      </c>
      <c r="C420" s="30">
        <v>0.29941860465116277</v>
      </c>
      <c r="D420" s="41">
        <v>-1.5022642947688684E-2</v>
      </c>
      <c r="E420" s="41">
        <v>-3.2843262127444373E-3</v>
      </c>
      <c r="F420" s="41">
        <v>-3.3253869904870115E-3</v>
      </c>
      <c r="G420" s="41">
        <v>-1.9086053413308159E-3</v>
      </c>
      <c r="H420" s="14">
        <v>-4.4334946311848089E-3</v>
      </c>
      <c r="I420" s="14">
        <v>-4.6651116294568196E-3</v>
      </c>
      <c r="J420" s="14">
        <v>-2.1473895072918747E-3</v>
      </c>
      <c r="K420" s="14">
        <v>-2.1152442040534235E-3</v>
      </c>
    </row>
    <row r="421" spans="2:11" x14ac:dyDescent="0.25">
      <c r="B421" s="29">
        <v>413</v>
      </c>
      <c r="C421" s="30">
        <v>0.30014534883720928</v>
      </c>
      <c r="D421" s="41">
        <v>-1.6659429672559766E-3</v>
      </c>
      <c r="E421" s="41">
        <v>9.2191136871893065E-3</v>
      </c>
      <c r="F421" s="41">
        <v>7.1163227049186872E-4</v>
      </c>
      <c r="G421" s="41">
        <v>3.9702503480566701E-3</v>
      </c>
      <c r="H421" s="14">
        <v>-4.3955181413237732E-3</v>
      </c>
      <c r="I421" s="14">
        <v>-4.6552083205723127E-3</v>
      </c>
      <c r="J421" s="14">
        <v>-2.1164915465404777E-3</v>
      </c>
      <c r="K421" s="14">
        <v>-2.1069907229587462E-3</v>
      </c>
    </row>
    <row r="422" spans="2:11" x14ac:dyDescent="0.25">
      <c r="B422" s="29">
        <v>414</v>
      </c>
      <c r="C422" s="30">
        <v>0.30087209302325579</v>
      </c>
      <c r="D422" s="41">
        <v>-6.2677710315783635E-4</v>
      </c>
      <c r="E422" s="41">
        <v>-3.3645366978700686E-3</v>
      </c>
      <c r="F422" s="41">
        <v>-1.5855783787663835E-3</v>
      </c>
      <c r="G422" s="41">
        <v>2.6848561981293257E-3</v>
      </c>
      <c r="H422" s="14">
        <v>-4.3125731212171337E-3</v>
      </c>
      <c r="I422" s="14">
        <v>-4.647714320493046E-3</v>
      </c>
      <c r="J422" s="14">
        <v>-2.1032163760861255E-3</v>
      </c>
      <c r="K422" s="14">
        <v>-2.0942956869618003E-3</v>
      </c>
    </row>
    <row r="423" spans="2:11" x14ac:dyDescent="0.25">
      <c r="B423" s="29">
        <v>415</v>
      </c>
      <c r="C423" s="30">
        <v>0.30159883720930231</v>
      </c>
      <c r="D423" s="41">
        <v>-4.3615025076148314E-4</v>
      </c>
      <c r="E423" s="41">
        <v>-1.0254734874266536E-3</v>
      </c>
      <c r="F423" s="41">
        <v>-1.8067831178124605E-3</v>
      </c>
      <c r="G423" s="41">
        <v>1.2402676645743903E-3</v>
      </c>
      <c r="H423" s="14">
        <v>-4.3118316660918365E-3</v>
      </c>
      <c r="I423" s="14">
        <v>-4.6302317717138441E-3</v>
      </c>
      <c r="J423" s="14">
        <v>-2.0906524748158795E-3</v>
      </c>
      <c r="K423" s="14">
        <v>-2.0807068422297849E-3</v>
      </c>
    </row>
    <row r="424" spans="2:11" x14ac:dyDescent="0.25">
      <c r="B424" s="29">
        <v>416</v>
      </c>
      <c r="C424" s="30">
        <v>0.30232558139534882</v>
      </c>
      <c r="D424" s="41">
        <v>-1.0206405746757722E-2</v>
      </c>
      <c r="E424" s="41">
        <v>-4.8691860465115422E-3</v>
      </c>
      <c r="F424" s="41">
        <v>2.5224612512300126E-3</v>
      </c>
      <c r="G424" s="41">
        <v>-8.910064193329958E-4</v>
      </c>
      <c r="H424" s="14">
        <v>-4.2975206611569616E-3</v>
      </c>
      <c r="I424" s="14">
        <v>-4.6206945129252386E-3</v>
      </c>
      <c r="J424" s="14">
        <v>-2.0882607822885202E-3</v>
      </c>
      <c r="K424" s="14">
        <v>-2.0539640870010922E-3</v>
      </c>
    </row>
    <row r="425" spans="2:11" x14ac:dyDescent="0.25">
      <c r="B425" s="29">
        <v>417</v>
      </c>
      <c r="C425" s="30">
        <v>0.30305232558139533</v>
      </c>
      <c r="D425" s="41">
        <v>1.0300376056646085E-2</v>
      </c>
      <c r="E425" s="41">
        <v>-1.7253341123202315E-3</v>
      </c>
      <c r="F425" s="41">
        <v>9.1362996711550348E-3</v>
      </c>
      <c r="G425" s="41">
        <v>3.5496568535874134E-3</v>
      </c>
      <c r="H425" s="14">
        <v>-4.2616623871123416E-3</v>
      </c>
      <c r="I425" s="14">
        <v>-4.6062307296060867E-3</v>
      </c>
      <c r="J425" s="14">
        <v>-2.0567902645260983E-3</v>
      </c>
      <c r="K425" s="14">
        <v>-2.0061656933028083E-3</v>
      </c>
    </row>
    <row r="426" spans="2:11" x14ac:dyDescent="0.25">
      <c r="B426" s="29">
        <v>418</v>
      </c>
      <c r="C426" s="30">
        <v>0.30377906976744184</v>
      </c>
      <c r="D426" s="41">
        <v>-1.0969984425705381E-2</v>
      </c>
      <c r="E426" s="41">
        <v>7.4985140139911532E-3</v>
      </c>
      <c r="F426" s="41">
        <v>2.6021861227285559E-3</v>
      </c>
      <c r="G426" s="41">
        <v>4.3665648198354422E-4</v>
      </c>
      <c r="H426" s="14">
        <v>-4.2506954715613166E-3</v>
      </c>
      <c r="I426" s="14">
        <v>-4.5168747489486849E-3</v>
      </c>
      <c r="J426" s="14">
        <v>-2.0368903474030642E-3</v>
      </c>
      <c r="K426" s="14">
        <v>-2.0027489330430642E-3</v>
      </c>
    </row>
    <row r="427" spans="2:11" x14ac:dyDescent="0.25">
      <c r="B427" s="29">
        <v>419</v>
      </c>
      <c r="C427" s="30">
        <v>0.30450581395348836</v>
      </c>
      <c r="D427" s="41">
        <v>-1.0184798512677774E-2</v>
      </c>
      <c r="E427" s="41">
        <v>5.8089403222147951E-3</v>
      </c>
      <c r="F427" s="41">
        <v>1.6270537433227261E-4</v>
      </c>
      <c r="G427" s="41">
        <v>-9.582482716181675E-4</v>
      </c>
      <c r="H427" s="14">
        <v>-4.2471911572578014E-3</v>
      </c>
      <c r="I427" s="14">
        <v>-4.5136222982249397E-3</v>
      </c>
      <c r="J427" s="14">
        <v>-2.0356101052586562E-3</v>
      </c>
      <c r="K427" s="14">
        <v>-1.9958084195369043E-3</v>
      </c>
    </row>
    <row r="428" spans="2:11" x14ac:dyDescent="0.25">
      <c r="B428" s="29">
        <v>420</v>
      </c>
      <c r="C428" s="30">
        <v>0.30523255813953487</v>
      </c>
      <c r="D428" s="41">
        <v>5.966459689319469E-3</v>
      </c>
      <c r="E428" s="41">
        <v>1.0702522221720745E-2</v>
      </c>
      <c r="F428" s="41">
        <v>-3.7905109155733641E-4</v>
      </c>
      <c r="G428" s="41">
        <v>9.7266388266170964E-5</v>
      </c>
      <c r="H428" s="14">
        <v>-4.2412275920683529E-3</v>
      </c>
      <c r="I428" s="14">
        <v>-4.4877894069140778E-3</v>
      </c>
      <c r="J428" s="14">
        <v>-2.0216886727514316E-3</v>
      </c>
      <c r="K428" s="14">
        <v>-1.9939137986109139E-3</v>
      </c>
    </row>
    <row r="429" spans="2:11" x14ac:dyDescent="0.25">
      <c r="B429" s="29">
        <v>421</v>
      </c>
      <c r="C429" s="30">
        <v>0.30595930232558138</v>
      </c>
      <c r="D429" s="41">
        <v>-2.3791003768496135E-3</v>
      </c>
      <c r="E429" s="41">
        <v>2.4017642699618591E-3</v>
      </c>
      <c r="F429" s="41">
        <v>-9.1989898505662193E-4</v>
      </c>
      <c r="G429" s="41">
        <v>-5.6249778542484695E-3</v>
      </c>
      <c r="H429" s="14">
        <v>-4.2408821034773947E-3</v>
      </c>
      <c r="I429" s="14">
        <v>-4.4809559372666063E-3</v>
      </c>
      <c r="J429" s="14">
        <v>-2.0166551544774647E-3</v>
      </c>
      <c r="K429" s="14">
        <v>-1.9932004753548506E-3</v>
      </c>
    </row>
    <row r="430" spans="2:11" x14ac:dyDescent="0.25">
      <c r="B430" s="29">
        <v>422</v>
      </c>
      <c r="C430" s="30">
        <v>0.3066860465116279</v>
      </c>
      <c r="D430" s="41">
        <v>2.7685390865092221E-2</v>
      </c>
      <c r="E430" s="41">
        <v>-1.1757370624386754E-3</v>
      </c>
      <c r="F430" s="41">
        <v>-2.4895293439940458E-3</v>
      </c>
      <c r="G430" s="41">
        <v>2.60641757737996E-3</v>
      </c>
      <c r="H430" s="14">
        <v>-4.2309181729091039E-3</v>
      </c>
      <c r="I430" s="14">
        <v>-4.4580901503774584E-3</v>
      </c>
      <c r="J430" s="14">
        <v>-1.9916817995430103E-3</v>
      </c>
      <c r="K430" s="14">
        <v>-1.9712074424243836E-3</v>
      </c>
    </row>
    <row r="431" spans="2:11" x14ac:dyDescent="0.25">
      <c r="B431" s="29">
        <v>423</v>
      </c>
      <c r="C431" s="30">
        <v>0.30741279069767441</v>
      </c>
      <c r="D431" s="41">
        <v>5.2377208967276595E-3</v>
      </c>
      <c r="E431" s="41">
        <v>-1.054950150707179E-2</v>
      </c>
      <c r="F431" s="41">
        <v>-2.1164915465404777E-3</v>
      </c>
      <c r="G431" s="41">
        <v>-3.2967740727069426E-3</v>
      </c>
      <c r="H431" s="14">
        <v>-4.2208340368057318E-3</v>
      </c>
      <c r="I431" s="14">
        <v>-4.4503822197055065E-3</v>
      </c>
      <c r="J431" s="14">
        <v>-1.9866878817424993E-3</v>
      </c>
      <c r="K431" s="14">
        <v>-1.9643163115086182E-3</v>
      </c>
    </row>
    <row r="432" spans="2:11" x14ac:dyDescent="0.25">
      <c r="B432" s="29">
        <v>424</v>
      </c>
      <c r="C432" s="30">
        <v>0.30813953488372092</v>
      </c>
      <c r="D432" s="41">
        <v>-6.7860519293583103E-3</v>
      </c>
      <c r="E432" s="41">
        <v>-7.1200036050650395E-3</v>
      </c>
      <c r="F432" s="41">
        <v>-7.8303766059325541E-3</v>
      </c>
      <c r="G432" s="41">
        <v>-7.4178561645250603E-4</v>
      </c>
      <c r="H432" s="14">
        <v>-4.2159883249553998E-3</v>
      </c>
      <c r="I432" s="14">
        <v>-4.4280180532357827E-3</v>
      </c>
      <c r="J432" s="14">
        <v>-1.9828693953070076E-3</v>
      </c>
      <c r="K432" s="14">
        <v>-1.9556427376454357E-3</v>
      </c>
    </row>
    <row r="433" spans="2:11" x14ac:dyDescent="0.25">
      <c r="B433" s="29">
        <v>425</v>
      </c>
      <c r="C433" s="30">
        <v>0.30886627906976744</v>
      </c>
      <c r="D433" s="41">
        <v>-6.0961633072461876E-3</v>
      </c>
      <c r="E433" s="41">
        <v>8.1877184223664301E-3</v>
      </c>
      <c r="F433" s="41">
        <v>-3.7278034873906574E-3</v>
      </c>
      <c r="G433" s="41">
        <v>1.7597661037604523E-3</v>
      </c>
      <c r="H433" s="14">
        <v>-4.2075736325386526E-3</v>
      </c>
      <c r="I433" s="14">
        <v>-4.4200143066901454E-3</v>
      </c>
      <c r="J433" s="14">
        <v>-1.976729794635923E-3</v>
      </c>
      <c r="K433" s="14">
        <v>-1.9548938771426719E-3</v>
      </c>
    </row>
    <row r="434" spans="2:11" x14ac:dyDescent="0.25">
      <c r="B434" s="29">
        <v>426</v>
      </c>
      <c r="C434" s="30">
        <v>0.30959302325581395</v>
      </c>
      <c r="D434" s="41">
        <v>-8.0877881971264092E-3</v>
      </c>
      <c r="E434" s="41">
        <v>0</v>
      </c>
      <c r="F434" s="41">
        <v>0</v>
      </c>
      <c r="G434" s="41">
        <v>0</v>
      </c>
      <c r="H434" s="14">
        <v>-4.2031274717735378E-3</v>
      </c>
      <c r="I434" s="14">
        <v>-4.3962590099482224E-3</v>
      </c>
      <c r="J434" s="14">
        <v>-1.9755838103440171E-3</v>
      </c>
      <c r="K434" s="14">
        <v>-1.9232389288500904E-3</v>
      </c>
    </row>
    <row r="435" spans="2:11" x14ac:dyDescent="0.25">
      <c r="B435" s="29">
        <v>427</v>
      </c>
      <c r="C435" s="30">
        <v>0.31031976744186046</v>
      </c>
      <c r="D435" s="41">
        <v>-1.6455151172326061E-2</v>
      </c>
      <c r="E435" s="41">
        <v>-8.8235029306638069E-4</v>
      </c>
      <c r="F435" s="41">
        <v>2.9714348262721568E-3</v>
      </c>
      <c r="G435" s="41">
        <v>5.7102474066738742E-3</v>
      </c>
      <c r="H435" s="14">
        <v>-4.1920393682032264E-3</v>
      </c>
      <c r="I435" s="14">
        <v>-4.3931628247532162E-3</v>
      </c>
      <c r="J435" s="14">
        <v>-1.9560945129094565E-3</v>
      </c>
      <c r="K435" s="14">
        <v>-1.9231959902118682E-3</v>
      </c>
    </row>
    <row r="436" spans="2:11" x14ac:dyDescent="0.25">
      <c r="B436" s="29">
        <v>428</v>
      </c>
      <c r="C436" s="30">
        <v>0.31104651162790697</v>
      </c>
      <c r="D436" s="41">
        <v>-5.5044983731353291E-3</v>
      </c>
      <c r="E436" s="41">
        <v>5.4609845993025541E-3</v>
      </c>
      <c r="F436" s="41">
        <v>-1.0587711209689044E-2</v>
      </c>
      <c r="G436" s="41">
        <v>-2.4923361531299817E-3</v>
      </c>
      <c r="H436" s="14">
        <v>-4.1828503137137929E-3</v>
      </c>
      <c r="I436" s="14">
        <v>-4.3863307752196601E-3</v>
      </c>
      <c r="J436" s="14">
        <v>-1.9523835348989049E-3</v>
      </c>
      <c r="K436" s="14">
        <v>-1.9184615785402316E-3</v>
      </c>
    </row>
    <row r="437" spans="2:11" x14ac:dyDescent="0.25">
      <c r="B437" s="29">
        <v>429</v>
      </c>
      <c r="C437" s="30">
        <v>0.31177325581395349</v>
      </c>
      <c r="D437" s="41">
        <v>4.4386040628936274E-3</v>
      </c>
      <c r="E437" s="41">
        <v>3.1996414967510045E-3</v>
      </c>
      <c r="F437" s="41">
        <v>-3.714254185860133E-3</v>
      </c>
      <c r="G437" s="41">
        <v>-1.1337490131251736E-3</v>
      </c>
      <c r="H437" s="14">
        <v>-4.1768869366338723E-3</v>
      </c>
      <c r="I437" s="14">
        <v>-4.2768613074977146E-3</v>
      </c>
      <c r="J437" s="14">
        <v>-1.9464544861792499E-3</v>
      </c>
      <c r="K437" s="14">
        <v>-1.9086053413308159E-3</v>
      </c>
    </row>
    <row r="438" spans="2:11" x14ac:dyDescent="0.25">
      <c r="B438" s="29">
        <v>430</v>
      </c>
      <c r="C438" s="30">
        <v>0.3125</v>
      </c>
      <c r="D438" s="41">
        <v>3.8414777630898121E-3</v>
      </c>
      <c r="E438" s="41">
        <v>-9.9614051388341451E-3</v>
      </c>
      <c r="F438" s="41">
        <v>5.8981701294011923E-3</v>
      </c>
      <c r="G438" s="41">
        <v>-3.7137033969765641E-3</v>
      </c>
      <c r="H438" s="14">
        <v>-4.1500664010625243E-3</v>
      </c>
      <c r="I438" s="14">
        <v>-4.2497460843533563E-3</v>
      </c>
      <c r="J438" s="14">
        <v>-1.9402824188853307E-3</v>
      </c>
      <c r="K438" s="14">
        <v>-1.9020050410506252E-3</v>
      </c>
    </row>
    <row r="439" spans="2:11" x14ac:dyDescent="0.25">
      <c r="B439" s="29">
        <v>431</v>
      </c>
      <c r="C439" s="30">
        <v>0.31322674418604651</v>
      </c>
      <c r="D439" s="41">
        <v>-1.9895418852047776E-3</v>
      </c>
      <c r="E439" s="41">
        <v>1.3129754460055709E-2</v>
      </c>
      <c r="F439" s="41">
        <v>-5.4319999765128912E-5</v>
      </c>
      <c r="G439" s="41">
        <v>5.030861133556731E-3</v>
      </c>
      <c r="H439" s="14">
        <v>-4.1450143228566327E-3</v>
      </c>
      <c r="I439" s="14">
        <v>-4.2126763260356137E-3</v>
      </c>
      <c r="J439" s="14">
        <v>-1.9253345855836379E-3</v>
      </c>
      <c r="K439" s="14">
        <v>-1.8997165972143735E-3</v>
      </c>
    </row>
    <row r="440" spans="2:11" x14ac:dyDescent="0.25">
      <c r="B440" s="29">
        <v>432</v>
      </c>
      <c r="C440" s="30">
        <v>0.31395348837209303</v>
      </c>
      <c r="D440" s="41">
        <v>-9.8511537540233E-3</v>
      </c>
      <c r="E440" s="41">
        <v>8.283454467721274E-4</v>
      </c>
      <c r="F440" s="41">
        <v>-2.8225992077253181E-3</v>
      </c>
      <c r="G440" s="41">
        <v>3.2718986360685603E-3</v>
      </c>
      <c r="H440" s="14">
        <v>-4.1425341116302361E-3</v>
      </c>
      <c r="I440" s="14">
        <v>-4.2004155249767416E-3</v>
      </c>
      <c r="J440" s="14">
        <v>-1.9170784582649425E-3</v>
      </c>
      <c r="K440" s="14">
        <v>-1.8658526894096191E-3</v>
      </c>
    </row>
    <row r="441" spans="2:11" x14ac:dyDescent="0.25">
      <c r="B441" s="29">
        <v>433</v>
      </c>
      <c r="C441" s="30">
        <v>0.31468023255813954</v>
      </c>
      <c r="D441" s="41">
        <v>-3.6773666802036955E-3</v>
      </c>
      <c r="E441" s="41">
        <v>2.6876696480220286E-3</v>
      </c>
      <c r="F441" s="41">
        <v>-6.6566752616695757E-3</v>
      </c>
      <c r="G441" s="41">
        <v>2.4539547296549506E-3</v>
      </c>
      <c r="H441" s="14">
        <v>-4.1385434695061507E-3</v>
      </c>
      <c r="I441" s="14">
        <v>-4.1225968326192852E-3</v>
      </c>
      <c r="J441" s="14">
        <v>-1.9118243438964733E-3</v>
      </c>
      <c r="K441" s="14">
        <v>-1.8410697427467149E-3</v>
      </c>
    </row>
    <row r="442" spans="2:11" x14ac:dyDescent="0.25">
      <c r="B442" s="29">
        <v>434</v>
      </c>
      <c r="C442" s="30">
        <v>0.31540697674418605</v>
      </c>
      <c r="D442" s="41">
        <v>3.1247519473068947E-4</v>
      </c>
      <c r="E442" s="41">
        <v>3.4349010801741908E-3</v>
      </c>
      <c r="F442" s="41">
        <v>7.2565324456030922E-4</v>
      </c>
      <c r="G442" s="41">
        <v>1.6571182889713934E-3</v>
      </c>
      <c r="H442" s="14">
        <v>-4.1284403669725744E-3</v>
      </c>
      <c r="I442" s="14">
        <v>-4.1142125101624183E-3</v>
      </c>
      <c r="J442" s="14">
        <v>-1.9023477514885645E-3</v>
      </c>
      <c r="K442" s="14">
        <v>-1.833847358763041E-3</v>
      </c>
    </row>
    <row r="443" spans="2:11" x14ac:dyDescent="0.25">
      <c r="B443" s="29">
        <v>435</v>
      </c>
      <c r="C443" s="30">
        <v>0.31613372093023256</v>
      </c>
      <c r="D443" s="41">
        <v>7.5718893533761652E-3</v>
      </c>
      <c r="E443" s="41">
        <v>-9.6944822828028965E-3</v>
      </c>
      <c r="F443" s="41">
        <v>3.906797805520057E-3</v>
      </c>
      <c r="G443" s="41">
        <v>-2.475408110655497E-3</v>
      </c>
      <c r="H443" s="14">
        <v>-4.121329856313305E-3</v>
      </c>
      <c r="I443" s="14">
        <v>-4.0843573505258135E-3</v>
      </c>
      <c r="J443" s="14">
        <v>-1.8961455227543E-3</v>
      </c>
      <c r="K443" s="14">
        <v>-1.8262861960281818E-3</v>
      </c>
    </row>
    <row r="444" spans="2:11" x14ac:dyDescent="0.25">
      <c r="B444" s="29">
        <v>436</v>
      </c>
      <c r="C444" s="30">
        <v>0.31686046511627908</v>
      </c>
      <c r="D444" s="41">
        <v>3.2262233511731928E-3</v>
      </c>
      <c r="E444" s="41">
        <v>-1.0432483609924992E-2</v>
      </c>
      <c r="F444" s="41">
        <v>-1.8904450524204197E-3</v>
      </c>
      <c r="G444" s="41">
        <v>-6.4801362855845483E-3</v>
      </c>
      <c r="H444" s="14">
        <v>-4.1066322086289464E-3</v>
      </c>
      <c r="I444" s="14">
        <v>-4.0636640704370119E-3</v>
      </c>
      <c r="J444" s="14">
        <v>-1.8904450524204197E-3</v>
      </c>
      <c r="K444" s="14">
        <v>-1.8261342524220408E-3</v>
      </c>
    </row>
    <row r="445" spans="2:11" x14ac:dyDescent="0.25">
      <c r="B445" s="29">
        <v>437</v>
      </c>
      <c r="C445" s="30">
        <v>0.31758720930232559</v>
      </c>
      <c r="D445" s="41">
        <v>8.1544707403968936E-3</v>
      </c>
      <c r="E445" s="41">
        <v>-1.9279718386136069E-2</v>
      </c>
      <c r="F445" s="41">
        <v>-3.17477525572607E-3</v>
      </c>
      <c r="G445" s="41">
        <v>1.5528345480589679E-3</v>
      </c>
      <c r="H445" s="14">
        <v>-4.1000359837274347E-3</v>
      </c>
      <c r="I445" s="14">
        <v>-4.0421171648645782E-3</v>
      </c>
      <c r="J445" s="14">
        <v>-1.8822238691861282E-3</v>
      </c>
      <c r="K445" s="14">
        <v>-1.8013986900007773E-3</v>
      </c>
    </row>
    <row r="446" spans="2:11" x14ac:dyDescent="0.25">
      <c r="B446" s="29">
        <v>438</v>
      </c>
      <c r="C446" s="30">
        <v>0.3183139534883721</v>
      </c>
      <c r="D446" s="41">
        <v>-4.7786440646178339E-3</v>
      </c>
      <c r="E446" s="41">
        <v>-1.3161043311797904E-3</v>
      </c>
      <c r="F446" s="41">
        <v>3.073245336680408E-3</v>
      </c>
      <c r="G446" s="41">
        <v>4.2598133758096072E-4</v>
      </c>
      <c r="H446" s="14">
        <v>-4.084790749166789E-3</v>
      </c>
      <c r="I446" s="14">
        <v>-4.0282795611178424E-3</v>
      </c>
      <c r="J446" s="14">
        <v>-1.868841318382608E-3</v>
      </c>
      <c r="K446" s="14">
        <v>-1.7955942450351035E-3</v>
      </c>
    </row>
    <row r="447" spans="2:11" x14ac:dyDescent="0.25">
      <c r="B447" s="29">
        <v>439</v>
      </c>
      <c r="C447" s="30">
        <v>0.31904069767441862</v>
      </c>
      <c r="D447" s="41">
        <v>9.3495122493931649E-3</v>
      </c>
      <c r="E447" s="41">
        <v>8.7733040889865777E-3</v>
      </c>
      <c r="F447" s="41">
        <v>-7.246444512876149E-4</v>
      </c>
      <c r="G447" s="41">
        <v>3.8368250081151078E-3</v>
      </c>
      <c r="H447" s="14">
        <v>-4.0806847588084061E-3</v>
      </c>
      <c r="I447" s="14">
        <v>-4.0171696807839163E-3</v>
      </c>
      <c r="J447" s="14">
        <v>-1.8624014022786683E-3</v>
      </c>
      <c r="K447" s="14">
        <v>-1.7791780246575683E-3</v>
      </c>
    </row>
    <row r="448" spans="2:11" x14ac:dyDescent="0.25">
      <c r="B448" s="29">
        <v>440</v>
      </c>
      <c r="C448" s="30">
        <v>0.31976744186046513</v>
      </c>
      <c r="D448" s="41">
        <v>1.9386415624970347E-3</v>
      </c>
      <c r="E448" s="41">
        <v>1.563998794113064E-2</v>
      </c>
      <c r="F448" s="41">
        <v>3.9106938771826805E-4</v>
      </c>
      <c r="G448" s="41">
        <v>-2.5651339910660381E-3</v>
      </c>
      <c r="H448" s="14">
        <v>-4.0785529294206091E-3</v>
      </c>
      <c r="I448" s="14">
        <v>-4.0159423808366901E-3</v>
      </c>
      <c r="J448" s="14">
        <v>-1.8542917093641309E-3</v>
      </c>
      <c r="K448" s="14">
        <v>-1.7773872067454958E-3</v>
      </c>
    </row>
    <row r="449" spans="2:11" x14ac:dyDescent="0.25">
      <c r="B449" s="29">
        <v>441</v>
      </c>
      <c r="C449" s="30">
        <v>0.32049418604651164</v>
      </c>
      <c r="D449" s="41">
        <v>2.4380571383914411E-3</v>
      </c>
      <c r="E449" s="41">
        <v>8.3202158758712841E-3</v>
      </c>
      <c r="F449" s="41">
        <v>-8.4712065234532341E-3</v>
      </c>
      <c r="G449" s="41">
        <v>4.6164341628942554E-4</v>
      </c>
      <c r="H449" s="14">
        <v>-4.0632054176070742E-3</v>
      </c>
      <c r="I449" s="14">
        <v>-3.9706275373201372E-3</v>
      </c>
      <c r="J449" s="14">
        <v>-1.8268765783676644E-3</v>
      </c>
      <c r="K449" s="14">
        <v>-1.7611655915901858E-3</v>
      </c>
    </row>
    <row r="450" spans="2:11" x14ac:dyDescent="0.25">
      <c r="B450" s="29">
        <v>442</v>
      </c>
      <c r="C450" s="30">
        <v>0.32122093023255816</v>
      </c>
      <c r="D450" s="41">
        <v>-8.2924775830512526E-3</v>
      </c>
      <c r="E450" s="41">
        <v>9.5450490633353091E-4</v>
      </c>
      <c r="F450" s="41">
        <v>1.2363823186101186E-3</v>
      </c>
      <c r="G450" s="41">
        <v>9.0572488746945015E-4</v>
      </c>
      <c r="H450" s="14">
        <v>-4.0450692001301469E-3</v>
      </c>
      <c r="I450" s="14">
        <v>-3.9596883710957265E-3</v>
      </c>
      <c r="J450" s="14">
        <v>-1.8252273918319961E-3</v>
      </c>
      <c r="K450" s="14">
        <v>-1.7539117858269559E-3</v>
      </c>
    </row>
    <row r="451" spans="2:11" x14ac:dyDescent="0.25">
      <c r="B451" s="29">
        <v>443</v>
      </c>
      <c r="C451" s="30">
        <v>0.32194767441860467</v>
      </c>
      <c r="D451" s="41">
        <v>1.0980549896558172E-2</v>
      </c>
      <c r="E451" s="41">
        <v>-5.8552496724803005E-3</v>
      </c>
      <c r="F451" s="41">
        <v>-4.8822634194277681E-3</v>
      </c>
      <c r="G451" s="41">
        <v>-1.3144529641966551E-3</v>
      </c>
      <c r="H451" s="14">
        <v>-4.0444854005181607E-3</v>
      </c>
      <c r="I451" s="14">
        <v>-3.9545374655809429E-3</v>
      </c>
      <c r="J451" s="14">
        <v>-1.8216243209642213E-3</v>
      </c>
      <c r="K451" s="14">
        <v>-1.750324590372987E-3</v>
      </c>
    </row>
    <row r="452" spans="2:11" x14ac:dyDescent="0.25">
      <c r="B452" s="29">
        <v>444</v>
      </c>
      <c r="C452" s="30">
        <v>0.32267441860465118</v>
      </c>
      <c r="D452" s="41">
        <v>-4.5570587055591139E-3</v>
      </c>
      <c r="E452" s="41">
        <v>-9.4845360824741265E-3</v>
      </c>
      <c r="F452" s="41">
        <v>-4.5126418153217385E-3</v>
      </c>
      <c r="G452" s="41">
        <v>-6.8280232674987167E-3</v>
      </c>
      <c r="H452" s="14">
        <v>-4.0203312865280116E-3</v>
      </c>
      <c r="I452" s="14">
        <v>-3.9497435347521925E-3</v>
      </c>
      <c r="J452" s="14">
        <v>-1.8117237844296197E-3</v>
      </c>
      <c r="K452" s="14">
        <v>-1.7202175121130872E-3</v>
      </c>
    </row>
    <row r="453" spans="2:11" x14ac:dyDescent="0.25">
      <c r="B453" s="29">
        <v>445</v>
      </c>
      <c r="C453" s="30">
        <v>0.32340116279069769</v>
      </c>
      <c r="D453" s="41">
        <v>4.5341868557835941E-3</v>
      </c>
      <c r="E453" s="41">
        <v>-8.8513195525468102E-3</v>
      </c>
      <c r="F453" s="41">
        <v>-5.6791271677081312E-4</v>
      </c>
      <c r="G453" s="41">
        <v>-3.6541103643728868E-3</v>
      </c>
      <c r="H453" s="14">
        <v>-4.0195738873629594E-3</v>
      </c>
      <c r="I453" s="14">
        <v>-3.938493971184176E-3</v>
      </c>
      <c r="J453" s="14">
        <v>-1.8086537123774837E-3</v>
      </c>
      <c r="K453" s="14">
        <v>-1.7089103701156019E-3</v>
      </c>
    </row>
    <row r="454" spans="2:11" x14ac:dyDescent="0.25">
      <c r="B454" s="29">
        <v>446</v>
      </c>
      <c r="C454" s="30">
        <v>0.32412790697674421</v>
      </c>
      <c r="D454" s="41">
        <v>7.5093942908867868E-3</v>
      </c>
      <c r="E454" s="41">
        <v>1.1870628412805617E-2</v>
      </c>
      <c r="F454" s="41">
        <v>2.8353230349884573E-3</v>
      </c>
      <c r="G454" s="41">
        <v>7.3892797480775933E-3</v>
      </c>
      <c r="H454" s="14">
        <v>-4.0147171871893761E-3</v>
      </c>
      <c r="I454" s="14">
        <v>-3.8980540585016321E-3</v>
      </c>
      <c r="J454" s="14">
        <v>-1.8067831178124605E-3</v>
      </c>
      <c r="K454" s="14">
        <v>-1.6804674696111021E-3</v>
      </c>
    </row>
    <row r="455" spans="2:11" x14ac:dyDescent="0.25">
      <c r="B455" s="29">
        <v>447</v>
      </c>
      <c r="C455" s="30">
        <v>0.32485465116279072</v>
      </c>
      <c r="D455" s="41">
        <v>1.9063446439740596E-2</v>
      </c>
      <c r="E455" s="41">
        <v>-1.3536195787535732E-3</v>
      </c>
      <c r="F455" s="41">
        <v>4.3523899556379142E-3</v>
      </c>
      <c r="G455" s="41">
        <v>5.9686792756585838E-3</v>
      </c>
      <c r="H455" s="14">
        <v>-4.0030925178248244E-3</v>
      </c>
      <c r="I455" s="14">
        <v>-3.8848293449965654E-3</v>
      </c>
      <c r="J455" s="14">
        <v>-1.8018018018017834E-3</v>
      </c>
      <c r="K455" s="14">
        <v>-1.6683027214058567E-3</v>
      </c>
    </row>
    <row r="456" spans="2:11" x14ac:dyDescent="0.25">
      <c r="B456" s="29">
        <v>448</v>
      </c>
      <c r="C456" s="30">
        <v>0.32558139534883723</v>
      </c>
      <c r="D456" s="41">
        <v>1.2615613979212188E-2</v>
      </c>
      <c r="E456" s="41">
        <v>8.2682715246149563E-3</v>
      </c>
      <c r="F456" s="41">
        <v>-1.0133493248469794E-3</v>
      </c>
      <c r="G456" s="41">
        <v>-2.7956929649212369E-3</v>
      </c>
      <c r="H456" s="14">
        <v>-3.9789753100867298E-3</v>
      </c>
      <c r="I456" s="14">
        <v>-3.8388261722638317E-3</v>
      </c>
      <c r="J456" s="14">
        <v>-1.7540910096677242E-3</v>
      </c>
      <c r="K456" s="14">
        <v>-1.6648338827928383E-3</v>
      </c>
    </row>
    <row r="457" spans="2:11" x14ac:dyDescent="0.25">
      <c r="B457" s="29">
        <v>449</v>
      </c>
      <c r="C457" s="30">
        <v>0.32630813953488375</v>
      </c>
      <c r="D457" s="41">
        <v>1.8804343812852668E-2</v>
      </c>
      <c r="E457" s="41">
        <v>2.7514137965027885E-3</v>
      </c>
      <c r="F457" s="41">
        <v>1.7476064394545965E-3</v>
      </c>
      <c r="G457" s="41">
        <v>7.3381548303030875E-5</v>
      </c>
      <c r="H457" s="14">
        <v>-3.9741864057003529E-3</v>
      </c>
      <c r="I457" s="14">
        <v>-3.8277833273173689E-3</v>
      </c>
      <c r="J457" s="14">
        <v>-1.7341957795681262E-3</v>
      </c>
      <c r="K457" s="14">
        <v>-1.6512731171797856E-3</v>
      </c>
    </row>
    <row r="458" spans="2:11" x14ac:dyDescent="0.25">
      <c r="B458" s="29">
        <v>450</v>
      </c>
      <c r="C458" s="30">
        <v>0.32703488372093026</v>
      </c>
      <c r="D458" s="41">
        <v>-4.5386799765094932E-5</v>
      </c>
      <c r="E458" s="41">
        <v>-1.3317126360760101E-3</v>
      </c>
      <c r="F458" s="41">
        <v>5.6898544171790633E-5</v>
      </c>
      <c r="G458" s="41">
        <v>1.8271798597938819E-3</v>
      </c>
      <c r="H458" s="14">
        <v>-3.9478953850868859E-3</v>
      </c>
      <c r="I458" s="14">
        <v>-3.8118801923038292E-3</v>
      </c>
      <c r="J458" s="14">
        <v>-1.7255000687106392E-3</v>
      </c>
      <c r="K458" s="14">
        <v>-1.6508027130838433E-3</v>
      </c>
    </row>
    <row r="459" spans="2:11" x14ac:dyDescent="0.25">
      <c r="B459" s="29">
        <v>451</v>
      </c>
      <c r="C459" s="30">
        <v>0.32776162790697677</v>
      </c>
      <c r="D459" s="41">
        <v>-1.1415507118064862E-2</v>
      </c>
      <c r="E459" s="41">
        <v>-7.7324431477485689E-3</v>
      </c>
      <c r="F459" s="41">
        <v>1.9684375869584159E-3</v>
      </c>
      <c r="G459" s="41">
        <v>-2.9053141789823216E-3</v>
      </c>
      <c r="H459" s="14">
        <v>-3.9377553105587326E-3</v>
      </c>
      <c r="I459" s="14">
        <v>-3.7572816527943198E-3</v>
      </c>
      <c r="J459" s="14">
        <v>-1.7053581252064465E-3</v>
      </c>
      <c r="K459" s="14">
        <v>-1.6489180976992702E-3</v>
      </c>
    </row>
    <row r="460" spans="2:11" x14ac:dyDescent="0.25">
      <c r="B460" s="29">
        <v>452</v>
      </c>
      <c r="C460" s="30">
        <v>0.32848837209302323</v>
      </c>
      <c r="D460" s="41">
        <v>1.2217464261635924E-2</v>
      </c>
      <c r="E460" s="41">
        <v>-2.6246245704545368E-3</v>
      </c>
      <c r="F460" s="41">
        <v>4.378273384848308E-3</v>
      </c>
      <c r="G460" s="41">
        <v>-2.991080376302158E-3</v>
      </c>
      <c r="H460" s="14">
        <v>-3.920374528984194E-3</v>
      </c>
      <c r="I460" s="14">
        <v>-3.753982840963066E-3</v>
      </c>
      <c r="J460" s="14">
        <v>-1.6923317676464933E-3</v>
      </c>
      <c r="K460" s="14">
        <v>-1.6431361062319019E-3</v>
      </c>
    </row>
    <row r="461" spans="2:11" x14ac:dyDescent="0.25">
      <c r="B461" s="29">
        <v>453</v>
      </c>
      <c r="C461" s="30">
        <v>0.32921511627906974</v>
      </c>
      <c r="D461" s="41">
        <v>-9.1026122195285285E-3</v>
      </c>
      <c r="E461" s="41">
        <v>3.3459333345391418E-3</v>
      </c>
      <c r="F461" s="41">
        <v>-2.6268296062742502E-3</v>
      </c>
      <c r="G461" s="41">
        <v>1.7817054332517793E-3</v>
      </c>
      <c r="H461" s="14">
        <v>-3.9007645498515542E-3</v>
      </c>
      <c r="I461" s="14">
        <v>-3.7501802971297016E-3</v>
      </c>
      <c r="J461" s="14">
        <v>-1.6817867343686954E-3</v>
      </c>
      <c r="K461" s="14">
        <v>-1.6252664253353375E-3</v>
      </c>
    </row>
    <row r="462" spans="2:11" x14ac:dyDescent="0.25">
      <c r="B462" s="29">
        <v>454</v>
      </c>
      <c r="C462" s="30">
        <v>0.32994186046511625</v>
      </c>
      <c r="D462" s="41">
        <v>-9.5616023373232429E-3</v>
      </c>
      <c r="E462" s="41">
        <v>8.5983127839064366E-3</v>
      </c>
      <c r="F462" s="41">
        <v>-8.1260066523358709E-3</v>
      </c>
      <c r="G462" s="41">
        <v>-1.2229766776968632E-3</v>
      </c>
      <c r="H462" s="14">
        <v>-3.899669319624155E-3</v>
      </c>
      <c r="I462" s="14">
        <v>-3.7411182085695938E-3</v>
      </c>
      <c r="J462" s="14">
        <v>-1.6772458720757388E-3</v>
      </c>
      <c r="K462" s="14">
        <v>-1.6097672504283627E-3</v>
      </c>
    </row>
    <row r="463" spans="2:11" x14ac:dyDescent="0.25">
      <c r="B463" s="29">
        <v>455</v>
      </c>
      <c r="C463" s="30">
        <v>0.33066860465116277</v>
      </c>
      <c r="D463" s="41">
        <v>-1.926335026108171E-2</v>
      </c>
      <c r="E463" s="41">
        <v>-3.9497435347521925E-3</v>
      </c>
      <c r="F463" s="41">
        <v>-7.0616659875364363E-3</v>
      </c>
      <c r="G463" s="41">
        <v>2.0718945778979152E-4</v>
      </c>
      <c r="H463" s="14">
        <v>-3.8421129613731564E-3</v>
      </c>
      <c r="I463" s="14">
        <v>-3.6944795269177044E-3</v>
      </c>
      <c r="J463" s="14">
        <v>-1.6758840288252363E-3</v>
      </c>
      <c r="K463" s="14">
        <v>-1.5941233128866641E-3</v>
      </c>
    </row>
    <row r="464" spans="2:11" x14ac:dyDescent="0.25">
      <c r="B464" s="29">
        <v>456</v>
      </c>
      <c r="C464" s="30">
        <v>0.33139534883720928</v>
      </c>
      <c r="D464" s="41">
        <v>-2.0921953222735903E-2</v>
      </c>
      <c r="E464" s="41">
        <v>-3.7411182085695938E-3</v>
      </c>
      <c r="F464" s="41">
        <v>-5.6242490190649974E-5</v>
      </c>
      <c r="G464" s="41">
        <v>-3.2327250299528211E-3</v>
      </c>
      <c r="H464" s="14">
        <v>-3.8314141195077145E-3</v>
      </c>
      <c r="I464" s="14">
        <v>-3.6818851251840812E-3</v>
      </c>
      <c r="J464" s="14">
        <v>-1.6552647779267682E-3</v>
      </c>
      <c r="K464" s="14">
        <v>-1.5931868672171225E-3</v>
      </c>
    </row>
    <row r="465" spans="2:11" x14ac:dyDescent="0.25">
      <c r="B465" s="29">
        <v>457</v>
      </c>
      <c r="C465" s="30">
        <v>0.33212209302325579</v>
      </c>
      <c r="D465" s="41">
        <v>3.8576920144706775E-3</v>
      </c>
      <c r="E465" s="41">
        <v>0</v>
      </c>
      <c r="F465" s="41">
        <v>5.5754567098613705E-3</v>
      </c>
      <c r="G465" s="41">
        <v>1.1150913419722742E-3</v>
      </c>
      <c r="H465" s="14">
        <v>-3.7749706214197376E-3</v>
      </c>
      <c r="I465" s="14">
        <v>-3.6706188078609037E-3</v>
      </c>
      <c r="J465" s="14">
        <v>-1.6516445660893497E-3</v>
      </c>
      <c r="K465" s="14">
        <v>-1.5868331108483289E-3</v>
      </c>
    </row>
    <row r="466" spans="2:11" x14ac:dyDescent="0.25">
      <c r="B466" s="29">
        <v>458</v>
      </c>
      <c r="C466" s="30">
        <v>0.33284883720930231</v>
      </c>
      <c r="D466" s="41">
        <v>-1.8728742814452734E-2</v>
      </c>
      <c r="E466" s="41">
        <v>-1.4813547416859585E-2</v>
      </c>
      <c r="F466" s="41">
        <v>2.7733145714754492E-3</v>
      </c>
      <c r="G466" s="41">
        <v>-8.350619776892821E-3</v>
      </c>
      <c r="H466" s="14">
        <v>-3.7680798469762466E-3</v>
      </c>
      <c r="I466" s="14">
        <v>-3.6632720345812775E-3</v>
      </c>
      <c r="J466" s="14">
        <v>-1.6276664163062948E-3</v>
      </c>
      <c r="K466" s="14">
        <v>-1.5833559076128046E-3</v>
      </c>
    </row>
    <row r="467" spans="2:11" x14ac:dyDescent="0.25">
      <c r="B467" s="29">
        <v>459</v>
      </c>
      <c r="C467" s="30">
        <v>0.33357558139534882</v>
      </c>
      <c r="D467" s="41">
        <v>1.4660908701253269E-2</v>
      </c>
      <c r="E467" s="41">
        <v>-1.6361675289299216E-3</v>
      </c>
      <c r="F467" s="41">
        <v>5.3608942916634206E-3</v>
      </c>
      <c r="G467" s="41">
        <v>-1.1881750281150349E-3</v>
      </c>
      <c r="H467" s="14">
        <v>-3.7601871800930775E-3</v>
      </c>
      <c r="I467" s="14">
        <v>-3.5066264007788117E-3</v>
      </c>
      <c r="J467" s="14">
        <v>-1.6225098430548979E-3</v>
      </c>
      <c r="K467" s="14">
        <v>-1.5776432610156378E-3</v>
      </c>
    </row>
    <row r="468" spans="2:11" x14ac:dyDescent="0.25">
      <c r="B468" s="29">
        <v>460</v>
      </c>
      <c r="C468" s="30">
        <v>0.33430232558139533</v>
      </c>
      <c r="D468" s="41">
        <v>-6.0187894208639698E-4</v>
      </c>
      <c r="E468" s="41">
        <v>4.9165468811513957E-3</v>
      </c>
      <c r="F468" s="41">
        <v>-2.0216886727514316E-3</v>
      </c>
      <c r="G468" s="41">
        <v>2.6138187011698791E-3</v>
      </c>
      <c r="H468" s="14">
        <v>-3.7532637075717856E-3</v>
      </c>
      <c r="I468" s="14">
        <v>-3.5061893609903416E-3</v>
      </c>
      <c r="J468" s="14">
        <v>-1.6105224937462692E-3</v>
      </c>
      <c r="K468" s="14">
        <v>-1.5712660583780294E-3</v>
      </c>
    </row>
    <row r="469" spans="2:11" x14ac:dyDescent="0.25">
      <c r="B469" s="29">
        <v>461</v>
      </c>
      <c r="C469" s="30">
        <v>0.33502906976744184</v>
      </c>
      <c r="D469" s="41">
        <v>3.9071256551123984E-3</v>
      </c>
      <c r="E469" s="41">
        <v>-6.1771137026238598E-3</v>
      </c>
      <c r="F469" s="41">
        <v>2.701054648908352E-3</v>
      </c>
      <c r="G469" s="41">
        <v>-3.5387670658790791E-3</v>
      </c>
      <c r="H469" s="14">
        <v>-3.7476534652319815E-3</v>
      </c>
      <c r="I469" s="14">
        <v>-3.4944237918216325E-3</v>
      </c>
      <c r="J469" s="14">
        <v>-1.598060285446512E-3</v>
      </c>
      <c r="K469" s="14">
        <v>-1.5551177617974421E-3</v>
      </c>
    </row>
    <row r="470" spans="2:11" x14ac:dyDescent="0.25">
      <c r="B470" s="29">
        <v>462</v>
      </c>
      <c r="C470" s="30">
        <v>0.33575581395348836</v>
      </c>
      <c r="D470" s="41">
        <v>1.1453575481489033E-2</v>
      </c>
      <c r="E470" s="41">
        <v>1.4667864542272646E-4</v>
      </c>
      <c r="F470" s="41">
        <v>-1.4028948793236573E-3</v>
      </c>
      <c r="G470" s="41">
        <v>-3.0298542808011144E-3</v>
      </c>
      <c r="H470" s="14">
        <v>-3.6777766168635262E-3</v>
      </c>
      <c r="I470" s="14">
        <v>-3.432042270909208E-3</v>
      </c>
      <c r="J470" s="14">
        <v>-1.5895566700786512E-3</v>
      </c>
      <c r="K470" s="14">
        <v>-1.5516249466157371E-3</v>
      </c>
    </row>
    <row r="471" spans="2:11" x14ac:dyDescent="0.25">
      <c r="B471" s="29">
        <v>463</v>
      </c>
      <c r="C471" s="30">
        <v>0.33648255813953487</v>
      </c>
      <c r="D471" s="41">
        <v>-2.0855938770988059E-2</v>
      </c>
      <c r="E471" s="41">
        <v>2.0531998753414715E-3</v>
      </c>
      <c r="F471" s="41">
        <v>8.4275034770886492E-4</v>
      </c>
      <c r="G471" s="41">
        <v>2.686501681168085E-3</v>
      </c>
      <c r="H471" s="14">
        <v>-3.6436423336965174E-3</v>
      </c>
      <c r="I471" s="14">
        <v>-3.4289701177591114E-3</v>
      </c>
      <c r="J471" s="14">
        <v>-1.5855783787663835E-3</v>
      </c>
      <c r="K471" s="14">
        <v>-1.5269939663905331E-3</v>
      </c>
    </row>
    <row r="472" spans="2:11" x14ac:dyDescent="0.25">
      <c r="B472" s="29">
        <v>464</v>
      </c>
      <c r="C472" s="30">
        <v>0.33720930232558138</v>
      </c>
      <c r="D472" s="41">
        <v>-1.0592449476006498E-2</v>
      </c>
      <c r="E472" s="41">
        <v>-9.5955068513199349E-3</v>
      </c>
      <c r="F472" s="41">
        <v>-5.5565857902842852E-3</v>
      </c>
      <c r="G472" s="41">
        <v>-4.4567660003823617E-3</v>
      </c>
      <c r="H472" s="14">
        <v>-3.6224384185469249E-3</v>
      </c>
      <c r="I472" s="14">
        <v>-3.3645366978700686E-3</v>
      </c>
      <c r="J472" s="14">
        <v>-1.5740829832575631E-3</v>
      </c>
      <c r="K472" s="14">
        <v>-1.5159811191456376E-3</v>
      </c>
    </row>
    <row r="473" spans="2:11" x14ac:dyDescent="0.25">
      <c r="B473" s="29">
        <v>465</v>
      </c>
      <c r="C473" s="30">
        <v>0.3379360465116279</v>
      </c>
      <c r="D473" s="41">
        <v>2.4880181740884228E-3</v>
      </c>
      <c r="E473" s="41">
        <v>1.1175454637813553E-2</v>
      </c>
      <c r="F473" s="41">
        <v>-4.6279806277084168E-3</v>
      </c>
      <c r="G473" s="41">
        <v>4.9508143309334729E-3</v>
      </c>
      <c r="H473" s="14">
        <v>-3.6068352484380783E-3</v>
      </c>
      <c r="I473" s="14">
        <v>-3.352012300427698E-3</v>
      </c>
      <c r="J473" s="14">
        <v>-1.5708633930650029E-3</v>
      </c>
      <c r="K473" s="14">
        <v>-1.5154074247515582E-3</v>
      </c>
    </row>
    <row r="474" spans="2:11" x14ac:dyDescent="0.25">
      <c r="B474" s="29">
        <v>466</v>
      </c>
      <c r="C474" s="30">
        <v>0.33866279069767441</v>
      </c>
      <c r="D474" s="41">
        <v>-3.8629028508434912E-3</v>
      </c>
      <c r="E474" s="41">
        <v>1.7381693961619593E-2</v>
      </c>
      <c r="F474" s="41">
        <v>5.3299109274538292E-3</v>
      </c>
      <c r="G474" s="41">
        <v>6.9676746156722936E-3</v>
      </c>
      <c r="H474" s="14">
        <v>-3.5934291581107836E-3</v>
      </c>
      <c r="I474" s="14">
        <v>-3.3369748733736992E-3</v>
      </c>
      <c r="J474" s="14">
        <v>-1.5470076480079697E-3</v>
      </c>
      <c r="K474" s="14">
        <v>-1.5046872309564694E-3</v>
      </c>
    </row>
    <row r="475" spans="2:11" x14ac:dyDescent="0.25">
      <c r="B475" s="29">
        <v>467</v>
      </c>
      <c r="C475" s="30">
        <v>0.33938953488372092</v>
      </c>
      <c r="D475" s="41">
        <v>1.5386131450564364E-2</v>
      </c>
      <c r="E475" s="41">
        <v>1.6698687447256333E-3</v>
      </c>
      <c r="F475" s="41">
        <v>2.481407555936066E-3</v>
      </c>
      <c r="G475" s="41">
        <v>1.2345178549444391E-3</v>
      </c>
      <c r="H475" s="14">
        <v>-3.56318377998599E-3</v>
      </c>
      <c r="I475" s="14">
        <v>-3.3064979873490552E-3</v>
      </c>
      <c r="J475" s="14">
        <v>-1.5352188951516244E-3</v>
      </c>
      <c r="K475" s="14">
        <v>-1.4715338842162138E-3</v>
      </c>
    </row>
    <row r="476" spans="2:11" x14ac:dyDescent="0.25">
      <c r="B476" s="29">
        <v>468</v>
      </c>
      <c r="C476" s="30">
        <v>0.34011627906976744</v>
      </c>
      <c r="D476" s="41">
        <v>-1.3009715786294875E-2</v>
      </c>
      <c r="E476" s="41">
        <v>2.4109991754204252E-3</v>
      </c>
      <c r="F476" s="41">
        <v>1.181691374816829E-3</v>
      </c>
      <c r="G476" s="41">
        <v>1.4114312654486484E-3</v>
      </c>
      <c r="H476" s="14">
        <v>-3.5377358490564781E-3</v>
      </c>
      <c r="I476" s="14">
        <v>-3.2843262127444373E-3</v>
      </c>
      <c r="J476" s="14">
        <v>-1.5047291487532144E-3</v>
      </c>
      <c r="K476" s="14">
        <v>-1.4684135986281709E-3</v>
      </c>
    </row>
    <row r="477" spans="2:11" x14ac:dyDescent="0.25">
      <c r="B477" s="29">
        <v>469</v>
      </c>
      <c r="C477" s="30">
        <v>0.34084302325581395</v>
      </c>
      <c r="D477" s="41">
        <v>-3.1362301373956993E-3</v>
      </c>
      <c r="E477" s="41">
        <v>-5.4809953416010693E-3</v>
      </c>
      <c r="F477" s="41">
        <v>9.5524876264694303E-3</v>
      </c>
      <c r="G477" s="41">
        <v>-5.4766633808382087E-3</v>
      </c>
      <c r="H477" s="14">
        <v>-3.5311767791686988E-3</v>
      </c>
      <c r="I477" s="14">
        <v>-3.270780795844197E-3</v>
      </c>
      <c r="J477" s="14">
        <v>-1.5033407572384583E-3</v>
      </c>
      <c r="K477" s="14">
        <v>-1.4247376446345772E-3</v>
      </c>
    </row>
    <row r="478" spans="2:11" x14ac:dyDescent="0.25">
      <c r="B478" s="29">
        <v>470</v>
      </c>
      <c r="C478" s="30">
        <v>0.34156976744186046</v>
      </c>
      <c r="D478" s="41">
        <v>1.7101561497259162E-2</v>
      </c>
      <c r="E478" s="41">
        <v>-1.5913259251267742E-2</v>
      </c>
      <c r="F478" s="41">
        <v>4.1747685939486079E-3</v>
      </c>
      <c r="G478" s="41">
        <v>-1.0722404059358759E-2</v>
      </c>
      <c r="H478" s="14">
        <v>-3.5300050428643814E-3</v>
      </c>
      <c r="I478" s="14">
        <v>-3.2291830577353409E-3</v>
      </c>
      <c r="J478" s="14">
        <v>-1.4840872863189913E-3</v>
      </c>
      <c r="K478" s="14">
        <v>-1.4149693402391696E-3</v>
      </c>
    </row>
    <row r="479" spans="2:11" x14ac:dyDescent="0.25">
      <c r="B479" s="29">
        <v>471</v>
      </c>
      <c r="C479" s="30">
        <v>0.34229651162790697</v>
      </c>
      <c r="D479" s="41">
        <v>-3.0566809537241699E-3</v>
      </c>
      <c r="E479" s="41">
        <v>3.8919037439018034E-3</v>
      </c>
      <c r="F479" s="41">
        <v>1.658701045077482E-4</v>
      </c>
      <c r="G479" s="41">
        <v>5.090009644985739E-4</v>
      </c>
      <c r="H479" s="14">
        <v>-3.4912219421245894E-3</v>
      </c>
      <c r="I479" s="14">
        <v>-3.2277144064215557E-3</v>
      </c>
      <c r="J479" s="14">
        <v>-1.4708477966699496E-3</v>
      </c>
      <c r="K479" s="14">
        <v>-1.4103027268733024E-3</v>
      </c>
    </row>
    <row r="480" spans="2:11" x14ac:dyDescent="0.25">
      <c r="B480" s="29">
        <v>472</v>
      </c>
      <c r="C480" s="30">
        <v>0.34302325581395349</v>
      </c>
      <c r="D480" s="41">
        <v>1.016772795761551E-3</v>
      </c>
      <c r="E480" s="41">
        <v>-1.9866404572094098E-2</v>
      </c>
      <c r="F480" s="41">
        <v>4.8775758920220902E-3</v>
      </c>
      <c r="G480" s="41">
        <v>-9.1386686070046089E-3</v>
      </c>
      <c r="H480" s="14">
        <v>-3.4785435630688699E-3</v>
      </c>
      <c r="I480" s="14">
        <v>-3.2016974680068033E-3</v>
      </c>
      <c r="J480" s="14">
        <v>-1.4470590574610087E-3</v>
      </c>
      <c r="K480" s="14">
        <v>-1.4052946349976999E-3</v>
      </c>
    </row>
    <row r="481" spans="2:11" x14ac:dyDescent="0.25">
      <c r="B481" s="29">
        <v>473</v>
      </c>
      <c r="C481" s="30">
        <v>0.34375</v>
      </c>
      <c r="D481" s="41">
        <v>-1.4198539174189725E-2</v>
      </c>
      <c r="E481" s="41">
        <v>9.8234928180795933E-3</v>
      </c>
      <c r="F481" s="41">
        <v>-8.3841006414485664E-3</v>
      </c>
      <c r="G481" s="41">
        <v>6.8294731298353967E-3</v>
      </c>
      <c r="H481" s="14">
        <v>-3.4746523816625574E-3</v>
      </c>
      <c r="I481" s="14">
        <v>-3.1797735380797443E-3</v>
      </c>
      <c r="J481" s="14">
        <v>-1.4360193468215821E-3</v>
      </c>
      <c r="K481" s="14">
        <v>-1.4037971835616058E-3</v>
      </c>
    </row>
    <row r="482" spans="2:11" x14ac:dyDescent="0.25">
      <c r="B482" s="29">
        <v>474</v>
      </c>
      <c r="C482" s="30">
        <v>0.34447674418604651</v>
      </c>
      <c r="D482" s="41">
        <v>-8.0191830129100489E-3</v>
      </c>
      <c r="E482" s="41">
        <v>1.794793994060262E-2</v>
      </c>
      <c r="F482" s="41">
        <v>-4.4482111206480823E-3</v>
      </c>
      <c r="G482" s="41">
        <v>1.3400280265551779E-2</v>
      </c>
      <c r="H482" s="14">
        <v>-3.4428794992175105E-3</v>
      </c>
      <c r="I482" s="14">
        <v>-3.1777416849093632E-3</v>
      </c>
      <c r="J482" s="14">
        <v>-1.4354965176174295E-3</v>
      </c>
      <c r="K482" s="14">
        <v>-1.3925790123483941E-3</v>
      </c>
    </row>
    <row r="483" spans="2:11" x14ac:dyDescent="0.25">
      <c r="B483" s="29">
        <v>475</v>
      </c>
      <c r="C483" s="30">
        <v>0.34520348837209303</v>
      </c>
      <c r="D483" s="41">
        <v>7.9610811650012206E-6</v>
      </c>
      <c r="E483" s="41">
        <v>-6.684069333671161E-4</v>
      </c>
      <c r="F483" s="41">
        <v>-5.5427691862175443E-5</v>
      </c>
      <c r="G483" s="41">
        <v>-3.0307484797656996E-3</v>
      </c>
      <c r="H483" s="14">
        <v>-3.4417631454725095E-3</v>
      </c>
      <c r="I483" s="14">
        <v>-3.1699785590447727E-3</v>
      </c>
      <c r="J483" s="14">
        <v>-1.4336207938714374E-3</v>
      </c>
      <c r="K483" s="14">
        <v>-1.3830258727087763E-3</v>
      </c>
    </row>
    <row r="484" spans="2:11" x14ac:dyDescent="0.25">
      <c r="B484" s="29">
        <v>476</v>
      </c>
      <c r="C484" s="30">
        <v>0.34593023255813954</v>
      </c>
      <c r="D484" s="41">
        <v>2.0029134892044293E-2</v>
      </c>
      <c r="E484" s="41">
        <v>-5.1700606487882217E-3</v>
      </c>
      <c r="F484" s="41">
        <v>-3.9117133913014746E-3</v>
      </c>
      <c r="G484" s="41">
        <v>-4.9821417556795266E-3</v>
      </c>
      <c r="H484" s="14">
        <v>-3.426257592275328E-3</v>
      </c>
      <c r="I484" s="14">
        <v>-3.1650864472951845E-3</v>
      </c>
      <c r="J484" s="14">
        <v>-1.4334348683031628E-3</v>
      </c>
      <c r="K484" s="14">
        <v>-1.3818356431070766E-3</v>
      </c>
    </row>
    <row r="485" spans="2:11" x14ac:dyDescent="0.25">
      <c r="B485" s="29">
        <v>477</v>
      </c>
      <c r="C485" s="30">
        <v>0.34665697674418605</v>
      </c>
      <c r="D485" s="41">
        <v>-6.9209891587237362E-3</v>
      </c>
      <c r="E485" s="41">
        <v>2.3531549538908791E-3</v>
      </c>
      <c r="F485" s="41">
        <v>6.4509191500201624E-3</v>
      </c>
      <c r="G485" s="41">
        <v>1.5884590561828561E-3</v>
      </c>
      <c r="H485" s="14">
        <v>-3.4058936768844861E-3</v>
      </c>
      <c r="I485" s="14">
        <v>-3.1562982496892156E-3</v>
      </c>
      <c r="J485" s="14">
        <v>-1.4316789298806087E-3</v>
      </c>
      <c r="K485" s="14">
        <v>-1.3776964048756836E-3</v>
      </c>
    </row>
    <row r="486" spans="2:11" x14ac:dyDescent="0.25">
      <c r="B486" s="29">
        <v>478</v>
      </c>
      <c r="C486" s="30">
        <v>0.34738372093023256</v>
      </c>
      <c r="D486" s="41">
        <v>8.5136196867949317E-3</v>
      </c>
      <c r="E486" s="41">
        <v>1.4729342663427625E-2</v>
      </c>
      <c r="F486" s="41">
        <v>3.6216459504476717E-3</v>
      </c>
      <c r="G486" s="41">
        <v>5.3995841000032746E-3</v>
      </c>
      <c r="H486" s="14">
        <v>-3.3797925613555657E-3</v>
      </c>
      <c r="I486" s="14">
        <v>-3.1429471914833362E-3</v>
      </c>
      <c r="J486" s="14">
        <v>-1.4141150689594983E-3</v>
      </c>
      <c r="K486" s="14">
        <v>-1.3656882594109908E-3</v>
      </c>
    </row>
    <row r="487" spans="2:11" x14ac:dyDescent="0.25">
      <c r="B487" s="29">
        <v>479</v>
      </c>
      <c r="C487" s="30">
        <v>0.34811046511627908</v>
      </c>
      <c r="D487" s="41">
        <v>-1.5820052821462694E-2</v>
      </c>
      <c r="E487" s="41">
        <v>1.1960803580201684E-2</v>
      </c>
      <c r="F487" s="41">
        <v>3.3329369523382724E-4</v>
      </c>
      <c r="G487" s="41">
        <v>5.7123072094785073E-3</v>
      </c>
      <c r="H487" s="14">
        <v>-3.2786885245901232E-3</v>
      </c>
      <c r="I487" s="14">
        <v>-3.0853593635268295E-3</v>
      </c>
      <c r="J487" s="14">
        <v>-1.4028948793236573E-3</v>
      </c>
      <c r="K487" s="14">
        <v>-1.3649994745134288E-3</v>
      </c>
    </row>
    <row r="488" spans="2:11" x14ac:dyDescent="0.25">
      <c r="B488" s="29">
        <v>480</v>
      </c>
      <c r="C488" s="30">
        <v>0.34883720930232559</v>
      </c>
      <c r="D488" s="41">
        <v>-1.7076195464974426E-2</v>
      </c>
      <c r="E488" s="41">
        <v>-3.1777416849093632E-3</v>
      </c>
      <c r="F488" s="41">
        <v>-3.330701412103565E-3</v>
      </c>
      <c r="G488" s="41">
        <v>-1.6508027130838433E-3</v>
      </c>
      <c r="H488" s="14">
        <v>-3.2748785125713553E-3</v>
      </c>
      <c r="I488" s="14">
        <v>-3.057094468524868E-3</v>
      </c>
      <c r="J488" s="14">
        <v>-1.3886231336430743E-3</v>
      </c>
      <c r="K488" s="14">
        <v>-1.3526529949227761E-3</v>
      </c>
    </row>
    <row r="489" spans="2:11" x14ac:dyDescent="0.25">
      <c r="B489" s="29">
        <v>481</v>
      </c>
      <c r="C489" s="30">
        <v>0.3495639534883721</v>
      </c>
      <c r="D489" s="41">
        <v>6.3568365699089658E-3</v>
      </c>
      <c r="E489" s="41">
        <v>3.471238311136382E-3</v>
      </c>
      <c r="F489" s="41">
        <v>7.9649685893923294E-3</v>
      </c>
      <c r="G489" s="41">
        <v>1.6932838297120333E-3</v>
      </c>
      <c r="H489" s="14">
        <v>-3.2334072889256271E-3</v>
      </c>
      <c r="I489" s="14">
        <v>-2.9870880709192971E-3</v>
      </c>
      <c r="J489" s="14">
        <v>-1.3718512291850393E-3</v>
      </c>
      <c r="K489" s="14">
        <v>-1.3487893263567142E-3</v>
      </c>
    </row>
    <row r="490" spans="2:11" x14ac:dyDescent="0.25">
      <c r="B490" s="29">
        <v>482</v>
      </c>
      <c r="C490" s="30">
        <v>0.35029069767441862</v>
      </c>
      <c r="D490" s="41">
        <v>5.4727370767073489E-3</v>
      </c>
      <c r="E490" s="41">
        <v>4.6681962583832171E-3</v>
      </c>
      <c r="F490" s="41">
        <v>1.9329422140976771E-3</v>
      </c>
      <c r="G490" s="41">
        <v>3.4026572135034796E-3</v>
      </c>
      <c r="H490" s="14">
        <v>-3.2205130315524633E-3</v>
      </c>
      <c r="I490" s="14">
        <v>-2.9787355338920518E-3</v>
      </c>
      <c r="J490" s="14">
        <v>-1.3585536628696326E-3</v>
      </c>
      <c r="K490" s="14">
        <v>-1.3298273037631422E-3</v>
      </c>
    </row>
    <row r="491" spans="2:11" x14ac:dyDescent="0.25">
      <c r="B491" s="29">
        <v>483</v>
      </c>
      <c r="C491" s="30">
        <v>0.35101744186046513</v>
      </c>
      <c r="D491" s="41">
        <v>-1.1312121477859108E-2</v>
      </c>
      <c r="E491" s="41">
        <v>-4.0843573505258135E-3</v>
      </c>
      <c r="F491" s="41">
        <v>-4.5774673014005174E-3</v>
      </c>
      <c r="G491" s="41">
        <v>-4.1243385247139224E-3</v>
      </c>
      <c r="H491" s="14">
        <v>-3.2040677522078287E-3</v>
      </c>
      <c r="I491" s="14">
        <v>-2.9713384170391155E-3</v>
      </c>
      <c r="J491" s="14">
        <v>-1.3567720622935653E-3</v>
      </c>
      <c r="K491" s="14">
        <v>-1.3244973844418252E-3</v>
      </c>
    </row>
    <row r="492" spans="2:11" x14ac:dyDescent="0.25">
      <c r="B492" s="29">
        <v>484</v>
      </c>
      <c r="C492" s="30">
        <v>0.35174418604651164</v>
      </c>
      <c r="D492" s="41">
        <v>-5.7275268610601747E-3</v>
      </c>
      <c r="E492" s="41">
        <v>1.2982431383616655E-2</v>
      </c>
      <c r="F492" s="41">
        <v>7.4794700483431509E-3</v>
      </c>
      <c r="G492" s="41">
        <v>5.7544179526254798E-3</v>
      </c>
      <c r="H492" s="14">
        <v>-3.1692282935696925E-3</v>
      </c>
      <c r="I492" s="14">
        <v>-2.9611233164581474E-3</v>
      </c>
      <c r="J492" s="14">
        <v>-1.3517365008888227E-3</v>
      </c>
      <c r="K492" s="14">
        <v>-1.3144529641966551E-3</v>
      </c>
    </row>
    <row r="493" spans="2:11" x14ac:dyDescent="0.25">
      <c r="B493" s="29">
        <v>485</v>
      </c>
      <c r="C493" s="30">
        <v>0.35247093023255816</v>
      </c>
      <c r="D493" s="41">
        <v>-1.5977771361641954E-2</v>
      </c>
      <c r="E493" s="41">
        <v>-1.8632026189314699E-3</v>
      </c>
      <c r="F493" s="41">
        <v>1.9806449946093707E-3</v>
      </c>
      <c r="G493" s="41">
        <v>-2.0061656933028083E-3</v>
      </c>
      <c r="H493" s="14">
        <v>-3.1565676759196526E-3</v>
      </c>
      <c r="I493" s="14">
        <v>-2.9609475032010835E-3</v>
      </c>
      <c r="J493" s="14">
        <v>-1.3424874934663267E-3</v>
      </c>
      <c r="K493" s="14">
        <v>-1.3105697882401567E-3</v>
      </c>
    </row>
    <row r="494" spans="2:11" x14ac:dyDescent="0.25">
      <c r="B494" s="29">
        <v>486</v>
      </c>
      <c r="C494" s="30">
        <v>0.35319767441860467</v>
      </c>
      <c r="D494" s="41">
        <v>-9.9115463656658086E-3</v>
      </c>
      <c r="E494" s="41">
        <v>0</v>
      </c>
      <c r="F494" s="41">
        <v>-1.976729794635923E-3</v>
      </c>
      <c r="G494" s="41">
        <v>-3.9534595892718464E-4</v>
      </c>
      <c r="H494" s="14">
        <v>-3.1294182745545962E-3</v>
      </c>
      <c r="I494" s="14">
        <v>-2.9421802732697566E-3</v>
      </c>
      <c r="J494" s="14">
        <v>-1.3336382545529046E-3</v>
      </c>
      <c r="K494" s="14">
        <v>-1.3063754073441959E-3</v>
      </c>
    </row>
    <row r="495" spans="2:11" x14ac:dyDescent="0.25">
      <c r="B495" s="29">
        <v>487</v>
      </c>
      <c r="C495" s="30">
        <v>0.35392441860465118</v>
      </c>
      <c r="D495" s="41">
        <v>1.6951355389983477E-2</v>
      </c>
      <c r="E495" s="41">
        <v>9.5165820554419245E-3</v>
      </c>
      <c r="F495" s="41">
        <v>-5.7729568284147215E-3</v>
      </c>
      <c r="G495" s="41">
        <v>1.060451332459134E-3</v>
      </c>
      <c r="H495" s="14">
        <v>-3.1013443729496215E-3</v>
      </c>
      <c r="I495" s="14">
        <v>-2.9260372712918148E-3</v>
      </c>
      <c r="J495" s="14">
        <v>-1.3314307709302309E-3</v>
      </c>
      <c r="K495" s="14">
        <v>-1.306044135531881E-3</v>
      </c>
    </row>
    <row r="496" spans="2:11" x14ac:dyDescent="0.25">
      <c r="B496" s="29">
        <v>488</v>
      </c>
      <c r="C496" s="30">
        <v>0.35465116279069769</v>
      </c>
      <c r="D496" s="41">
        <v>-2.5755490554749259E-2</v>
      </c>
      <c r="E496" s="41">
        <v>-2.3070342944534472E-3</v>
      </c>
      <c r="F496" s="41">
        <v>2.323274676502507E-3</v>
      </c>
      <c r="G496" s="41">
        <v>1.3577107904638288E-3</v>
      </c>
      <c r="H496" s="14">
        <v>-3.0970406056436417E-3</v>
      </c>
      <c r="I496" s="14">
        <v>-2.9180452351250663E-3</v>
      </c>
      <c r="J496" s="14">
        <v>-1.3049645390070808E-3</v>
      </c>
      <c r="K496" s="14">
        <v>-1.3055850706378271E-3</v>
      </c>
    </row>
    <row r="497" spans="2:11" x14ac:dyDescent="0.25">
      <c r="B497" s="29">
        <v>489</v>
      </c>
      <c r="C497" s="30">
        <v>0.35537790697674421</v>
      </c>
      <c r="D497" s="41">
        <v>5.4073967534532591E-3</v>
      </c>
      <c r="E497" s="41">
        <v>1.0150174077217633E-2</v>
      </c>
      <c r="F497" s="41">
        <v>3.1449716111384696E-3</v>
      </c>
      <c r="G497" s="41">
        <v>5.9183002817683851E-3</v>
      </c>
      <c r="H497" s="14">
        <v>-3.0566780644493141E-3</v>
      </c>
      <c r="I497" s="14">
        <v>-2.9179202636711032E-3</v>
      </c>
      <c r="J497" s="14">
        <v>-1.3007290217482703E-3</v>
      </c>
      <c r="K497" s="14">
        <v>-1.3032915896983078E-3</v>
      </c>
    </row>
    <row r="498" spans="2:11" x14ac:dyDescent="0.25">
      <c r="B498" s="29">
        <v>490</v>
      </c>
      <c r="C498" s="30">
        <v>0.35610465116279072</v>
      </c>
      <c r="D498" s="41">
        <v>1.0146697863977242E-2</v>
      </c>
      <c r="E498" s="41">
        <v>-6.7045045354002797E-3</v>
      </c>
      <c r="F498" s="41">
        <v>6.2156382317348768E-3</v>
      </c>
      <c r="G498" s="41">
        <v>-3.3850505379804385E-3</v>
      </c>
      <c r="H498" s="14">
        <v>-3.0412053886432755E-3</v>
      </c>
      <c r="I498" s="14">
        <v>-2.91667919535743E-3</v>
      </c>
      <c r="J498" s="14">
        <v>-1.2871453354973417E-3</v>
      </c>
      <c r="K498" s="14">
        <v>-1.2859606676775661E-3</v>
      </c>
    </row>
    <row r="499" spans="2:11" x14ac:dyDescent="0.25">
      <c r="B499" s="29">
        <v>491</v>
      </c>
      <c r="C499" s="30">
        <v>0.35683139534883723</v>
      </c>
      <c r="D499" s="41">
        <v>-9.8043712116346604E-3</v>
      </c>
      <c r="E499" s="41">
        <v>4.9803203977349941E-3</v>
      </c>
      <c r="F499" s="41">
        <v>-5.9585827737091979E-3</v>
      </c>
      <c r="G499" s="41">
        <v>1.2350702370982792E-3</v>
      </c>
      <c r="H499" s="14">
        <v>-3.0307200603443274E-3</v>
      </c>
      <c r="I499" s="14">
        <v>-2.9123459950054498E-3</v>
      </c>
      <c r="J499" s="14">
        <v>-1.2603774245761867E-3</v>
      </c>
      <c r="K499" s="14">
        <v>-1.2750004488359505E-3</v>
      </c>
    </row>
    <row r="500" spans="2:11" x14ac:dyDescent="0.25">
      <c r="B500" s="29">
        <v>492</v>
      </c>
      <c r="C500" s="30">
        <v>0.35755813953488375</v>
      </c>
      <c r="D500" s="41">
        <v>6.4767582488882468E-3</v>
      </c>
      <c r="E500" s="41">
        <v>7.3862221191589583E-4</v>
      </c>
      <c r="F500" s="41">
        <v>-8.0855492749103419E-3</v>
      </c>
      <c r="G500" s="41">
        <v>2.947527150027707E-3</v>
      </c>
      <c r="H500" s="14">
        <v>-3.0285084078510716E-3</v>
      </c>
      <c r="I500" s="14">
        <v>-2.9076179590526996E-3</v>
      </c>
      <c r="J500" s="14">
        <v>-1.2351397251814111E-3</v>
      </c>
      <c r="K500" s="14">
        <v>-1.2734907632248049E-3</v>
      </c>
    </row>
    <row r="501" spans="2:11" x14ac:dyDescent="0.25">
      <c r="B501" s="29">
        <v>493</v>
      </c>
      <c r="C501" s="30">
        <v>0.35828488372093026</v>
      </c>
      <c r="D501" s="41">
        <v>-9.6057939919269551E-3</v>
      </c>
      <c r="E501" s="41">
        <v>1.0633458920862537E-2</v>
      </c>
      <c r="F501" s="41">
        <v>-2.6604898954306622E-3</v>
      </c>
      <c r="G501" s="41">
        <v>5.4395188641767301E-3</v>
      </c>
      <c r="H501" s="14">
        <v>-3.0226700251887451E-3</v>
      </c>
      <c r="I501" s="14">
        <v>-2.9011441895776535E-3</v>
      </c>
      <c r="J501" s="14">
        <v>-1.233111730645442E-3</v>
      </c>
      <c r="K501" s="14">
        <v>-1.2718004567467303E-3</v>
      </c>
    </row>
    <row r="502" spans="2:11" x14ac:dyDescent="0.25">
      <c r="B502" s="29">
        <v>494</v>
      </c>
      <c r="C502" s="30">
        <v>0.35901162790697677</v>
      </c>
      <c r="D502" s="41">
        <v>2.4960835389493683E-3</v>
      </c>
      <c r="E502" s="41">
        <v>-2.3522817982641886E-3</v>
      </c>
      <c r="F502" s="41">
        <v>2.334889132143525E-3</v>
      </c>
      <c r="G502" s="41">
        <v>-7.5904191622808701E-4</v>
      </c>
      <c r="H502" s="14">
        <v>-3.0093406482972762E-3</v>
      </c>
      <c r="I502" s="14">
        <v>-2.8957009977494952E-3</v>
      </c>
      <c r="J502" s="14">
        <v>-1.198048888477965E-3</v>
      </c>
      <c r="K502" s="14">
        <v>-1.2590910825790666E-3</v>
      </c>
    </row>
    <row r="503" spans="2:11" x14ac:dyDescent="0.25">
      <c r="B503" s="29">
        <v>495</v>
      </c>
      <c r="C503" s="30">
        <v>0.35973837209302323</v>
      </c>
      <c r="D503" s="41">
        <v>1.5877649392313054E-2</v>
      </c>
      <c r="E503" s="41">
        <v>7.8140295026429829E-3</v>
      </c>
      <c r="F503" s="41">
        <v>-6.101789937416946E-3</v>
      </c>
      <c r="G503" s="41">
        <v>3.331978632162968E-3</v>
      </c>
      <c r="H503" s="14">
        <v>-3.0053046652819271E-3</v>
      </c>
      <c r="I503" s="14">
        <v>-2.8650093771197538E-3</v>
      </c>
      <c r="J503" s="14">
        <v>-1.1977868601057429E-3</v>
      </c>
      <c r="K503" s="14">
        <v>-1.2273082172186145E-3</v>
      </c>
    </row>
    <row r="504" spans="2:11" x14ac:dyDescent="0.25">
      <c r="B504" s="29">
        <v>496</v>
      </c>
      <c r="C504" s="30">
        <v>0.36046511627906974</v>
      </c>
      <c r="D504" s="41">
        <v>2.0106861316631981E-2</v>
      </c>
      <c r="E504" s="41">
        <v>2.331100769432215E-3</v>
      </c>
      <c r="F504" s="41">
        <v>-2.1759637101912421E-3</v>
      </c>
      <c r="G504" s="41">
        <v>1.1370349618113008E-3</v>
      </c>
      <c r="H504" s="14">
        <v>-2.9934222937754162E-3</v>
      </c>
      <c r="I504" s="14">
        <v>-2.8514347984018862E-3</v>
      </c>
      <c r="J504" s="14">
        <v>-1.1616255650891416E-3</v>
      </c>
      <c r="K504" s="14">
        <v>-1.2229766776968632E-3</v>
      </c>
    </row>
    <row r="505" spans="2:11" x14ac:dyDescent="0.25">
      <c r="B505" s="29">
        <v>497</v>
      </c>
      <c r="C505" s="30">
        <v>0.36119186046511625</v>
      </c>
      <c r="D505" s="41">
        <v>-6.4274096292564788E-3</v>
      </c>
      <c r="E505" s="41">
        <v>-2.2329892563724973E-3</v>
      </c>
      <c r="F505" s="41">
        <v>-5.3693402039260985E-3</v>
      </c>
      <c r="G505" s="41">
        <v>-4.1671344173464415E-3</v>
      </c>
      <c r="H505" s="14">
        <v>-2.9932504965688445E-3</v>
      </c>
      <c r="I505" s="14">
        <v>-2.839058563264274E-3</v>
      </c>
      <c r="J505" s="14">
        <v>-1.159532321963419E-3</v>
      </c>
      <c r="K505" s="14">
        <v>-1.214233231715567E-3</v>
      </c>
    </row>
    <row r="506" spans="2:11" x14ac:dyDescent="0.25">
      <c r="B506" s="29">
        <v>498</v>
      </c>
      <c r="C506" s="30">
        <v>0.36191860465116277</v>
      </c>
      <c r="D506" s="41">
        <v>7.6415496309669281E-3</v>
      </c>
      <c r="E506" s="41">
        <v>-1.6071277763702319E-2</v>
      </c>
      <c r="F506" s="41">
        <v>5.1178580686794817E-3</v>
      </c>
      <c r="G506" s="41">
        <v>-7.5459459027976024E-3</v>
      </c>
      <c r="H506" s="14">
        <v>-2.9575757575758255E-3</v>
      </c>
      <c r="I506" s="14">
        <v>-2.7917600778308849E-3</v>
      </c>
      <c r="J506" s="14">
        <v>-1.1512261558669357E-3</v>
      </c>
      <c r="K506" s="14">
        <v>-1.2055314149608254E-3</v>
      </c>
    </row>
    <row r="507" spans="2:11" x14ac:dyDescent="0.25">
      <c r="B507" s="29">
        <v>499</v>
      </c>
      <c r="C507" s="30">
        <v>0.36264534883720928</v>
      </c>
      <c r="D507" s="41">
        <v>-9.5875366793706021E-3</v>
      </c>
      <c r="E507" s="41">
        <v>-8.4973435072566161E-4</v>
      </c>
      <c r="F507" s="41">
        <v>1.7334340626882216E-3</v>
      </c>
      <c r="G507" s="41">
        <v>7.2433713960791131E-4</v>
      </c>
      <c r="H507" s="14">
        <v>-2.9333657334283947E-3</v>
      </c>
      <c r="I507" s="14">
        <v>-2.7632132222327188E-3</v>
      </c>
      <c r="J507" s="14">
        <v>-1.1461915181828486E-3</v>
      </c>
      <c r="K507" s="14">
        <v>-1.204281491971271E-3</v>
      </c>
    </row>
    <row r="508" spans="2:11" x14ac:dyDescent="0.25">
      <c r="B508" s="29">
        <v>500</v>
      </c>
      <c r="C508" s="30">
        <v>0.36337209302325579</v>
      </c>
      <c r="D508" s="41">
        <v>3.6127572851534537E-3</v>
      </c>
      <c r="E508" s="41">
        <v>-2.0900625386571337E-2</v>
      </c>
      <c r="F508" s="41">
        <v>1.0612706608852385E-3</v>
      </c>
      <c r="G508" s="41">
        <v>-9.6520708944887196E-3</v>
      </c>
      <c r="H508" s="14">
        <v>-2.930504073421103E-3</v>
      </c>
      <c r="I508" s="14">
        <v>-2.74457619466284E-3</v>
      </c>
      <c r="J508" s="14">
        <v>-1.1346054667354943E-3</v>
      </c>
      <c r="K508" s="14">
        <v>-1.1881750281150349E-3</v>
      </c>
    </row>
    <row r="509" spans="2:11" x14ac:dyDescent="0.25">
      <c r="B509" s="29">
        <v>501</v>
      </c>
      <c r="C509" s="30">
        <v>0.36409883720930231</v>
      </c>
      <c r="D509" s="41">
        <v>-9.137987305349822E-3</v>
      </c>
      <c r="E509" s="41">
        <v>9.2125466110992704E-4</v>
      </c>
      <c r="F509" s="41">
        <v>-7.6987352983322044E-3</v>
      </c>
      <c r="G509" s="41">
        <v>-5.2421367644650552E-4</v>
      </c>
      <c r="H509" s="14">
        <v>-2.9199110122358762E-3</v>
      </c>
      <c r="I509" s="14">
        <v>-2.7351466342501185E-3</v>
      </c>
      <c r="J509" s="14">
        <v>-1.1296542254147779E-3</v>
      </c>
      <c r="K509" s="14">
        <v>-1.1746198169448438E-3</v>
      </c>
    </row>
    <row r="510" spans="2:11" x14ac:dyDescent="0.25">
      <c r="B510" s="29">
        <v>502</v>
      </c>
      <c r="C510" s="30">
        <v>0.36482558139534882</v>
      </c>
      <c r="D510" s="41">
        <v>3.0694571643290801E-3</v>
      </c>
      <c r="E510" s="41">
        <v>5.6714586255259825E-3</v>
      </c>
      <c r="F510" s="41">
        <v>2.0248471500501353E-3</v>
      </c>
      <c r="G510" s="41">
        <v>4.1090515556692969E-3</v>
      </c>
      <c r="H510" s="14">
        <v>-2.9194848945929275E-3</v>
      </c>
      <c r="I510" s="14">
        <v>-2.7265449162399147E-3</v>
      </c>
      <c r="J510" s="14">
        <v>-1.1278725504015874E-3</v>
      </c>
      <c r="K510" s="14">
        <v>-1.1704149085167259E-3</v>
      </c>
    </row>
    <row r="511" spans="2:11" x14ac:dyDescent="0.25">
      <c r="B511" s="29">
        <v>503</v>
      </c>
      <c r="C511" s="30">
        <v>0.36555232558139533</v>
      </c>
      <c r="D511" s="41">
        <v>5.2142625850578814E-4</v>
      </c>
      <c r="E511" s="41">
        <v>-1.4843933860381631E-2</v>
      </c>
      <c r="F511" s="41">
        <v>-3.9271878875621891E-3</v>
      </c>
      <c r="G511" s="41">
        <v>-5.0065864410560488E-3</v>
      </c>
      <c r="H511" s="14">
        <v>-2.9057219011129343E-3</v>
      </c>
      <c r="I511" s="14">
        <v>-2.7207036116668748E-3</v>
      </c>
      <c r="J511" s="14">
        <v>-1.1188811188812542E-3</v>
      </c>
      <c r="K511" s="14">
        <v>-1.1583605859162959E-3</v>
      </c>
    </row>
    <row r="512" spans="2:11" x14ac:dyDescent="0.25">
      <c r="B512" s="29">
        <v>504</v>
      </c>
      <c r="C512" s="30">
        <v>0.36627906976744184</v>
      </c>
      <c r="D512" s="41">
        <v>5.253374462670864E-4</v>
      </c>
      <c r="E512" s="41">
        <v>-4.4503822197055065E-3</v>
      </c>
      <c r="F512" s="41">
        <v>-1.0145601075901567E-3</v>
      </c>
      <c r="G512" s="41">
        <v>8.2046285647763262E-5</v>
      </c>
      <c r="H512" s="14">
        <v>-2.8877187022251505E-3</v>
      </c>
      <c r="I512" s="14">
        <v>-2.6692048252602296E-3</v>
      </c>
      <c r="J512" s="14">
        <v>-1.1182180940713105E-3</v>
      </c>
      <c r="K512" s="14">
        <v>-1.1337490131251736E-3</v>
      </c>
    </row>
    <row r="513" spans="2:11" x14ac:dyDescent="0.25">
      <c r="B513" s="29">
        <v>505</v>
      </c>
      <c r="C513" s="30">
        <v>0.36700581395348836</v>
      </c>
      <c r="D513" s="41">
        <v>3.1721752537316249E-3</v>
      </c>
      <c r="E513" s="41">
        <v>1.5765945912318502E-2</v>
      </c>
      <c r="F513" s="41">
        <v>5.6435927060216606E-4</v>
      </c>
      <c r="G513" s="41">
        <v>4.7189720304233072E-3</v>
      </c>
      <c r="H513" s="14">
        <v>-2.8771458712956166E-3</v>
      </c>
      <c r="I513" s="14">
        <v>-2.6279106967389554E-3</v>
      </c>
      <c r="J513" s="14">
        <v>-1.1180054782268245E-3</v>
      </c>
      <c r="K513" s="14">
        <v>-1.1258724858424609E-3</v>
      </c>
    </row>
    <row r="514" spans="2:11" x14ac:dyDescent="0.25">
      <c r="B514" s="29">
        <v>506</v>
      </c>
      <c r="C514" s="30">
        <v>0.36773255813953487</v>
      </c>
      <c r="D514" s="41">
        <v>-1.507358129910793E-2</v>
      </c>
      <c r="E514" s="41">
        <v>-1.9493416159936938E-2</v>
      </c>
      <c r="F514" s="41">
        <v>2.2535251434161463E-3</v>
      </c>
      <c r="G514" s="41">
        <v>-7.8446742095619193E-3</v>
      </c>
      <c r="H514" s="14">
        <v>-2.8579416607125152E-3</v>
      </c>
      <c r="I514" s="14">
        <v>-2.6246245704545368E-3</v>
      </c>
      <c r="J514" s="14">
        <v>-1.106154101517598E-3</v>
      </c>
      <c r="K514" s="14">
        <v>-1.1221635951308209E-3</v>
      </c>
    </row>
    <row r="515" spans="2:11" x14ac:dyDescent="0.25">
      <c r="B515" s="29">
        <v>507</v>
      </c>
      <c r="C515" s="30">
        <v>0.36845930232558138</v>
      </c>
      <c r="D515" s="41">
        <v>-9.9442272987983714E-3</v>
      </c>
      <c r="E515" s="41">
        <v>-7.3438211070163684E-3</v>
      </c>
      <c r="F515" s="41">
        <v>3.261926946131144E-3</v>
      </c>
      <c r="G515" s="41">
        <v>-5.9895150441165342E-3</v>
      </c>
      <c r="H515" s="14">
        <v>-2.8229728956453704E-3</v>
      </c>
      <c r="I515" s="14">
        <v>-2.6039232443548777E-3</v>
      </c>
      <c r="J515" s="14">
        <v>-1.0771992830918009E-3</v>
      </c>
      <c r="K515" s="14">
        <v>-1.1188056930005797E-3</v>
      </c>
    </row>
    <row r="516" spans="2:11" x14ac:dyDescent="0.25">
      <c r="B516" s="29">
        <v>508</v>
      </c>
      <c r="C516" s="30">
        <v>0.3691860465116279</v>
      </c>
      <c r="D516" s="41">
        <v>1.4113197730843749E-2</v>
      </c>
      <c r="E516" s="41">
        <v>-3.624465139692945E-2</v>
      </c>
      <c r="F516" s="41">
        <v>-6.7416405713149885E-4</v>
      </c>
      <c r="G516" s="41">
        <v>-1.6142681618765975E-2</v>
      </c>
      <c r="H516" s="14">
        <v>-2.7911825534276957E-3</v>
      </c>
      <c r="I516" s="14">
        <v>-2.5825379116565239E-3</v>
      </c>
      <c r="J516" s="14">
        <v>-1.0752780655349792E-3</v>
      </c>
      <c r="K516" s="14">
        <v>-1.1080426766803876E-3</v>
      </c>
    </row>
    <row r="517" spans="2:11" x14ac:dyDescent="0.25">
      <c r="B517" s="29">
        <v>509</v>
      </c>
      <c r="C517" s="30">
        <v>0.36991279069767441</v>
      </c>
      <c r="D517" s="41">
        <v>-4.4127269188531312E-3</v>
      </c>
      <c r="E517" s="41">
        <v>8.6837294332724468E-3</v>
      </c>
      <c r="F517" s="41">
        <v>-6.3362187712362461E-3</v>
      </c>
      <c r="G517" s="41">
        <v>2.0618846818629025E-3</v>
      </c>
      <c r="H517" s="14">
        <v>-2.7891968150017821E-3</v>
      </c>
      <c r="I517" s="14">
        <v>-2.5783895990384442E-3</v>
      </c>
      <c r="J517" s="14">
        <v>-1.0612894667020312E-3</v>
      </c>
      <c r="K517" s="14">
        <v>-1.1067605518087608E-3</v>
      </c>
    </row>
    <row r="518" spans="2:11" x14ac:dyDescent="0.25">
      <c r="B518" s="29">
        <v>510</v>
      </c>
      <c r="C518" s="30">
        <v>0.37063953488372092</v>
      </c>
      <c r="D518" s="41">
        <v>-2.1440920951055612E-3</v>
      </c>
      <c r="E518" s="41">
        <v>7.5825527311059737E-3</v>
      </c>
      <c r="F518" s="41">
        <v>-2.0882607822885202E-3</v>
      </c>
      <c r="G518" s="41">
        <v>3.481756643816203E-3</v>
      </c>
      <c r="H518" s="14">
        <v>-2.7835902555143344E-3</v>
      </c>
      <c r="I518" s="14">
        <v>-2.572351541416884E-3</v>
      </c>
      <c r="J518" s="14">
        <v>-1.0367529073306292E-3</v>
      </c>
      <c r="K518" s="14">
        <v>-1.1010936908216972E-3</v>
      </c>
    </row>
    <row r="519" spans="2:11" x14ac:dyDescent="0.25">
      <c r="B519" s="29">
        <v>511</v>
      </c>
      <c r="C519" s="30">
        <v>0.37136627906976744</v>
      </c>
      <c r="D519" s="41">
        <v>7.7549419570539834E-3</v>
      </c>
      <c r="E519" s="41">
        <v>-1.6519368960110636E-4</v>
      </c>
      <c r="F519" s="41">
        <v>2.5455963694680506E-3</v>
      </c>
      <c r="G519" s="41">
        <v>-3.3032605572949512E-3</v>
      </c>
      <c r="H519" s="14">
        <v>-2.7425638173106393E-3</v>
      </c>
      <c r="I519" s="14">
        <v>-2.5334414268342043E-3</v>
      </c>
      <c r="J519" s="14">
        <v>-1.0358769182703398E-3</v>
      </c>
      <c r="K519" s="14">
        <v>-1.081285039807645E-3</v>
      </c>
    </row>
    <row r="520" spans="2:11" x14ac:dyDescent="0.25">
      <c r="B520" s="29">
        <v>512</v>
      </c>
      <c r="C520" s="30">
        <v>0.37209302325581395</v>
      </c>
      <c r="D520" s="41">
        <v>1.8598888761756024E-2</v>
      </c>
      <c r="E520" s="41">
        <v>-5.7919133507732257E-3</v>
      </c>
      <c r="F520" s="41">
        <v>3.8919986550260965E-3</v>
      </c>
      <c r="G520" s="41">
        <v>-8.8387560841050048E-4</v>
      </c>
      <c r="H520" s="14">
        <v>-2.7405859042296532E-3</v>
      </c>
      <c r="I520" s="14">
        <v>-2.4925702233725699E-3</v>
      </c>
      <c r="J520" s="14">
        <v>-1.0330578512396382E-3</v>
      </c>
      <c r="K520" s="14">
        <v>-1.0588400129033727E-3</v>
      </c>
    </row>
    <row r="521" spans="2:11" x14ac:dyDescent="0.25">
      <c r="B521" s="29">
        <v>513</v>
      </c>
      <c r="C521" s="30">
        <v>0.37281976744186046</v>
      </c>
      <c r="D521" s="41">
        <v>1.9621297456904344E-2</v>
      </c>
      <c r="E521" s="41">
        <v>-1.3073102276714099E-2</v>
      </c>
      <c r="F521" s="41">
        <v>9.5468184681357648E-4</v>
      </c>
      <c r="G521" s="41">
        <v>-7.7248483847024655E-3</v>
      </c>
      <c r="H521" s="14">
        <v>-2.7401318225579452E-3</v>
      </c>
      <c r="I521" s="14">
        <v>-2.4911850375594069E-3</v>
      </c>
      <c r="J521" s="14">
        <v>-1.0145601075901567E-3</v>
      </c>
      <c r="K521" s="14">
        <v>-1.0529676851734229E-3</v>
      </c>
    </row>
    <row r="522" spans="2:11" x14ac:dyDescent="0.25">
      <c r="B522" s="29">
        <v>514</v>
      </c>
      <c r="C522" s="30">
        <v>0.37354651162790697</v>
      </c>
      <c r="D522" s="41">
        <v>6.1646899311479323E-3</v>
      </c>
      <c r="E522" s="41">
        <v>1.425658103986982E-2</v>
      </c>
      <c r="F522" s="41">
        <v>-3.7055892964453774E-3</v>
      </c>
      <c r="G522" s="41">
        <v>6.4966497163477799E-3</v>
      </c>
      <c r="H522" s="14">
        <v>-2.7049873203720542E-3</v>
      </c>
      <c r="I522" s="14">
        <v>-2.4824779983388945E-3</v>
      </c>
      <c r="J522" s="14">
        <v>-1.0133493248469794E-3</v>
      </c>
      <c r="K522" s="14">
        <v>-1.0424419747913527E-3</v>
      </c>
    </row>
    <row r="523" spans="2:11" x14ac:dyDescent="0.25">
      <c r="B523" s="29">
        <v>515</v>
      </c>
      <c r="C523" s="30">
        <v>0.37427325581395349</v>
      </c>
      <c r="D523" s="41">
        <v>-8.8794930076397435E-3</v>
      </c>
      <c r="E523" s="41">
        <v>-8.5868181734334303E-3</v>
      </c>
      <c r="F523" s="41">
        <v>5.467545542495289E-3</v>
      </c>
      <c r="G523" s="41">
        <v>6.1848709156331295E-5</v>
      </c>
      <c r="H523" s="14">
        <v>-2.702336384909243E-3</v>
      </c>
      <c r="I523" s="14">
        <v>-2.4474779134855407E-3</v>
      </c>
      <c r="J523" s="14">
        <v>-1.0023787176541843E-3</v>
      </c>
      <c r="K523" s="14">
        <v>-1.0387122057463837E-3</v>
      </c>
    </row>
    <row r="524" spans="2:11" x14ac:dyDescent="0.25">
      <c r="B524" s="29">
        <v>516</v>
      </c>
      <c r="C524" s="30">
        <v>0.375</v>
      </c>
      <c r="D524" s="41">
        <v>-9.5408992789256988E-3</v>
      </c>
      <c r="E524" s="41">
        <v>-1.131257500627969E-2</v>
      </c>
      <c r="F524" s="41">
        <v>7.0041881095257441E-3</v>
      </c>
      <c r="G524" s="41">
        <v>-6.309135687865508E-3</v>
      </c>
      <c r="H524" s="14">
        <v>-2.6773387055796238E-3</v>
      </c>
      <c r="I524" s="14">
        <v>-2.4448952404019231E-3</v>
      </c>
      <c r="J524" s="14">
        <v>-9.948501872660831E-4</v>
      </c>
      <c r="K524" s="14">
        <v>-1.0214344103122164E-3</v>
      </c>
    </row>
    <row r="525" spans="2:11" x14ac:dyDescent="0.25">
      <c r="B525" s="29">
        <v>517</v>
      </c>
      <c r="C525" s="30">
        <v>0.37572674418604651</v>
      </c>
      <c r="D525" s="41">
        <v>1.3363463699641942E-2</v>
      </c>
      <c r="E525" s="41">
        <v>1.968478005175256E-2</v>
      </c>
      <c r="F525" s="41">
        <v>-1.7255000687106392E-3</v>
      </c>
      <c r="G525" s="41">
        <v>7.9666067405867579E-3</v>
      </c>
      <c r="H525" s="14">
        <v>-2.6766925774334149E-3</v>
      </c>
      <c r="I525" s="14">
        <v>-2.4343514031330837E-3</v>
      </c>
      <c r="J525" s="14">
        <v>-9.8979897936257721E-4</v>
      </c>
      <c r="K525" s="14">
        <v>-1.0075905949708643E-3</v>
      </c>
    </row>
    <row r="526" spans="2:11" x14ac:dyDescent="0.25">
      <c r="B526" s="29">
        <v>518</v>
      </c>
      <c r="C526" s="30">
        <v>0.37645348837209303</v>
      </c>
      <c r="D526" s="41">
        <v>-4.7420081902862466E-3</v>
      </c>
      <c r="E526" s="41">
        <v>1.6176511299565322E-2</v>
      </c>
      <c r="F526" s="41">
        <v>1.9518239726916686E-3</v>
      </c>
      <c r="G526" s="41">
        <v>7.8084580788052357E-3</v>
      </c>
      <c r="H526" s="14">
        <v>-2.6616564897445905E-3</v>
      </c>
      <c r="I526" s="14">
        <v>-2.3859543817527085E-3</v>
      </c>
      <c r="J526" s="14">
        <v>-9.8925169828123494E-4</v>
      </c>
      <c r="K526" s="14">
        <v>-9.9511249135679773E-4</v>
      </c>
    </row>
    <row r="527" spans="2:11" x14ac:dyDescent="0.25">
      <c r="B527" s="29">
        <v>519</v>
      </c>
      <c r="C527" s="30">
        <v>0.37718023255813954</v>
      </c>
      <c r="D527" s="41">
        <v>-9.9277577836405471E-3</v>
      </c>
      <c r="E527" s="41">
        <v>-2.8514347984018862E-3</v>
      </c>
      <c r="F527" s="41">
        <v>1.7247160225437597E-3</v>
      </c>
      <c r="G527" s="41">
        <v>-7.9563071485200265E-4</v>
      </c>
      <c r="H527" s="14">
        <v>-2.6509572901325384E-3</v>
      </c>
      <c r="I527" s="14">
        <v>-2.3820494997697228E-3</v>
      </c>
      <c r="J527" s="14">
        <v>-9.8873935731957907E-4</v>
      </c>
      <c r="K527" s="14">
        <v>-9.951026205488934E-4</v>
      </c>
    </row>
    <row r="528" spans="2:11" x14ac:dyDescent="0.25">
      <c r="B528" s="29">
        <v>520</v>
      </c>
      <c r="C528" s="30">
        <v>0.37790697674418605</v>
      </c>
      <c r="D528" s="41">
        <v>1.5027224199119763E-2</v>
      </c>
      <c r="E528" s="41">
        <v>-5.8831029269803548E-3</v>
      </c>
      <c r="F528" s="41">
        <v>-5.0020809031203761E-4</v>
      </c>
      <c r="G528" s="41">
        <v>-4.8927574643536252E-3</v>
      </c>
      <c r="H528" s="14">
        <v>-2.6274628861657767E-3</v>
      </c>
      <c r="I528" s="14">
        <v>-2.3811725540966444E-3</v>
      </c>
      <c r="J528" s="14">
        <v>-9.8133128635291555E-4</v>
      </c>
      <c r="K528" s="14">
        <v>-9.9248438874588452E-4</v>
      </c>
    </row>
    <row r="529" spans="2:11" x14ac:dyDescent="0.25">
      <c r="B529" s="29">
        <v>521</v>
      </c>
      <c r="C529" s="30">
        <v>0.37863372093023256</v>
      </c>
      <c r="D529" s="41">
        <v>1.1632911410204849E-3</v>
      </c>
      <c r="E529" s="41">
        <v>-9.4906559179185335E-3</v>
      </c>
      <c r="F529" s="41">
        <v>1.5553642321368688E-3</v>
      </c>
      <c r="G529" s="41">
        <v>-9.8816171277655868E-3</v>
      </c>
      <c r="H529" s="14">
        <v>-2.5679615583863447E-3</v>
      </c>
      <c r="I529" s="14">
        <v>-2.3568538619670454E-3</v>
      </c>
      <c r="J529" s="14">
        <v>-9.8126718503810384E-4</v>
      </c>
      <c r="K529" s="14">
        <v>-9.7010930652956511E-4</v>
      </c>
    </row>
    <row r="530" spans="2:11" x14ac:dyDescent="0.25">
      <c r="B530" s="29">
        <v>522</v>
      </c>
      <c r="C530" s="30">
        <v>0.37936046511627908</v>
      </c>
      <c r="D530" s="41">
        <v>1.859970433146502E-2</v>
      </c>
      <c r="E530" s="41">
        <v>6.3815619103992915E-3</v>
      </c>
      <c r="F530" s="41">
        <v>-3.2730186787388593E-3</v>
      </c>
      <c r="G530" s="41">
        <v>1.5201194582695086E-3</v>
      </c>
      <c r="H530" s="14">
        <v>-2.5636560326741664E-3</v>
      </c>
      <c r="I530" s="14">
        <v>-2.3522817982641886E-3</v>
      </c>
      <c r="J530" s="14">
        <v>-9.4260058540462932E-4</v>
      </c>
      <c r="K530" s="14">
        <v>-9.6530542524861937E-4</v>
      </c>
    </row>
    <row r="531" spans="2:11" x14ac:dyDescent="0.25">
      <c r="B531" s="29">
        <v>523</v>
      </c>
      <c r="C531" s="30">
        <v>0.38008720930232559</v>
      </c>
      <c r="D531" s="41">
        <v>1.219859197968591E-2</v>
      </c>
      <c r="E531" s="41">
        <v>4.3284871431983341E-3</v>
      </c>
      <c r="F531" s="41">
        <v>1.6139784723563366E-3</v>
      </c>
      <c r="G531" s="41">
        <v>-1.9556427376454357E-3</v>
      </c>
      <c r="H531" s="14">
        <v>-2.5113092070250254E-3</v>
      </c>
      <c r="I531" s="14">
        <v>-2.3070342944534472E-3</v>
      </c>
      <c r="J531" s="14">
        <v>-9.1989898505662193E-4</v>
      </c>
      <c r="K531" s="14">
        <v>-9.582482716181675E-4</v>
      </c>
    </row>
    <row r="532" spans="2:11" x14ac:dyDescent="0.25">
      <c r="B532" s="29">
        <v>524</v>
      </c>
      <c r="C532" s="30">
        <v>0.3808139534883721</v>
      </c>
      <c r="D532" s="41">
        <v>-5.6901198635079296E-3</v>
      </c>
      <c r="E532" s="41">
        <v>-7.9242347989201267E-3</v>
      </c>
      <c r="F532" s="41">
        <v>4.6130416622198744E-3</v>
      </c>
      <c r="G532" s="41">
        <v>-4.3869674134872309E-3</v>
      </c>
      <c r="H532" s="14">
        <v>-2.507774099708926E-3</v>
      </c>
      <c r="I532" s="14">
        <v>-2.305082969889849E-3</v>
      </c>
      <c r="J532" s="14">
        <v>-8.8801103738700427E-4</v>
      </c>
      <c r="K532" s="14">
        <v>-9.3054827990688435E-4</v>
      </c>
    </row>
    <row r="533" spans="2:11" x14ac:dyDescent="0.25">
      <c r="B533" s="29">
        <v>525</v>
      </c>
      <c r="C533" s="30">
        <v>0.38154069767441862</v>
      </c>
      <c r="D533" s="41">
        <v>4.9959524893393534E-3</v>
      </c>
      <c r="E533" s="41">
        <v>-3.8369658454698974E-2</v>
      </c>
      <c r="F533" s="41">
        <v>0</v>
      </c>
      <c r="G533" s="41">
        <v>-2.556683386220664E-2</v>
      </c>
      <c r="H533" s="14">
        <v>-2.5015287320269142E-3</v>
      </c>
      <c r="I533" s="14">
        <v>-2.3012049716141236E-3</v>
      </c>
      <c r="J533" s="14">
        <v>-8.805884617925086E-4</v>
      </c>
      <c r="K533" s="14">
        <v>-9.2582380459873626E-4</v>
      </c>
    </row>
    <row r="534" spans="2:11" x14ac:dyDescent="0.25">
      <c r="B534" s="29">
        <v>526</v>
      </c>
      <c r="C534" s="30">
        <v>0.38226744186046513</v>
      </c>
      <c r="D534" s="41">
        <v>-8.5972548199153911E-3</v>
      </c>
      <c r="E534" s="41">
        <v>-1.4818864558455158E-2</v>
      </c>
      <c r="F534" s="41">
        <v>-1.7259599441531548E-2</v>
      </c>
      <c r="G534" s="41">
        <v>-1.0089091146835406E-2</v>
      </c>
      <c r="H534" s="14">
        <v>-2.4589204168455892E-3</v>
      </c>
      <c r="I534" s="14">
        <v>-2.2880875241547693E-3</v>
      </c>
      <c r="J534" s="14">
        <v>-8.5193919968196141E-4</v>
      </c>
      <c r="K534" s="14">
        <v>-9.1932902147631192E-4</v>
      </c>
    </row>
    <row r="535" spans="2:11" x14ac:dyDescent="0.25">
      <c r="B535" s="29">
        <v>527</v>
      </c>
      <c r="C535" s="30">
        <v>0.38299418604651164</v>
      </c>
      <c r="D535" s="41">
        <v>-5.7954456283263629E-3</v>
      </c>
      <c r="E535" s="41">
        <v>-6.8014097396654871E-2</v>
      </c>
      <c r="F535" s="41">
        <v>-7.2620757996569862E-3</v>
      </c>
      <c r="G535" s="41">
        <v>-3.529313377487886E-2</v>
      </c>
      <c r="H535" s="14">
        <v>-2.3883539313064306E-3</v>
      </c>
      <c r="I535" s="14">
        <v>-2.2634035931531349E-3</v>
      </c>
      <c r="J535" s="14">
        <v>-8.4592826528306908E-4</v>
      </c>
      <c r="K535" s="14">
        <v>-8.9191590952009125E-4</v>
      </c>
    </row>
    <row r="536" spans="2:11" x14ac:dyDescent="0.25">
      <c r="B536" s="29">
        <v>528</v>
      </c>
      <c r="C536" s="30">
        <v>0.38372093023255816</v>
      </c>
      <c r="D536" s="41">
        <v>-5.6010603018143926E-3</v>
      </c>
      <c r="E536" s="41">
        <v>3.863028580979444E-2</v>
      </c>
      <c r="F536" s="41">
        <v>-8.0519873618039028E-3</v>
      </c>
      <c r="G536" s="41">
        <v>2.8379849791782166E-2</v>
      </c>
      <c r="H536" s="14">
        <v>-2.3477295869581694E-3</v>
      </c>
      <c r="I536" s="14">
        <v>-2.2530072579577398E-3</v>
      </c>
      <c r="J536" s="14">
        <v>-8.3800838761505236E-4</v>
      </c>
      <c r="K536" s="14">
        <v>-8.9184140252855952E-4</v>
      </c>
    </row>
    <row r="537" spans="2:11" x14ac:dyDescent="0.25">
      <c r="B537" s="29">
        <v>529</v>
      </c>
      <c r="C537" s="30">
        <v>0.38444767441860467</v>
      </c>
      <c r="D537" s="41">
        <v>1.830712657543198E-2</v>
      </c>
      <c r="E537" s="41">
        <v>-3.8118801923038292E-3</v>
      </c>
      <c r="F537" s="41">
        <v>8.5786508736362954E-4</v>
      </c>
      <c r="G537" s="41">
        <v>1.126965586604367E-3</v>
      </c>
      <c r="H537" s="14">
        <v>-2.3390278954286137E-3</v>
      </c>
      <c r="I537" s="14">
        <v>-2.2329892563724973E-3</v>
      </c>
      <c r="J537" s="14">
        <v>-8.2409020952511902E-4</v>
      </c>
      <c r="K537" s="14">
        <v>-8.910064193329958E-4</v>
      </c>
    </row>
    <row r="538" spans="2:11" x14ac:dyDescent="0.25">
      <c r="B538" s="29">
        <v>530</v>
      </c>
      <c r="C538" s="30">
        <v>0.38517441860465118</v>
      </c>
      <c r="D538" s="41">
        <v>-6.3640086194586467E-3</v>
      </c>
      <c r="E538" s="41">
        <v>-8.2889941139056011E-3</v>
      </c>
      <c r="F538" s="41">
        <v>-1.5079946497645769E-2</v>
      </c>
      <c r="G538" s="41">
        <v>-1.0336982470156754E-2</v>
      </c>
      <c r="H538" s="14">
        <v>-2.3361215262245327E-3</v>
      </c>
      <c r="I538" s="14">
        <v>-2.2282600882679304E-3</v>
      </c>
      <c r="J538" s="14">
        <v>-8.1219524731501735E-4</v>
      </c>
      <c r="K538" s="14">
        <v>-8.8387560841050048E-4</v>
      </c>
    </row>
    <row r="539" spans="2:11" x14ac:dyDescent="0.25">
      <c r="B539" s="29">
        <v>531</v>
      </c>
      <c r="C539" s="30">
        <v>0.38590116279069769</v>
      </c>
      <c r="D539" s="41">
        <v>1.3317445128259748E-3</v>
      </c>
      <c r="E539" s="41">
        <v>-8.5211654755360522E-3</v>
      </c>
      <c r="F539" s="41">
        <v>5.9150136578971502E-3</v>
      </c>
      <c r="G539" s="41">
        <v>-3.859379758301707E-3</v>
      </c>
      <c r="H539" s="14">
        <v>-2.3309160870208512E-3</v>
      </c>
      <c r="I539" s="14">
        <v>-2.2178646291163284E-3</v>
      </c>
      <c r="J539" s="14">
        <v>-7.8131975976414303E-4</v>
      </c>
      <c r="K539" s="14">
        <v>-8.7612694190153384E-4</v>
      </c>
    </row>
    <row r="540" spans="2:11" x14ac:dyDescent="0.25">
      <c r="B540" s="29">
        <v>532</v>
      </c>
      <c r="C540" s="30">
        <v>0.38662790697674421</v>
      </c>
      <c r="D540" s="41">
        <v>1.6536988445902466E-3</v>
      </c>
      <c r="E540" s="41">
        <v>0</v>
      </c>
      <c r="F540" s="41">
        <v>-5.5338027590438044E-3</v>
      </c>
      <c r="G540" s="41">
        <v>-1.1067605518087608E-3</v>
      </c>
      <c r="H540" s="14">
        <v>-2.3297511788100689E-3</v>
      </c>
      <c r="I540" s="14">
        <v>-2.1916829689998529E-3</v>
      </c>
      <c r="J540" s="14">
        <v>-7.7840441081067357E-4</v>
      </c>
      <c r="K540" s="14">
        <v>-8.6366465632234943E-4</v>
      </c>
    </row>
    <row r="541" spans="2:11" x14ac:dyDescent="0.25">
      <c r="B541" s="29">
        <v>533</v>
      </c>
      <c r="C541" s="30">
        <v>0.38735465116279072</v>
      </c>
      <c r="D541" s="41">
        <v>-7.5831844779825222E-3</v>
      </c>
      <c r="E541" s="41">
        <v>5.0898972163180733E-2</v>
      </c>
      <c r="F541" s="41">
        <v>2.3757885503667975E-3</v>
      </c>
      <c r="G541" s="41">
        <v>2.3725385639933316E-2</v>
      </c>
      <c r="H541" s="14">
        <v>-2.2964140611199113E-3</v>
      </c>
      <c r="I541" s="14">
        <v>-2.1840353085709197E-3</v>
      </c>
      <c r="J541" s="14">
        <v>-7.7604579415591068E-4</v>
      </c>
      <c r="K541" s="14">
        <v>-8.598494834059613E-4</v>
      </c>
    </row>
    <row r="542" spans="2:11" x14ac:dyDescent="0.25">
      <c r="B542" s="29">
        <v>534</v>
      </c>
      <c r="C542" s="30">
        <v>0.38808139534883723</v>
      </c>
      <c r="D542" s="41">
        <v>1.0860109008661266E-2</v>
      </c>
      <c r="E542" s="41">
        <v>-1.6864362065933225E-2</v>
      </c>
      <c r="F542" s="41">
        <v>-2.8328849380057086E-3</v>
      </c>
      <c r="G542" s="41">
        <v>-1.4448254057059896E-2</v>
      </c>
      <c r="H542" s="14">
        <v>-2.2719384183078617E-3</v>
      </c>
      <c r="I542" s="14">
        <v>-2.1590406575968668E-3</v>
      </c>
      <c r="J542" s="14">
        <v>-7.7140912391138183E-4</v>
      </c>
      <c r="K542" s="14">
        <v>-8.5384275130464507E-4</v>
      </c>
    </row>
    <row r="543" spans="2:11" x14ac:dyDescent="0.25">
      <c r="B543" s="29">
        <v>535</v>
      </c>
      <c r="C543" s="30">
        <v>0.38880813953488375</v>
      </c>
      <c r="D543" s="41">
        <v>-7.3001485928742681E-3</v>
      </c>
      <c r="E543" s="41">
        <v>-2.5849731663685094E-2</v>
      </c>
      <c r="F543" s="41">
        <v>-1.8676273697812995E-2</v>
      </c>
      <c r="G543" s="41">
        <v>-2.8606244196511678E-2</v>
      </c>
      <c r="H543" s="14">
        <v>-2.2379086702978279E-3</v>
      </c>
      <c r="I543" s="14">
        <v>-2.1524584883005904E-3</v>
      </c>
      <c r="J543" s="14">
        <v>-7.4957046031864927E-4</v>
      </c>
      <c r="K543" s="14">
        <v>-8.43123198366369E-4</v>
      </c>
    </row>
    <row r="544" spans="2:11" x14ac:dyDescent="0.25">
      <c r="B544" s="29">
        <v>536</v>
      </c>
      <c r="C544" s="30">
        <v>0.38953488372093026</v>
      </c>
      <c r="D544" s="41">
        <v>-1.1601376080594134E-2</v>
      </c>
      <c r="E544" s="41">
        <v>2.9453473306195521E-2</v>
      </c>
      <c r="F544" s="41">
        <v>-2.48098747416714E-3</v>
      </c>
      <c r="G544" s="41">
        <v>1.7759274632006238E-2</v>
      </c>
      <c r="H544" s="14">
        <v>-2.2311023029232269E-3</v>
      </c>
      <c r="I544" s="14">
        <v>-2.1311559595337259E-3</v>
      </c>
      <c r="J544" s="14">
        <v>-7.4387458590485789E-4</v>
      </c>
      <c r="K544" s="14">
        <v>-8.178649215394131E-4</v>
      </c>
    </row>
    <row r="545" spans="2:11" x14ac:dyDescent="0.25">
      <c r="B545" s="29">
        <v>537</v>
      </c>
      <c r="C545" s="30">
        <v>0.39026162790697677</v>
      </c>
      <c r="D545" s="41">
        <v>-8.8716918915798266E-3</v>
      </c>
      <c r="E545" s="41">
        <v>2.0474501020752101E-2</v>
      </c>
      <c r="F545" s="41">
        <v>9.0638577928359165E-3</v>
      </c>
      <c r="G545" s="41">
        <v>1.1696112961923744E-2</v>
      </c>
      <c r="H545" s="14">
        <v>-2.1819431320332372E-3</v>
      </c>
      <c r="I545" s="14">
        <v>-2.1268450380704795E-3</v>
      </c>
      <c r="J545" s="14">
        <v>-7.246444512876149E-4</v>
      </c>
      <c r="K545" s="14">
        <v>-7.9563071485200265E-4</v>
      </c>
    </row>
    <row r="546" spans="2:11" x14ac:dyDescent="0.25">
      <c r="B546" s="29">
        <v>538</v>
      </c>
      <c r="C546" s="30">
        <v>0.39098837209302323</v>
      </c>
      <c r="D546" s="41">
        <v>-1.0050995815082373E-2</v>
      </c>
      <c r="E546" s="41">
        <v>7.7302567688304347E-3</v>
      </c>
      <c r="F546" s="41">
        <v>-9.4522624421771173E-3</v>
      </c>
      <c r="G546" s="41">
        <v>3.2895862302382731E-3</v>
      </c>
      <c r="H546" s="14">
        <v>-2.1813757009904178E-3</v>
      </c>
      <c r="I546" s="14">
        <v>-2.1109680510226214E-3</v>
      </c>
      <c r="J546" s="14">
        <v>-7.2062084257218384E-4</v>
      </c>
      <c r="K546" s="14">
        <v>-7.8948437700105973E-4</v>
      </c>
    </row>
    <row r="547" spans="2:11" x14ac:dyDescent="0.25">
      <c r="B547" s="29">
        <v>539</v>
      </c>
      <c r="C547" s="30">
        <v>0.39171511627906974</v>
      </c>
      <c r="D547" s="41">
        <v>-7.5721500136979062E-3</v>
      </c>
      <c r="E547" s="41">
        <v>7.5167681751600046E-3</v>
      </c>
      <c r="F547" s="41">
        <v>2.8456560475125237E-3</v>
      </c>
      <c r="G547" s="41">
        <v>1.3389798360226471E-3</v>
      </c>
      <c r="H547" s="14">
        <v>-2.1742766348887832E-3</v>
      </c>
      <c r="I547" s="14">
        <v>-2.0689218383849184E-3</v>
      </c>
      <c r="J547" s="14">
        <v>-6.7416405713149885E-4</v>
      </c>
      <c r="K547" s="14">
        <v>-7.8264978011310937E-4</v>
      </c>
    </row>
    <row r="548" spans="2:11" x14ac:dyDescent="0.25">
      <c r="B548" s="29">
        <v>540</v>
      </c>
      <c r="C548" s="30">
        <v>0.39244186046511625</v>
      </c>
      <c r="D548" s="41">
        <v>-1.6797742270249591E-2</v>
      </c>
      <c r="E548" s="41">
        <v>-2.5452423767073462E-2</v>
      </c>
      <c r="F548" s="41">
        <v>-6.3844684929826867E-3</v>
      </c>
      <c r="G548" s="41">
        <v>-1.7161827687755048E-2</v>
      </c>
      <c r="H548" s="14">
        <v>-2.1631380831531599E-3</v>
      </c>
      <c r="I548" s="14">
        <v>-2.0632447682008559E-3</v>
      </c>
      <c r="J548" s="14">
        <v>-6.7239805965124688E-4</v>
      </c>
      <c r="K548" s="14">
        <v>-7.7555309689500982E-4</v>
      </c>
    </row>
    <row r="549" spans="2:11" x14ac:dyDescent="0.25">
      <c r="B549" s="29">
        <v>541</v>
      </c>
      <c r="C549" s="30">
        <v>0.39316860465116277</v>
      </c>
      <c r="D549" s="41">
        <v>-8.6249058104405918E-3</v>
      </c>
      <c r="E549" s="41">
        <v>1.1974049682492716E-3</v>
      </c>
      <c r="F549" s="41">
        <v>6.2466894133639261E-3</v>
      </c>
      <c r="G549" s="41">
        <v>-4.71016763795995E-3</v>
      </c>
      <c r="H549" s="14">
        <v>-2.1533376733937626E-3</v>
      </c>
      <c r="I549" s="14">
        <v>-2.0513384787084199E-3</v>
      </c>
      <c r="J549" s="14">
        <v>-6.720806496779419E-4</v>
      </c>
      <c r="K549" s="14">
        <v>-7.5904191622808701E-4</v>
      </c>
    </row>
    <row r="550" spans="2:11" x14ac:dyDescent="0.25">
      <c r="B550" s="29">
        <v>542</v>
      </c>
      <c r="C550" s="30">
        <v>0.39389534883720928</v>
      </c>
      <c r="D550" s="41">
        <v>-4.0636299646379208E-3</v>
      </c>
      <c r="E550" s="41">
        <v>3.7251615053572884E-3</v>
      </c>
      <c r="F550" s="41">
        <v>-5.26147142527289E-3</v>
      </c>
      <c r="G550" s="41">
        <v>-1.420573495514387E-4</v>
      </c>
      <c r="H550" s="14">
        <v>-2.1186440677964935E-3</v>
      </c>
      <c r="I550" s="14">
        <v>-2.034730748991298E-3</v>
      </c>
      <c r="J550" s="14">
        <v>-6.621784025654387E-4</v>
      </c>
      <c r="K550" s="14">
        <v>-7.5577001337132641E-4</v>
      </c>
    </row>
    <row r="551" spans="2:11" x14ac:dyDescent="0.25">
      <c r="B551" s="29">
        <v>543</v>
      </c>
      <c r="C551" s="30">
        <v>0.39462209302325579</v>
      </c>
      <c r="D551" s="41">
        <v>1.2883781756330813E-2</v>
      </c>
      <c r="E551" s="41">
        <v>5.606070964654597E-3</v>
      </c>
      <c r="F551" s="41">
        <v>1.3664398612396322E-3</v>
      </c>
      <c r="G551" s="41">
        <v>5.9167855553705195E-3</v>
      </c>
      <c r="H551" s="14">
        <v>-2.0955110380090902E-3</v>
      </c>
      <c r="I551" s="14">
        <v>-1.9599563391839991E-3</v>
      </c>
      <c r="J551" s="14">
        <v>-6.5306726371838764E-4</v>
      </c>
      <c r="K551" s="14">
        <v>-7.4263606357911666E-4</v>
      </c>
    </row>
    <row r="552" spans="2:11" x14ac:dyDescent="0.25">
      <c r="B552" s="29">
        <v>544</v>
      </c>
      <c r="C552" s="30">
        <v>0.39534883720930231</v>
      </c>
      <c r="D552" s="41">
        <v>-1.0469997192543943E-2</v>
      </c>
      <c r="E552" s="41">
        <v>3.5410778629216155E-2</v>
      </c>
      <c r="F552" s="41">
        <v>1.424030359122197E-3</v>
      </c>
      <c r="G552" s="41">
        <v>1.1323466077440215E-2</v>
      </c>
      <c r="H552" s="14">
        <v>-2.0947470190139095E-3</v>
      </c>
      <c r="I552" s="14">
        <v>-1.9551602264549217E-3</v>
      </c>
      <c r="J552" s="14">
        <v>-6.4394852034732608E-4</v>
      </c>
      <c r="K552" s="14">
        <v>-7.4178561645250603E-4</v>
      </c>
    </row>
    <row r="553" spans="2:11" x14ac:dyDescent="0.25">
      <c r="B553" s="29">
        <v>545</v>
      </c>
      <c r="C553" s="30">
        <v>0.39607558139534882</v>
      </c>
      <c r="D553" s="41">
        <v>-1.9406714233363851E-2</v>
      </c>
      <c r="E553" s="41">
        <v>-2.192122616289427E-2</v>
      </c>
      <c r="F553" s="41">
        <v>-5.0380514411095811E-3</v>
      </c>
      <c r="G553" s="41">
        <v>-1.3921154919278478E-2</v>
      </c>
      <c r="H553" s="14">
        <v>-2.0836593667885595E-3</v>
      </c>
      <c r="I553" s="14">
        <v>-1.950761081604524E-3</v>
      </c>
      <c r="J553" s="14">
        <v>-6.4305235517925219E-4</v>
      </c>
      <c r="K553" s="14">
        <v>-7.4016606851117221E-4</v>
      </c>
    </row>
    <row r="554" spans="2:11" x14ac:dyDescent="0.25">
      <c r="B554" s="29">
        <v>546</v>
      </c>
      <c r="C554" s="30">
        <v>0.39680232558139533</v>
      </c>
      <c r="D554" s="41">
        <v>9.4799552817194134E-3</v>
      </c>
      <c r="E554" s="41">
        <v>1.9468313641246571E-3</v>
      </c>
      <c r="F554" s="41">
        <v>-4.5854751794969228E-3</v>
      </c>
      <c r="G554" s="41">
        <v>-2.7352325870576791E-3</v>
      </c>
      <c r="H554" s="14">
        <v>-2.0791619745029744E-3</v>
      </c>
      <c r="I554" s="14">
        <v>-1.9278170226244562E-3</v>
      </c>
      <c r="J554" s="14">
        <v>-6.4030734752695828E-4</v>
      </c>
      <c r="K554" s="14">
        <v>-7.3252852908498609E-4</v>
      </c>
    </row>
    <row r="555" spans="2:11" x14ac:dyDescent="0.25">
      <c r="B555" s="29">
        <v>547</v>
      </c>
      <c r="C555" s="30">
        <v>0.39752906976744184</v>
      </c>
      <c r="D555" s="41">
        <v>-1.0225714630934175E-2</v>
      </c>
      <c r="E555" s="41">
        <v>3.7712371380713705E-3</v>
      </c>
      <c r="F555" s="41">
        <v>5.6837454746152538E-3</v>
      </c>
      <c r="G555" s="41">
        <v>3.9943393162270805E-3</v>
      </c>
      <c r="H555" s="14">
        <v>-2.079018238298258E-3</v>
      </c>
      <c r="I555" s="14">
        <v>-1.9178187699773197E-3</v>
      </c>
      <c r="J555" s="14">
        <v>-6.3879887627926735E-4</v>
      </c>
      <c r="K555" s="14">
        <v>-7.1345571217214005E-4</v>
      </c>
    </row>
    <row r="556" spans="2:11" x14ac:dyDescent="0.25">
      <c r="B556" s="29">
        <v>548</v>
      </c>
      <c r="C556" s="30">
        <v>0.39825581395348836</v>
      </c>
      <c r="D556" s="41">
        <v>4.1383209532853474E-3</v>
      </c>
      <c r="E556" s="41">
        <v>3.1467831294285098E-4</v>
      </c>
      <c r="F556" s="41">
        <v>-1.5470076480079697E-3</v>
      </c>
      <c r="G556" s="41">
        <v>-2.4524735659032346E-3</v>
      </c>
      <c r="H556" s="14">
        <v>-2.0736237043783579E-3</v>
      </c>
      <c r="I556" s="14">
        <v>-1.9149574325727503E-3</v>
      </c>
      <c r="J556" s="14">
        <v>-6.2754941951659315E-4</v>
      </c>
      <c r="K556" s="14">
        <v>-6.9478911405469485E-4</v>
      </c>
    </row>
    <row r="557" spans="2:11" x14ac:dyDescent="0.25">
      <c r="B557" s="29">
        <v>549</v>
      </c>
      <c r="C557" s="30">
        <v>0.39898255813953487</v>
      </c>
      <c r="D557" s="41">
        <v>-5.0260053782235463E-3</v>
      </c>
      <c r="E557" s="41">
        <v>-3.0514194200301215E-2</v>
      </c>
      <c r="F557" s="41">
        <v>-3.932900356989677E-3</v>
      </c>
      <c r="G557" s="41">
        <v>-2.6007242907270103E-2</v>
      </c>
      <c r="H557" s="14">
        <v>-2.0621827411165805E-3</v>
      </c>
      <c r="I557" s="14">
        <v>-1.8858056294244196E-3</v>
      </c>
      <c r="J557" s="14">
        <v>-6.2683212439573754E-4</v>
      </c>
      <c r="K557" s="14">
        <v>-6.8759786203123033E-4</v>
      </c>
    </row>
    <row r="558" spans="2:11" x14ac:dyDescent="0.25">
      <c r="B558" s="29">
        <v>550</v>
      </c>
      <c r="C558" s="30">
        <v>0.39970930232558138</v>
      </c>
      <c r="D558" s="41">
        <v>7.7681366563224713E-3</v>
      </c>
      <c r="E558" s="41">
        <v>-3.0107865212731455E-2</v>
      </c>
      <c r="F558" s="41">
        <v>-1.268345769870971E-2</v>
      </c>
      <c r="G558" s="41">
        <v>-2.375214766520466E-2</v>
      </c>
      <c r="H558" s="14">
        <v>-1.9777363394924974E-3</v>
      </c>
      <c r="I558" s="14">
        <v>-1.8632026189314699E-3</v>
      </c>
      <c r="J558" s="14">
        <v>-6.164882587010867E-4</v>
      </c>
      <c r="K558" s="14">
        <v>-6.7110276972075504E-4</v>
      </c>
    </row>
    <row r="559" spans="2:11" x14ac:dyDescent="0.25">
      <c r="B559" s="29">
        <v>551</v>
      </c>
      <c r="C559" s="30">
        <v>0.4004360465116279</v>
      </c>
      <c r="D559" s="41">
        <v>2.6371778957568901E-2</v>
      </c>
      <c r="E559" s="41">
        <v>1.643366214174935E-2</v>
      </c>
      <c r="F559" s="41">
        <v>-8.2418550435268134E-3</v>
      </c>
      <c r="G559" s="41">
        <v>2.8687895460074659E-3</v>
      </c>
      <c r="H559" s="14">
        <v>-1.9540791402051783E-3</v>
      </c>
      <c r="I559" s="14">
        <v>-1.847721685903525E-3</v>
      </c>
      <c r="J559" s="14">
        <v>-5.7683987886358867E-4</v>
      </c>
      <c r="K559" s="14">
        <v>-6.6297026923300972E-4</v>
      </c>
    </row>
    <row r="560" spans="2:11" x14ac:dyDescent="0.25">
      <c r="B560" s="29">
        <v>552</v>
      </c>
      <c r="C560" s="30">
        <v>0.40116279069767441</v>
      </c>
      <c r="D560" s="41">
        <v>-4.4645636937617429E-3</v>
      </c>
      <c r="E560" s="41">
        <v>-1.4003590664272925E-2</v>
      </c>
      <c r="F560" s="41">
        <v>-1.1296542254147779E-3</v>
      </c>
      <c r="G560" s="41">
        <v>-1.6791214475007421E-2</v>
      </c>
      <c r="H560" s="14">
        <v>-1.9410406522384349E-3</v>
      </c>
      <c r="I560" s="14">
        <v>-1.8282403779945611E-3</v>
      </c>
      <c r="J560" s="14">
        <v>-5.6791271677081312E-4</v>
      </c>
      <c r="K560" s="14">
        <v>-6.4431109435403322E-4</v>
      </c>
    </row>
    <row r="561" spans="2:11" x14ac:dyDescent="0.25">
      <c r="B561" s="29">
        <v>553</v>
      </c>
      <c r="C561" s="30">
        <v>0.40188953488372092</v>
      </c>
      <c r="D561" s="41">
        <v>2.4866561501665097E-3</v>
      </c>
      <c r="E561" s="41">
        <v>-4.0159423808366901E-3</v>
      </c>
      <c r="F561" s="41">
        <v>2.5074352260905375E-3</v>
      </c>
      <c r="G561" s="41">
        <v>5.3631324224233442E-3</v>
      </c>
      <c r="H561" s="14">
        <v>-1.9343065659065406E-3</v>
      </c>
      <c r="I561" s="14">
        <v>-1.8274292275473059E-3</v>
      </c>
      <c r="J561" s="14">
        <v>-5.50478916657271E-4</v>
      </c>
      <c r="K561" s="14">
        <v>-6.4425131805405638E-4</v>
      </c>
    </row>
    <row r="562" spans="2:11" x14ac:dyDescent="0.25">
      <c r="B562" s="29">
        <v>554</v>
      </c>
      <c r="C562" s="30">
        <v>0.40261627906976744</v>
      </c>
      <c r="D562" s="41">
        <v>2.3095873853385346E-3</v>
      </c>
      <c r="E562" s="41">
        <v>-1.4127707979971427E-2</v>
      </c>
      <c r="F562" s="41">
        <v>-1.552894239632252E-2</v>
      </c>
      <c r="G562" s="41">
        <v>-1.1188056930005797E-3</v>
      </c>
      <c r="H562" s="14">
        <v>-1.9342359767891004E-3</v>
      </c>
      <c r="I562" s="14">
        <v>-1.772308756358032E-3</v>
      </c>
      <c r="J562" s="14">
        <v>-5.4970101392248782E-4</v>
      </c>
      <c r="K562" s="14">
        <v>-6.3960193437260235E-4</v>
      </c>
    </row>
    <row r="563" spans="2:11" x14ac:dyDescent="0.25">
      <c r="B563" s="29">
        <v>555</v>
      </c>
      <c r="C563" s="30">
        <v>0.40334302325581395</v>
      </c>
      <c r="D563" s="41">
        <v>-7.252910846938557E-3</v>
      </c>
      <c r="E563" s="41">
        <v>-1.1579511270449427E-2</v>
      </c>
      <c r="F563" s="41">
        <v>-3.1299118853060914E-3</v>
      </c>
      <c r="G563" s="41">
        <v>2.7725639140499859E-3</v>
      </c>
      <c r="H563" s="14">
        <v>-1.9312188962342658E-3</v>
      </c>
      <c r="I563" s="14">
        <v>-1.7673679606537984E-3</v>
      </c>
      <c r="J563" s="14">
        <v>-5.3285440447536914E-4</v>
      </c>
      <c r="K563" s="14">
        <v>-6.2815081067260138E-4</v>
      </c>
    </row>
    <row r="564" spans="2:11" x14ac:dyDescent="0.25">
      <c r="B564" s="29">
        <v>556</v>
      </c>
      <c r="C564" s="30">
        <v>0.40406976744186046</v>
      </c>
      <c r="D564" s="41">
        <v>1.0185251804391709E-2</v>
      </c>
      <c r="E564" s="41">
        <v>2.6004752772450512E-2</v>
      </c>
      <c r="F564" s="41">
        <v>1.6258403940667021E-2</v>
      </c>
      <c r="G564" s="41">
        <v>3.3771668177762719E-2</v>
      </c>
      <c r="H564" s="14">
        <v>-1.9244014192699721E-3</v>
      </c>
      <c r="I564" s="14">
        <v>-1.7548045470987539E-3</v>
      </c>
      <c r="J564" s="14">
        <v>-5.3147513877405128E-4</v>
      </c>
      <c r="K564" s="14">
        <v>-6.2524472767266914E-4</v>
      </c>
    </row>
    <row r="565" spans="2:11" x14ac:dyDescent="0.25">
      <c r="B565" s="29">
        <v>557</v>
      </c>
      <c r="C565" s="30">
        <v>0.40479651162790697</v>
      </c>
      <c r="D565" s="41">
        <v>3.5926080090278679E-2</v>
      </c>
      <c r="E565" s="41">
        <v>1.3531222381373276E-2</v>
      </c>
      <c r="F565" s="41">
        <v>1.0247654037482734E-2</v>
      </c>
      <c r="G565" s="41">
        <v>7.4620197600458573E-3</v>
      </c>
      <c r="H565" s="14">
        <v>-1.9209250279745849E-3</v>
      </c>
      <c r="I565" s="14">
        <v>-1.7523600332705058E-3</v>
      </c>
      <c r="J565" s="14">
        <v>-5.0866526730741768E-4</v>
      </c>
      <c r="K565" s="14">
        <v>-6.2193452929739648E-4</v>
      </c>
    </row>
    <row r="566" spans="2:11" x14ac:dyDescent="0.25">
      <c r="B566" s="29">
        <v>558</v>
      </c>
      <c r="C566" s="30">
        <v>0.40552325581395349</v>
      </c>
      <c r="D566" s="41">
        <v>-3.1943858558795535E-3</v>
      </c>
      <c r="E566" s="41">
        <v>-2.91667919535743E-3</v>
      </c>
      <c r="F566" s="41">
        <v>-1.1960505659998288E-2</v>
      </c>
      <c r="G566" s="41">
        <v>-1.0471134547506812E-2</v>
      </c>
      <c r="H566" s="14">
        <v>-1.9196638777210229E-3</v>
      </c>
      <c r="I566" s="14">
        <v>-1.7253341123202315E-3</v>
      </c>
      <c r="J566" s="14">
        <v>-5.0020809031203761E-4</v>
      </c>
      <c r="K566" s="14">
        <v>-6.0115201040344957E-4</v>
      </c>
    </row>
    <row r="567" spans="2:11" x14ac:dyDescent="0.25">
      <c r="B567" s="29">
        <v>559</v>
      </c>
      <c r="C567" s="30">
        <v>0.40625</v>
      </c>
      <c r="D567" s="41">
        <v>-2.8032312517754059E-3</v>
      </c>
      <c r="E567" s="41">
        <v>1.0786087655810128E-2</v>
      </c>
      <c r="F567" s="41">
        <v>4.7504912660558674E-3</v>
      </c>
      <c r="G567" s="41">
        <v>-7.4472993257661104E-3</v>
      </c>
      <c r="H567" s="14">
        <v>-1.903175924824474E-3</v>
      </c>
      <c r="I567" s="14">
        <v>-1.7165103521501468E-3</v>
      </c>
      <c r="J567" s="14">
        <v>-4.9042227694595653E-4</v>
      </c>
      <c r="K567" s="14">
        <v>-5.8715406551579363E-4</v>
      </c>
    </row>
    <row r="568" spans="2:11" x14ac:dyDescent="0.25">
      <c r="B568" s="29">
        <v>560</v>
      </c>
      <c r="C568" s="30">
        <v>0.40697674418604651</v>
      </c>
      <c r="D568" s="41">
        <v>1.0908533044082978E-2</v>
      </c>
      <c r="E568" s="41">
        <v>4.172923731763345E-2</v>
      </c>
      <c r="F568" s="41">
        <v>-1.5189430744336541E-2</v>
      </c>
      <c r="G568" s="41">
        <v>1.3653808778186075E-2</v>
      </c>
      <c r="H568" s="14">
        <v>-1.8788849087246762E-3</v>
      </c>
      <c r="I568" s="14">
        <v>-1.698832546470963E-3</v>
      </c>
      <c r="J568" s="14">
        <v>-4.8488379708511165E-4</v>
      </c>
      <c r="K568" s="14">
        <v>-5.8063250269317905E-4</v>
      </c>
    </row>
    <row r="569" spans="2:11" x14ac:dyDescent="0.25">
      <c r="B569" s="29">
        <v>561</v>
      </c>
      <c r="C569" s="30">
        <v>0.40770348837209303</v>
      </c>
      <c r="D569" s="41">
        <v>5.5471867292405308E-3</v>
      </c>
      <c r="E569" s="41">
        <v>8.5251410514659565E-3</v>
      </c>
      <c r="F569" s="41">
        <v>2.2604210625432053E-3</v>
      </c>
      <c r="G569" s="41">
        <v>-6.8162149832127657E-3</v>
      </c>
      <c r="H569" s="14">
        <v>-1.8627590122056725E-3</v>
      </c>
      <c r="I569" s="14">
        <v>-1.6568783789038255E-3</v>
      </c>
      <c r="J569" s="14">
        <v>-4.7169811320735278E-4</v>
      </c>
      <c r="K569" s="14">
        <v>-5.7561883665338E-4</v>
      </c>
    </row>
    <row r="570" spans="2:11" x14ac:dyDescent="0.25">
      <c r="B570" s="29">
        <v>562</v>
      </c>
      <c r="C570" s="30">
        <v>0.40843023255813954</v>
      </c>
      <c r="D570" s="41">
        <v>3.9196075046159379E-3</v>
      </c>
      <c r="E570" s="41">
        <v>5.6511614698699919E-3</v>
      </c>
      <c r="F570" s="41">
        <v>8.3434727023150579E-3</v>
      </c>
      <c r="G570" s="41">
        <v>5.6377970416878753E-3</v>
      </c>
      <c r="H570" s="14">
        <v>-1.8494967043004573E-3</v>
      </c>
      <c r="I570" s="14">
        <v>-1.6361675289299216E-3</v>
      </c>
      <c r="J570" s="14">
        <v>-4.661691515254196E-4</v>
      </c>
      <c r="K570" s="14">
        <v>-5.6743839358810457E-4</v>
      </c>
    </row>
    <row r="571" spans="2:11" x14ac:dyDescent="0.25">
      <c r="B571" s="29">
        <v>563</v>
      </c>
      <c r="C571" s="30">
        <v>0.40915697674418605</v>
      </c>
      <c r="D571" s="41">
        <v>2.9792169184634778E-3</v>
      </c>
      <c r="E571" s="41">
        <v>1.4495618369900765E-3</v>
      </c>
      <c r="F571" s="41">
        <v>5.5169334375133605E-3</v>
      </c>
      <c r="G571" s="41">
        <v>8.2200329289744637E-3</v>
      </c>
      <c r="H571" s="14">
        <v>-1.8476396234562431E-3</v>
      </c>
      <c r="I571" s="14">
        <v>-1.6231386265106451E-3</v>
      </c>
      <c r="J571" s="14">
        <v>-4.6358456056172503E-4</v>
      </c>
      <c r="K571" s="14">
        <v>-5.5513525935588746E-4</v>
      </c>
    </row>
    <row r="572" spans="2:11" x14ac:dyDescent="0.25">
      <c r="B572" s="29">
        <v>564</v>
      </c>
      <c r="C572" s="30">
        <v>0.40988372093023256</v>
      </c>
      <c r="D572" s="41">
        <v>-9.1272291079145269E-3</v>
      </c>
      <c r="E572" s="41">
        <v>5.6300696474391732E-3</v>
      </c>
      <c r="F572" s="41">
        <v>6.6137128632755005E-3</v>
      </c>
      <c r="G572" s="41">
        <v>6.2179607445614687E-3</v>
      </c>
      <c r="H572" s="14">
        <v>-1.8456534285659076E-3</v>
      </c>
      <c r="I572" s="14">
        <v>-1.6215339711367349E-3</v>
      </c>
      <c r="J572" s="14">
        <v>-4.5983769870072688E-4</v>
      </c>
      <c r="K572" s="14">
        <v>-5.5347780457923887E-4</v>
      </c>
    </row>
    <row r="573" spans="2:11" x14ac:dyDescent="0.25">
      <c r="B573" s="29">
        <v>565</v>
      </c>
      <c r="C573" s="30">
        <v>0.41061046511627908</v>
      </c>
      <c r="D573" s="41">
        <v>1.5101977191385655E-2</v>
      </c>
      <c r="E573" s="41">
        <v>8.0005981755644218E-3</v>
      </c>
      <c r="F573" s="41">
        <v>-8.3873340605857827E-3</v>
      </c>
      <c r="G573" s="41">
        <v>3.8860065399975779E-3</v>
      </c>
      <c r="H573" s="14">
        <v>-1.8380187100878187E-3</v>
      </c>
      <c r="I573" s="14">
        <v>-1.6130116271255712E-3</v>
      </c>
      <c r="J573" s="14">
        <v>-4.5364633367450669E-4</v>
      </c>
      <c r="K573" s="14">
        <v>-5.4360977694276622E-4</v>
      </c>
    </row>
    <row r="574" spans="2:11" x14ac:dyDescent="0.25">
      <c r="B574" s="29">
        <v>566</v>
      </c>
      <c r="C574" s="30">
        <v>0.41133720930232559</v>
      </c>
      <c r="D574" s="41">
        <v>-1.5148622077543788E-2</v>
      </c>
      <c r="E574" s="41">
        <v>-7.2416734663600657E-3</v>
      </c>
      <c r="F574" s="41">
        <v>1.3429760412111413E-3</v>
      </c>
      <c r="G574" s="41">
        <v>4.8550638087133885E-3</v>
      </c>
      <c r="H574" s="14">
        <v>-1.800824893983588E-3</v>
      </c>
      <c r="I574" s="14">
        <v>-1.6058704668722168E-3</v>
      </c>
      <c r="J574" s="14">
        <v>-4.4691627768378428E-4</v>
      </c>
      <c r="K574" s="14">
        <v>-5.4182503268691568E-4</v>
      </c>
    </row>
    <row r="575" spans="2:11" x14ac:dyDescent="0.25">
      <c r="B575" s="29">
        <v>567</v>
      </c>
      <c r="C575" s="30">
        <v>0.4120639534883721</v>
      </c>
      <c r="D575" s="41">
        <v>9.5963082452628773E-3</v>
      </c>
      <c r="E575" s="41">
        <v>1.5410910924933408E-3</v>
      </c>
      <c r="F575" s="41">
        <v>1.5033991953995685E-2</v>
      </c>
      <c r="G575" s="41">
        <v>5.9294445134137064E-3</v>
      </c>
      <c r="H575" s="14">
        <v>-1.7958983845267618E-3</v>
      </c>
      <c r="I575" s="14">
        <v>-1.577852191767537E-3</v>
      </c>
      <c r="J575" s="14">
        <v>-4.4603033006229698E-4</v>
      </c>
      <c r="K575" s="14">
        <v>-5.2625996785518039E-4</v>
      </c>
    </row>
    <row r="576" spans="2:11" x14ac:dyDescent="0.25">
      <c r="B576" s="29">
        <v>568</v>
      </c>
      <c r="C576" s="30">
        <v>0.41279069767441862</v>
      </c>
      <c r="D576" s="41">
        <v>-1.3912279350638563E-2</v>
      </c>
      <c r="E576" s="41">
        <v>-6.50925096985977E-3</v>
      </c>
      <c r="F576" s="41">
        <v>-6.6100258499722786E-3</v>
      </c>
      <c r="G576" s="41">
        <v>-1.3267542722285719E-2</v>
      </c>
      <c r="H576" s="14">
        <v>-1.7740635878675803E-3</v>
      </c>
      <c r="I576" s="14">
        <v>-1.5628871481120354E-3</v>
      </c>
      <c r="J576" s="14">
        <v>-4.3663355528866798E-4</v>
      </c>
      <c r="K576" s="14">
        <v>-5.2421367644650552E-4</v>
      </c>
    </row>
    <row r="577" spans="2:11" x14ac:dyDescent="0.25">
      <c r="B577" s="29">
        <v>569</v>
      </c>
      <c r="C577" s="30">
        <v>0.41351744186046513</v>
      </c>
      <c r="D577" s="41">
        <v>-1.6712936720833578E-2</v>
      </c>
      <c r="E577" s="41">
        <v>2.6188822347796847E-3</v>
      </c>
      <c r="F577" s="41">
        <v>2.2087473290250959E-3</v>
      </c>
      <c r="G577" s="41">
        <v>-1.9020050410506252E-3</v>
      </c>
      <c r="H577" s="14">
        <v>-1.7257278131512788E-3</v>
      </c>
      <c r="I577" s="14">
        <v>-1.5217630449927411E-3</v>
      </c>
      <c r="J577" s="14">
        <v>-4.1133339428589544E-4</v>
      </c>
      <c r="K577" s="14">
        <v>-5.0861835928208701E-4</v>
      </c>
    </row>
    <row r="578" spans="2:11" x14ac:dyDescent="0.25">
      <c r="B578" s="29">
        <v>570</v>
      </c>
      <c r="C578" s="30">
        <v>0.41424418604651164</v>
      </c>
      <c r="D578" s="41">
        <v>3.3668648121803575E-3</v>
      </c>
      <c r="E578" s="41">
        <v>1.666463819946995E-2</v>
      </c>
      <c r="F578" s="41">
        <v>-2.5353272638295454E-3</v>
      </c>
      <c r="G578" s="41">
        <v>1.072178176126792E-3</v>
      </c>
      <c r="H578" s="14">
        <v>-1.7163478623363204E-3</v>
      </c>
      <c r="I578" s="14">
        <v>-1.5205122956810646E-3</v>
      </c>
      <c r="J578" s="14">
        <v>-4.0619741194236614E-4</v>
      </c>
      <c r="K578" s="14">
        <v>-4.9502246281032405E-4</v>
      </c>
    </row>
    <row r="579" spans="2:11" x14ac:dyDescent="0.25">
      <c r="B579" s="29">
        <v>571</v>
      </c>
      <c r="C579" s="30">
        <v>0.41497093023255816</v>
      </c>
      <c r="D579" s="41">
        <v>2.3965754280733226E-3</v>
      </c>
      <c r="E579" s="41">
        <v>1.1731879587081995E-2</v>
      </c>
      <c r="F579" s="41">
        <v>0</v>
      </c>
      <c r="G579" s="41">
        <v>1.3575753054278562E-2</v>
      </c>
      <c r="H579" s="14">
        <v>-1.6790144185362399E-3</v>
      </c>
      <c r="I579" s="14">
        <v>-1.5099294272115094E-3</v>
      </c>
      <c r="J579" s="14">
        <v>-4.0490231141299127E-4</v>
      </c>
      <c r="K579" s="14">
        <v>-4.7583890256017733E-4</v>
      </c>
    </row>
    <row r="580" spans="2:11" x14ac:dyDescent="0.25">
      <c r="B580" s="29">
        <v>572</v>
      </c>
      <c r="C580" s="30">
        <v>0.41569767441860467</v>
      </c>
      <c r="D580" s="41">
        <v>6.7293034001548006E-3</v>
      </c>
      <c r="E580" s="41">
        <v>1.1768774973376805E-2</v>
      </c>
      <c r="F580" s="41">
        <v>-1.3007290217482703E-3</v>
      </c>
      <c r="G580" s="41">
        <v>1.8438219650023794E-2</v>
      </c>
      <c r="H580" s="14">
        <v>-1.6545004048179601E-3</v>
      </c>
      <c r="I580" s="14">
        <v>-1.5064578302576015E-3</v>
      </c>
      <c r="J580" s="14">
        <v>-3.9508668555543469E-4</v>
      </c>
      <c r="K580" s="14">
        <v>-4.7230445194752519E-4</v>
      </c>
    </row>
    <row r="581" spans="2:11" x14ac:dyDescent="0.25">
      <c r="B581" s="29">
        <v>573</v>
      </c>
      <c r="C581" s="30">
        <v>0.41642441860465118</v>
      </c>
      <c r="D581" s="41">
        <v>-5.7308316285788578E-3</v>
      </c>
      <c r="E581" s="41">
        <v>-6.8369917236410505E-4</v>
      </c>
      <c r="F581" s="41">
        <v>4.9064946223511541E-3</v>
      </c>
      <c r="G581" s="41">
        <v>-1.6431361062319019E-3</v>
      </c>
      <c r="H581" s="14">
        <v>-1.6136518009726153E-3</v>
      </c>
      <c r="I581" s="14">
        <v>-1.5005708693526243E-3</v>
      </c>
      <c r="J581" s="14">
        <v>-3.8355426926217628E-4</v>
      </c>
      <c r="K581" s="14">
        <v>-4.6808584973092595E-4</v>
      </c>
    </row>
    <row r="582" spans="2:11" x14ac:dyDescent="0.25">
      <c r="B582" s="29">
        <v>574</v>
      </c>
      <c r="C582" s="30">
        <v>0.41715116279069769</v>
      </c>
      <c r="D582" s="41">
        <v>2.1257971513030005E-3</v>
      </c>
      <c r="E582" s="41">
        <v>7.0487198876527657E-3</v>
      </c>
      <c r="F582" s="41">
        <v>6.3315019264393868E-3</v>
      </c>
      <c r="G582" s="41">
        <v>1.6839168488584643E-2</v>
      </c>
      <c r="H582" s="14">
        <v>-1.6074668884438204E-3</v>
      </c>
      <c r="I582" s="14">
        <v>-1.4497873154648566E-3</v>
      </c>
      <c r="J582" s="14">
        <v>-3.7905109155733641E-4</v>
      </c>
      <c r="K582" s="14">
        <v>-4.4829330471543019E-4</v>
      </c>
    </row>
    <row r="583" spans="2:11" x14ac:dyDescent="0.25">
      <c r="B583" s="29">
        <v>575</v>
      </c>
      <c r="C583" s="30">
        <v>0.41787790697674421</v>
      </c>
      <c r="D583" s="41">
        <v>9.8605228336076569E-3</v>
      </c>
      <c r="E583" s="41">
        <v>1.3569685430019351E-2</v>
      </c>
      <c r="F583" s="41">
        <v>-6.7100839051312811E-3</v>
      </c>
      <c r="G583" s="41">
        <v>1.0573999598554981E-3</v>
      </c>
      <c r="H583" s="14">
        <v>-1.5381942399905757E-3</v>
      </c>
      <c r="I583" s="14">
        <v>-1.4433974730378996E-3</v>
      </c>
      <c r="J583" s="14">
        <v>-3.7737629133438588E-4</v>
      </c>
      <c r="K583" s="14">
        <v>-4.4327074585148745E-4</v>
      </c>
    </row>
    <row r="584" spans="2:11" x14ac:dyDescent="0.25">
      <c r="B584" s="29">
        <v>576</v>
      </c>
      <c r="C584" s="30">
        <v>0.41860465116279072</v>
      </c>
      <c r="D584" s="41">
        <v>7.5506977104027116E-4</v>
      </c>
      <c r="E584" s="41">
        <v>6.3147682674076222E-3</v>
      </c>
      <c r="F584" s="41">
        <v>2.563378177100839E-3</v>
      </c>
      <c r="G584" s="41">
        <v>1.0626212592663588E-2</v>
      </c>
      <c r="H584" s="14">
        <v>-1.5343005374267582E-3</v>
      </c>
      <c r="I584" s="14">
        <v>-1.4134182264903261E-3</v>
      </c>
      <c r="J584" s="14">
        <v>-3.7056643726818272E-4</v>
      </c>
      <c r="K584" s="14">
        <v>-4.4106536932688768E-4</v>
      </c>
    </row>
    <row r="585" spans="2:11" x14ac:dyDescent="0.25">
      <c r="B585" s="29">
        <v>577</v>
      </c>
      <c r="C585" s="30">
        <v>0.41933139534883723</v>
      </c>
      <c r="D585" s="41">
        <v>3.5906613225438659E-3</v>
      </c>
      <c r="E585" s="41">
        <v>-9.4740624534402906E-3</v>
      </c>
      <c r="F585" s="41">
        <v>1.5158636363034494E-2</v>
      </c>
      <c r="G585" s="41">
        <v>-6.9092322412402495E-3</v>
      </c>
      <c r="H585" s="14">
        <v>-1.5337225608029748E-3</v>
      </c>
      <c r="I585" s="14">
        <v>-1.3787417915114286E-3</v>
      </c>
      <c r="J585" s="14">
        <v>-3.6190361300425522E-4</v>
      </c>
      <c r="K585" s="14">
        <v>-4.4001683501697646E-4</v>
      </c>
    </row>
    <row r="586" spans="2:11" x14ac:dyDescent="0.25">
      <c r="B586" s="29">
        <v>578</v>
      </c>
      <c r="C586" s="30">
        <v>0.42005813953488375</v>
      </c>
      <c r="D586" s="41">
        <v>2.0052868513880443E-2</v>
      </c>
      <c r="E586" s="41">
        <v>-1.7165103521501468E-3</v>
      </c>
      <c r="F586" s="41">
        <v>-2.1032163760861255E-3</v>
      </c>
      <c r="G586" s="41">
        <v>-5.7106367033985536E-3</v>
      </c>
      <c r="H586" s="14">
        <v>-1.5308725973803838E-3</v>
      </c>
      <c r="I586" s="14">
        <v>-1.3646211417799314E-3</v>
      </c>
      <c r="J586" s="14">
        <v>-3.3649262520318857E-4</v>
      </c>
      <c r="K586" s="14">
        <v>-4.3742214085837913E-4</v>
      </c>
    </row>
    <row r="587" spans="2:11" x14ac:dyDescent="0.25">
      <c r="B587" s="29">
        <v>579</v>
      </c>
      <c r="C587" s="30">
        <v>0.42078488372093026</v>
      </c>
      <c r="D587" s="41">
        <v>-5.6409167325198496E-3</v>
      </c>
      <c r="E587" s="41">
        <v>-6.4612766560898649E-3</v>
      </c>
      <c r="F587" s="41">
        <v>-3.3548389341186979E-3</v>
      </c>
      <c r="G587" s="41">
        <v>-5.9332214831821616E-3</v>
      </c>
      <c r="H587" s="14">
        <v>-1.5272709121180172E-3</v>
      </c>
      <c r="I587" s="14">
        <v>-1.3536195787535732E-3</v>
      </c>
      <c r="J587" s="14">
        <v>-3.3355428845560642E-4</v>
      </c>
      <c r="K587" s="14">
        <v>-4.2179876024017759E-4</v>
      </c>
    </row>
    <row r="588" spans="2:11" x14ac:dyDescent="0.25">
      <c r="B588" s="29">
        <v>580</v>
      </c>
      <c r="C588" s="30">
        <v>0.42151162790697677</v>
      </c>
      <c r="D588" s="41">
        <v>8.864548715696835E-3</v>
      </c>
      <c r="E588" s="41">
        <v>-2.9260372712918148E-3</v>
      </c>
      <c r="F588" s="41">
        <v>0</v>
      </c>
      <c r="G588" s="41">
        <v>-1.1704149085167259E-3</v>
      </c>
      <c r="H588" s="14">
        <v>-1.5132045135518579E-3</v>
      </c>
      <c r="I588" s="14">
        <v>-1.3317126360760101E-3</v>
      </c>
      <c r="J588" s="14">
        <v>-2.9123149074916643E-4</v>
      </c>
      <c r="K588" s="14">
        <v>-3.9534595892718464E-4</v>
      </c>
    </row>
    <row r="589" spans="2:11" x14ac:dyDescent="0.25">
      <c r="B589" s="29">
        <v>581</v>
      </c>
      <c r="C589" s="30">
        <v>0.42223837209302323</v>
      </c>
      <c r="D589" s="41">
        <v>2.8763130971341815E-3</v>
      </c>
      <c r="E589" s="41">
        <v>7.1844608075584127E-3</v>
      </c>
      <c r="F589" s="41">
        <v>6.4949020058224782E-3</v>
      </c>
      <c r="G589" s="41">
        <v>7.2034521426330052E-3</v>
      </c>
      <c r="H589" s="14">
        <v>-1.5041817829465343E-3</v>
      </c>
      <c r="I589" s="14">
        <v>-1.3161043311797904E-3</v>
      </c>
      <c r="J589" s="14">
        <v>-2.8951711499292099E-4</v>
      </c>
      <c r="K589" s="14">
        <v>-3.9511676206880345E-4</v>
      </c>
    </row>
    <row r="590" spans="2:11" x14ac:dyDescent="0.25">
      <c r="B590" s="29">
        <v>582</v>
      </c>
      <c r="C590" s="30">
        <v>0.42296511627906974</v>
      </c>
      <c r="D590" s="41">
        <v>1.1571471264058365E-2</v>
      </c>
      <c r="E590" s="41">
        <v>9.0075684894999064E-3</v>
      </c>
      <c r="F590" s="41">
        <v>-1.3290629134498078E-2</v>
      </c>
      <c r="G590" s="41">
        <v>5.2656364587218459E-3</v>
      </c>
      <c r="H590" s="14">
        <v>-1.483958330847357E-3</v>
      </c>
      <c r="I590" s="14">
        <v>-1.2843674137638095E-3</v>
      </c>
      <c r="J590" s="14">
        <v>-2.8877184810616185E-4</v>
      </c>
      <c r="K590" s="14">
        <v>-3.8805648377706616E-4</v>
      </c>
    </row>
    <row r="591" spans="2:11" x14ac:dyDescent="0.25">
      <c r="B591" s="29">
        <v>583</v>
      </c>
      <c r="C591" s="30">
        <v>0.42369186046511625</v>
      </c>
      <c r="D591" s="41">
        <v>-1.5979389849424014E-2</v>
      </c>
      <c r="E591" s="41">
        <v>3.0461500537037889E-3</v>
      </c>
      <c r="F591" s="41">
        <v>1.5591814500854895E-3</v>
      </c>
      <c r="G591" s="41">
        <v>2.5167004764977464E-3</v>
      </c>
      <c r="H591" s="14">
        <v>-1.4808024539012532E-3</v>
      </c>
      <c r="I591" s="14">
        <v>-1.2830094668658809E-3</v>
      </c>
      <c r="J591" s="14">
        <v>-2.6727962794670379E-4</v>
      </c>
      <c r="K591" s="14">
        <v>-3.7829006813971927E-4</v>
      </c>
    </row>
    <row r="592" spans="2:11" x14ac:dyDescent="0.25">
      <c r="B592" s="29">
        <v>584</v>
      </c>
      <c r="C592" s="30">
        <v>0.42441860465116277</v>
      </c>
      <c r="D592" s="41">
        <v>5.7899255302079275E-3</v>
      </c>
      <c r="E592" s="41">
        <v>4.529017308570138E-3</v>
      </c>
      <c r="F592" s="41">
        <v>-1.0771992830918009E-3</v>
      </c>
      <c r="G592" s="41">
        <v>-3.7182736284218092E-4</v>
      </c>
      <c r="H592" s="14">
        <v>-1.4780752176056788E-3</v>
      </c>
      <c r="I592" s="14">
        <v>-1.2699084607651345E-3</v>
      </c>
      <c r="J592" s="14">
        <v>-2.6400111852409314E-4</v>
      </c>
      <c r="K592" s="14">
        <v>-3.7182736284218092E-4</v>
      </c>
    </row>
    <row r="593" spans="2:11" x14ac:dyDescent="0.25">
      <c r="B593" s="29">
        <v>585</v>
      </c>
      <c r="C593" s="30">
        <v>0.42514534883720928</v>
      </c>
      <c r="D593" s="41">
        <v>-1.5674110466250092E-2</v>
      </c>
      <c r="E593" s="41">
        <v>7.1036627988254608E-3</v>
      </c>
      <c r="F593" s="41">
        <v>7.4659132316061694E-3</v>
      </c>
      <c r="G593" s="41">
        <v>4.0050073105970087E-3</v>
      </c>
      <c r="H593" s="14">
        <v>-1.4665145836726401E-3</v>
      </c>
      <c r="I593" s="14">
        <v>-1.2673348094627279E-3</v>
      </c>
      <c r="J593" s="14">
        <v>-2.2997757718634659E-4</v>
      </c>
      <c r="K593" s="14">
        <v>-3.5863283324455436E-4</v>
      </c>
    </row>
    <row r="594" spans="2:11" x14ac:dyDescent="0.25">
      <c r="B594" s="29">
        <v>586</v>
      </c>
      <c r="C594" s="30">
        <v>0.42587209302325579</v>
      </c>
      <c r="D594" s="41">
        <v>-1.090739429474126E-2</v>
      </c>
      <c r="E594" s="41">
        <v>9.491501895697585E-3</v>
      </c>
      <c r="F594" s="41">
        <v>5.179150747987471E-3</v>
      </c>
      <c r="G594" s="41">
        <v>1.8633772494749843E-3</v>
      </c>
      <c r="H594" s="14">
        <v>-1.4601016547278745E-3</v>
      </c>
      <c r="I594" s="14">
        <v>-1.2522430642517568E-3</v>
      </c>
      <c r="J594" s="14">
        <v>-2.1634485369670386E-4</v>
      </c>
      <c r="K594" s="14">
        <v>-3.5038960775990468E-4</v>
      </c>
    </row>
    <row r="595" spans="2:11" x14ac:dyDescent="0.25">
      <c r="B595" s="29">
        <v>587</v>
      </c>
      <c r="C595" s="30">
        <v>0.42659883720930231</v>
      </c>
      <c r="D595" s="41">
        <v>1.6361828055833066E-2</v>
      </c>
      <c r="E595" s="41">
        <v>2.119376047441035E-2</v>
      </c>
      <c r="F595" s="41">
        <v>9.2665646275813529E-3</v>
      </c>
      <c r="G595" s="41">
        <v>1.4319172545839276E-2</v>
      </c>
      <c r="H595" s="14">
        <v>-1.451841359773276E-3</v>
      </c>
      <c r="I595" s="14">
        <v>-1.2513884787896945E-3</v>
      </c>
      <c r="J595" s="14">
        <v>-1.9388697981226333E-4</v>
      </c>
      <c r="K595" s="14">
        <v>-3.4222019136860289E-4</v>
      </c>
    </row>
    <row r="596" spans="2:11" x14ac:dyDescent="0.25">
      <c r="B596" s="29">
        <v>588</v>
      </c>
      <c r="C596" s="30">
        <v>0.42732558139534882</v>
      </c>
      <c r="D596" s="41">
        <v>-2.0955808560811956E-3</v>
      </c>
      <c r="E596" s="41">
        <v>-4.3931628247532162E-3</v>
      </c>
      <c r="F596" s="41">
        <v>5.7976458925468322E-5</v>
      </c>
      <c r="G596" s="41">
        <v>-4.0492385806626171E-3</v>
      </c>
      <c r="H596" s="14">
        <v>-1.4495691665994404E-3</v>
      </c>
      <c r="I596" s="14">
        <v>-1.2331682479065353E-3</v>
      </c>
      <c r="J596" s="14">
        <v>-1.9263025838534009E-4</v>
      </c>
      <c r="K596" s="14">
        <v>-3.4150186151071793E-4</v>
      </c>
    </row>
    <row r="597" spans="2:11" x14ac:dyDescent="0.25">
      <c r="B597" s="29">
        <v>589</v>
      </c>
      <c r="C597" s="30">
        <v>0.42805232558139533</v>
      </c>
      <c r="D597" s="41">
        <v>1.0381797994878164E-2</v>
      </c>
      <c r="E597" s="41">
        <v>3.2798248505903072E-3</v>
      </c>
      <c r="F597" s="41">
        <v>1.176293814948437E-4</v>
      </c>
      <c r="G597" s="41">
        <v>1.3354558165350916E-3</v>
      </c>
      <c r="H597" s="14">
        <v>-1.4486578610991563E-3</v>
      </c>
      <c r="I597" s="14">
        <v>-1.2243906086437661E-3</v>
      </c>
      <c r="J597" s="14">
        <v>-1.9224299514597476E-4</v>
      </c>
      <c r="K597" s="14">
        <v>-3.1855985464721579E-4</v>
      </c>
    </row>
    <row r="598" spans="2:11" x14ac:dyDescent="0.25">
      <c r="B598" s="29">
        <v>590</v>
      </c>
      <c r="C598" s="30">
        <v>0.42877906976744184</v>
      </c>
      <c r="D598" s="41">
        <v>5.6766682362787077E-3</v>
      </c>
      <c r="E598" s="41">
        <v>0</v>
      </c>
      <c r="F598" s="41">
        <v>-6.4394852034732608E-4</v>
      </c>
      <c r="G598" s="41">
        <v>-1.2878970406946522E-4</v>
      </c>
      <c r="H598" s="14">
        <v>-1.4414235299964329E-3</v>
      </c>
      <c r="I598" s="14">
        <v>-1.1962236580088659E-3</v>
      </c>
      <c r="J598" s="14">
        <v>-1.7452440291398919E-4</v>
      </c>
      <c r="K598" s="14">
        <v>-3.1757721116183475E-4</v>
      </c>
    </row>
    <row r="599" spans="2:11" x14ac:dyDescent="0.25">
      <c r="B599" s="29">
        <v>591</v>
      </c>
      <c r="C599" s="30">
        <v>0.42950581395348836</v>
      </c>
      <c r="D599" s="41">
        <v>7.2456625553305007E-4</v>
      </c>
      <c r="E599" s="41">
        <v>4.6003353357992882E-3</v>
      </c>
      <c r="F599" s="41">
        <v>2.8170489695575895E-3</v>
      </c>
      <c r="G599" s="41">
        <v>4.1759711392543844E-4</v>
      </c>
      <c r="H599" s="14">
        <v>-1.4299332697805811E-3</v>
      </c>
      <c r="I599" s="14">
        <v>-1.1757370624386754E-3</v>
      </c>
      <c r="J599" s="14">
        <v>-1.710716265809209E-4</v>
      </c>
      <c r="K599" s="14">
        <v>-3.0887700306108127E-4</v>
      </c>
    </row>
    <row r="600" spans="2:11" x14ac:dyDescent="0.25">
      <c r="B600" s="29">
        <v>592</v>
      </c>
      <c r="C600" s="30">
        <v>0.43023255813953487</v>
      </c>
      <c r="D600" s="41">
        <v>-6.0500963225426302E-3</v>
      </c>
      <c r="E600" s="41">
        <v>-2.4070517390319623E-2</v>
      </c>
      <c r="F600" s="41">
        <v>-1.0301719479365423E-2</v>
      </c>
      <c r="G600" s="41">
        <v>-1.9339279225726869E-2</v>
      </c>
      <c r="H600" s="14">
        <v>-1.4088916718846267E-3</v>
      </c>
      <c r="I600" s="14">
        <v>-1.1482020835665852E-3</v>
      </c>
      <c r="J600" s="14">
        <v>-1.6908082939981472E-4</v>
      </c>
      <c r="K600" s="14">
        <v>-3.0381750254477869E-4</v>
      </c>
    </row>
    <row r="601" spans="2:11" x14ac:dyDescent="0.25">
      <c r="B601" s="29">
        <v>593</v>
      </c>
      <c r="C601" s="30">
        <v>0.43095930232558138</v>
      </c>
      <c r="D601" s="41">
        <v>-2.3916981214769707E-3</v>
      </c>
      <c r="E601" s="41">
        <v>1.0011773501886312E-2</v>
      </c>
      <c r="F601" s="41">
        <v>-7.5425317201229802E-3</v>
      </c>
      <c r="G601" s="41">
        <v>-2.8450200263797415E-3</v>
      </c>
      <c r="H601" s="14">
        <v>-1.4023060143347754E-3</v>
      </c>
      <c r="I601" s="14">
        <v>-1.1341323041504925E-3</v>
      </c>
      <c r="J601" s="14">
        <v>-1.6322089227438497E-4</v>
      </c>
      <c r="K601" s="14">
        <v>-2.9642258248350215E-4</v>
      </c>
    </row>
    <row r="602" spans="2:11" x14ac:dyDescent="0.25">
      <c r="B602" s="29">
        <v>594</v>
      </c>
      <c r="C602" s="30">
        <v>0.4316860465116279</v>
      </c>
      <c r="D602" s="41">
        <v>-1.0992660922255206E-2</v>
      </c>
      <c r="E602" s="41">
        <v>-3.4289701177591114E-3</v>
      </c>
      <c r="F602" s="41">
        <v>-3.0081207004402089E-3</v>
      </c>
      <c r="G602" s="41">
        <v>-9.9646543189629618E-3</v>
      </c>
      <c r="H602" s="14">
        <v>-1.3971639178402828E-3</v>
      </c>
      <c r="I602" s="14">
        <v>-1.0781045263803524E-3</v>
      </c>
      <c r="J602" s="14">
        <v>-1.5963390624162965E-4</v>
      </c>
      <c r="K602" s="14">
        <v>-2.8787152346378977E-4</v>
      </c>
    </row>
    <row r="603" spans="2:11" x14ac:dyDescent="0.25">
      <c r="B603" s="29">
        <v>595</v>
      </c>
      <c r="C603" s="30">
        <v>0.43241279069767441</v>
      </c>
      <c r="D603" s="41">
        <v>-1.8458823633856106E-2</v>
      </c>
      <c r="E603" s="41">
        <v>-1.8023479188900682E-2</v>
      </c>
      <c r="F603" s="41">
        <v>6.8649421654587428E-4</v>
      </c>
      <c r="G603" s="41">
        <v>-8.5793247710415962E-3</v>
      </c>
      <c r="H603" s="14">
        <v>-1.3951866062086316E-3</v>
      </c>
      <c r="I603" s="14">
        <v>-1.059191131039583E-3</v>
      </c>
      <c r="J603" s="14">
        <v>-1.5944724953509404E-4</v>
      </c>
      <c r="K603" s="14">
        <v>-2.866167508365435E-4</v>
      </c>
    </row>
    <row r="604" spans="2:11" x14ac:dyDescent="0.25">
      <c r="B604" s="29">
        <v>596</v>
      </c>
      <c r="C604" s="30">
        <v>0.43313953488372092</v>
      </c>
      <c r="D604" s="41">
        <v>2.5592982069493078E-2</v>
      </c>
      <c r="E604" s="41">
        <v>2.3127619246352538E-2</v>
      </c>
      <c r="F604" s="41">
        <v>8.3608449660887985E-4</v>
      </c>
      <c r="G604" s="41">
        <v>1.6652013862270373E-2</v>
      </c>
      <c r="H604" s="14">
        <v>-1.3840219880231208E-3</v>
      </c>
      <c r="I604" s="14">
        <v>-1.0397466798998112E-3</v>
      </c>
      <c r="J604" s="14">
        <v>-1.5249326488064874E-4</v>
      </c>
      <c r="K604" s="14">
        <v>-2.8608596654970935E-4</v>
      </c>
    </row>
    <row r="605" spans="2:11" x14ac:dyDescent="0.25">
      <c r="B605" s="29">
        <v>597</v>
      </c>
      <c r="C605" s="30">
        <v>0.43386627906976744</v>
      </c>
      <c r="D605" s="41">
        <v>-8.4717920433247402E-3</v>
      </c>
      <c r="E605" s="41">
        <v>9.3138671244286098E-3</v>
      </c>
      <c r="F605" s="41">
        <v>5.3742130022960133E-4</v>
      </c>
      <c r="G605" s="41">
        <v>6.8587778482510856E-3</v>
      </c>
      <c r="H605" s="14">
        <v>-1.3736263736262577E-3</v>
      </c>
      <c r="I605" s="14">
        <v>-1.0316220824436728E-3</v>
      </c>
      <c r="J605" s="14">
        <v>-1.4666340747981899E-4</v>
      </c>
      <c r="K605" s="14">
        <v>-2.658185069027044E-4</v>
      </c>
    </row>
    <row r="606" spans="2:11" x14ac:dyDescent="0.25">
      <c r="B606" s="29">
        <v>598</v>
      </c>
      <c r="C606" s="30">
        <v>0.43459302325581395</v>
      </c>
      <c r="D606" s="41">
        <v>8.4604180177397432E-4</v>
      </c>
      <c r="E606" s="41">
        <v>-5.3212090595267103E-3</v>
      </c>
      <c r="F606" s="41">
        <v>-3.2510197361240722E-3</v>
      </c>
      <c r="G606" s="41">
        <v>-8.8705019399195843E-3</v>
      </c>
      <c r="H606" s="14">
        <v>-1.3490725126475978E-3</v>
      </c>
      <c r="I606" s="14">
        <v>-1.0254734874266536E-3</v>
      </c>
      <c r="J606" s="14">
        <v>-1.4066676044433013E-4</v>
      </c>
      <c r="K606" s="14">
        <v>-2.5415603807221743E-4</v>
      </c>
    </row>
    <row r="607" spans="2:11" x14ac:dyDescent="0.25">
      <c r="B607" s="29">
        <v>599</v>
      </c>
      <c r="C607" s="30">
        <v>0.43531976744186046</v>
      </c>
      <c r="D607" s="41">
        <v>1.5663174494953629E-2</v>
      </c>
      <c r="E607" s="41">
        <v>1.7860468265924467E-3</v>
      </c>
      <c r="F607" s="41">
        <v>-1.8252273918319961E-3</v>
      </c>
      <c r="G607" s="41">
        <v>-1.306044135531881E-3</v>
      </c>
      <c r="H607" s="14">
        <v>-1.2529256906398389E-3</v>
      </c>
      <c r="I607" s="14">
        <v>-9.6631324654417039E-4</v>
      </c>
      <c r="J607" s="14">
        <v>-1.3162985568071495E-4</v>
      </c>
      <c r="K607" s="14">
        <v>-2.4230818573971473E-4</v>
      </c>
    </row>
    <row r="608" spans="2:11" x14ac:dyDescent="0.25">
      <c r="B608" s="29">
        <v>600</v>
      </c>
      <c r="C608" s="30">
        <v>0.43604651162790697</v>
      </c>
      <c r="D608" s="41">
        <v>-3.314401802001158E-4</v>
      </c>
      <c r="E608" s="41">
        <v>-1.5606384506839932E-2</v>
      </c>
      <c r="F608" s="41">
        <v>-5.0661726877100355E-3</v>
      </c>
      <c r="G608" s="41">
        <v>-1.1717740921394682E-2</v>
      </c>
      <c r="H608" s="14">
        <v>-1.2450319356759332E-3</v>
      </c>
      <c r="I608" s="14">
        <v>-9.4607379375599709E-4</v>
      </c>
      <c r="J608" s="14">
        <v>-1.2012058420607374E-4</v>
      </c>
      <c r="K608" s="14">
        <v>-2.3305111753759713E-4</v>
      </c>
    </row>
    <row r="609" spans="2:11" x14ac:dyDescent="0.25">
      <c r="B609" s="29">
        <v>601</v>
      </c>
      <c r="C609" s="30">
        <v>0.43677325581395349</v>
      </c>
      <c r="D609" s="41">
        <v>4.7978294674933973E-3</v>
      </c>
      <c r="E609" s="41">
        <v>1.2360302827418845E-3</v>
      </c>
      <c r="F609" s="41">
        <v>-3.525010120022487E-3</v>
      </c>
      <c r="G609" s="41">
        <v>8.813983295606476E-3</v>
      </c>
      <c r="H609" s="14">
        <v>-1.2195121951219523E-3</v>
      </c>
      <c r="I609" s="14">
        <v>-9.1927466788155332E-4</v>
      </c>
      <c r="J609" s="14">
        <v>-1.1739136322364008E-4</v>
      </c>
      <c r="K609" s="14">
        <v>-2.2484084668401567E-4</v>
      </c>
    </row>
    <row r="610" spans="2:11" x14ac:dyDescent="0.25">
      <c r="B610" s="29">
        <v>602</v>
      </c>
      <c r="C610" s="30">
        <v>0.4375</v>
      </c>
      <c r="D610" s="41">
        <v>-1.2161728850590267E-2</v>
      </c>
      <c r="E610" s="41">
        <v>-2.1655264646880279E-2</v>
      </c>
      <c r="F610" s="41">
        <v>-3.0845420418337266E-3</v>
      </c>
      <c r="G610" s="41">
        <v>-1.398256968091607E-2</v>
      </c>
      <c r="H610" s="14">
        <v>-1.2098377089130308E-3</v>
      </c>
      <c r="I610" s="14">
        <v>-9.003121081974097E-4</v>
      </c>
      <c r="J610" s="14">
        <v>-1.1083461312433318E-4</v>
      </c>
      <c r="K610" s="14">
        <v>-2.2264177051602995E-4</v>
      </c>
    </row>
    <row r="611" spans="2:11" x14ac:dyDescent="0.25">
      <c r="B611" s="29">
        <v>603</v>
      </c>
      <c r="C611" s="30">
        <v>0.43822674418604651</v>
      </c>
      <c r="D611" s="41">
        <v>4.2406817442356979E-3</v>
      </c>
      <c r="E611" s="41">
        <v>1.8953732912723398E-2</v>
      </c>
      <c r="F611" s="41">
        <v>6.4301393836916354E-3</v>
      </c>
      <c r="G611" s="41">
        <v>1.3627043145519657E-2</v>
      </c>
      <c r="H611" s="14">
        <v>-1.1968880909636326E-3</v>
      </c>
      <c r="I611" s="14">
        <v>-8.8235029306638069E-4</v>
      </c>
      <c r="J611" s="14">
        <v>-9.7016735386867836E-5</v>
      </c>
      <c r="K611" s="14">
        <v>-2.17843600817291E-4</v>
      </c>
    </row>
    <row r="612" spans="2:11" x14ac:dyDescent="0.25">
      <c r="B612" s="29">
        <v>604</v>
      </c>
      <c r="C612" s="30">
        <v>0.43895348837209303</v>
      </c>
      <c r="D612" s="41">
        <v>-4.170240834830489E-3</v>
      </c>
      <c r="E612" s="41">
        <v>-7.6537413035426827E-4</v>
      </c>
      <c r="F612" s="41">
        <v>4.8519742763952767E-3</v>
      </c>
      <c r="G612" s="41">
        <v>-2.5371545926222705E-3</v>
      </c>
      <c r="H612" s="14">
        <v>-1.172452970411797E-3</v>
      </c>
      <c r="I612" s="14">
        <v>-8.6495079131299057E-4</v>
      </c>
      <c r="J612" s="14">
        <v>-9.461633077867404E-5</v>
      </c>
      <c r="K612" s="14">
        <v>-2.1754529365582988E-4</v>
      </c>
    </row>
    <row r="613" spans="2:11" x14ac:dyDescent="0.25">
      <c r="B613" s="29">
        <v>605</v>
      </c>
      <c r="C613" s="30">
        <v>0.43968023255813954</v>
      </c>
      <c r="D613" s="41">
        <v>-8.4831959681531816E-3</v>
      </c>
      <c r="E613" s="41">
        <v>1.552575864502459E-2</v>
      </c>
      <c r="F613" s="41">
        <v>-1.5895566700786512E-3</v>
      </c>
      <c r="G613" s="41">
        <v>5.6307451442787699E-3</v>
      </c>
      <c r="H613" s="14">
        <v>-1.1696579229942827E-3</v>
      </c>
      <c r="I613" s="14">
        <v>-8.5531004989314319E-4</v>
      </c>
      <c r="J613" s="14">
        <v>-9.3462311322900504E-5</v>
      </c>
      <c r="K613" s="14">
        <v>-2.1505561310699586E-4</v>
      </c>
    </row>
    <row r="614" spans="2:11" x14ac:dyDescent="0.25">
      <c r="B614" s="29">
        <v>606</v>
      </c>
      <c r="C614" s="30">
        <v>0.44040697674418605</v>
      </c>
      <c r="D614" s="41">
        <v>8.1529970349221367E-3</v>
      </c>
      <c r="E614" s="41">
        <v>6.8221495279581212E-3</v>
      </c>
      <c r="F614" s="41">
        <v>-1.2012058420607374E-4</v>
      </c>
      <c r="G614" s="41">
        <v>1.3083469174921983E-3</v>
      </c>
      <c r="H614" s="14">
        <v>-1.1574286711616422E-3</v>
      </c>
      <c r="I614" s="14">
        <v>-8.5028182728308366E-4</v>
      </c>
      <c r="J614" s="14">
        <v>-8.979379367435314E-5</v>
      </c>
      <c r="K614" s="14">
        <v>-1.7734137857843284E-4</v>
      </c>
    </row>
    <row r="615" spans="2:11" x14ac:dyDescent="0.25">
      <c r="B615" s="29">
        <v>607</v>
      </c>
      <c r="C615" s="30">
        <v>0.44113372093023256</v>
      </c>
      <c r="D615" s="41">
        <v>6.2609168822585822E-3</v>
      </c>
      <c r="E615" s="41">
        <v>1.2466015167967193E-2</v>
      </c>
      <c r="F615" s="41">
        <v>5.317592437490859E-3</v>
      </c>
      <c r="G615" s="41">
        <v>1.2618813325451761E-2</v>
      </c>
      <c r="H615" s="14">
        <v>-1.150965112549307E-3</v>
      </c>
      <c r="I615" s="14">
        <v>-8.4973435072566161E-4</v>
      </c>
      <c r="J615" s="14">
        <v>-8.5517617119612588E-5</v>
      </c>
      <c r="K615" s="14">
        <v>-1.7008402691494069E-4</v>
      </c>
    </row>
    <row r="616" spans="2:11" x14ac:dyDescent="0.25">
      <c r="B616" s="29">
        <v>608</v>
      </c>
      <c r="C616" s="30">
        <v>0.44186046511627908</v>
      </c>
      <c r="D616" s="41">
        <v>1.8278228347300383E-3</v>
      </c>
      <c r="E616" s="41">
        <v>6.0689701040872457E-4</v>
      </c>
      <c r="F616" s="41">
        <v>1.2551655392354366E-3</v>
      </c>
      <c r="G616" s="41">
        <v>5.6639720184811461E-3</v>
      </c>
      <c r="H616" s="14">
        <v>-1.1494181637577983E-3</v>
      </c>
      <c r="I616" s="14">
        <v>-8.2323969876596514E-4</v>
      </c>
      <c r="J616" s="14">
        <v>-5.8607776055707994E-5</v>
      </c>
      <c r="K616" s="14">
        <v>-1.6716102775697888E-4</v>
      </c>
    </row>
    <row r="617" spans="2:11" x14ac:dyDescent="0.25">
      <c r="B617" s="29">
        <v>609</v>
      </c>
      <c r="C617" s="30">
        <v>0.44258720930232559</v>
      </c>
      <c r="D617" s="41">
        <v>1.9505693080776976E-3</v>
      </c>
      <c r="E617" s="41">
        <v>2.0746612162150901E-2</v>
      </c>
      <c r="F617" s="41">
        <v>-6.2683212439573754E-4</v>
      </c>
      <c r="G617" s="41">
        <v>1.6595224354839445E-2</v>
      </c>
      <c r="H617" s="14">
        <v>-1.1000715919606829E-3</v>
      </c>
      <c r="I617" s="14">
        <v>-8.1342696781538937E-4</v>
      </c>
      <c r="J617" s="14">
        <v>-5.7713015568339188E-5</v>
      </c>
      <c r="K617" s="14">
        <v>-1.5932794167845539E-4</v>
      </c>
    </row>
    <row r="618" spans="2:11" x14ac:dyDescent="0.25">
      <c r="B618" s="29">
        <v>610</v>
      </c>
      <c r="C618" s="30">
        <v>0.4433139534883721</v>
      </c>
      <c r="D618" s="41">
        <v>-2.789858678881887E-3</v>
      </c>
      <c r="E618" s="41">
        <v>-1.847721685903525E-3</v>
      </c>
      <c r="F618" s="41">
        <v>3.6135707716615784E-3</v>
      </c>
      <c r="G618" s="41">
        <v>4.0660903908320105E-3</v>
      </c>
      <c r="H618" s="14">
        <v>-1.0683047339253848E-3</v>
      </c>
      <c r="I618" s="14">
        <v>-8.0054728323353253E-4</v>
      </c>
      <c r="J618" s="14">
        <v>-5.6748115077054351E-5</v>
      </c>
      <c r="K618" s="14">
        <v>-1.5520915883118216E-4</v>
      </c>
    </row>
    <row r="619" spans="2:11" x14ac:dyDescent="0.25">
      <c r="B619" s="29">
        <v>611</v>
      </c>
      <c r="C619" s="30">
        <v>0.44404069767441862</v>
      </c>
      <c r="D619" s="41">
        <v>-1.930735730856022E-2</v>
      </c>
      <c r="E619" s="41">
        <v>0</v>
      </c>
      <c r="F619" s="41">
        <v>0</v>
      </c>
      <c r="G619" s="41">
        <v>0</v>
      </c>
      <c r="H619" s="14">
        <v>-1.056566970090933E-3</v>
      </c>
      <c r="I619" s="14">
        <v>-7.6537413035426827E-4</v>
      </c>
      <c r="J619" s="14">
        <v>-5.6242490190649974E-5</v>
      </c>
      <c r="K619" s="14">
        <v>-1.5286073232569926E-4</v>
      </c>
    </row>
    <row r="620" spans="2:11" x14ac:dyDescent="0.25">
      <c r="B620" s="29">
        <v>612</v>
      </c>
      <c r="C620" s="30">
        <v>0.44476744186046513</v>
      </c>
      <c r="D620" s="41">
        <v>4.7147679972021454E-3</v>
      </c>
      <c r="E620" s="41">
        <v>-6.3607525259523623E-4</v>
      </c>
      <c r="F620" s="41">
        <v>-7.4387458590485789E-4</v>
      </c>
      <c r="G620" s="41">
        <v>-8.0733029092968644E-3</v>
      </c>
      <c r="H620" s="14">
        <v>-1.0492491310903906E-3</v>
      </c>
      <c r="I620" s="14">
        <v>-7.5463392393926298E-4</v>
      </c>
      <c r="J620" s="14">
        <v>-5.5427691862175443E-5</v>
      </c>
      <c r="K620" s="14">
        <v>-1.420573495514387E-4</v>
      </c>
    </row>
    <row r="621" spans="2:11" x14ac:dyDescent="0.25">
      <c r="B621" s="29">
        <v>613</v>
      </c>
      <c r="C621" s="30">
        <v>0.44549418604651164</v>
      </c>
      <c r="D621" s="41">
        <v>-9.6787741789917461E-3</v>
      </c>
      <c r="E621" s="41">
        <v>1.3317122130739545E-2</v>
      </c>
      <c r="F621" s="41">
        <v>-4.0798170082571028E-3</v>
      </c>
      <c r="G621" s="41">
        <v>-1.7955942450351035E-3</v>
      </c>
      <c r="H621" s="14">
        <v>-1.0385015027101208E-3</v>
      </c>
      <c r="I621" s="14">
        <v>-7.4542897327700697E-4</v>
      </c>
      <c r="J621" s="14">
        <v>-5.4791518272812034E-5</v>
      </c>
      <c r="K621" s="14">
        <v>-1.4179192715668693E-4</v>
      </c>
    </row>
    <row r="622" spans="2:11" x14ac:dyDescent="0.25">
      <c r="B622" s="29">
        <v>614</v>
      </c>
      <c r="C622" s="30">
        <v>0.44622093023255816</v>
      </c>
      <c r="D622" s="41">
        <v>-3.6956850362320965E-3</v>
      </c>
      <c r="E622" s="41">
        <v>-7.9561285542876226E-3</v>
      </c>
      <c r="F622" s="41">
        <v>-8.979379367435314E-5</v>
      </c>
      <c r="G622" s="41">
        <v>-6.6177498157643736E-3</v>
      </c>
      <c r="H622" s="14">
        <v>-1.0087385417754113E-3</v>
      </c>
      <c r="I622" s="14">
        <v>-6.8369917236410505E-4</v>
      </c>
      <c r="J622" s="14">
        <v>-5.4319999765128912E-5</v>
      </c>
      <c r="K622" s="14">
        <v>-1.2878970406946522E-4</v>
      </c>
    </row>
    <row r="623" spans="2:11" x14ac:dyDescent="0.25">
      <c r="B623" s="29">
        <v>615</v>
      </c>
      <c r="C623" s="30">
        <v>0.44694767441860467</v>
      </c>
      <c r="D623" s="41">
        <v>-5.2741680801971814E-3</v>
      </c>
      <c r="E623" s="41">
        <v>-2.1916829689998529E-3</v>
      </c>
      <c r="F623" s="41">
        <v>-3.827266878077662E-3</v>
      </c>
      <c r="G623" s="41">
        <v>1.0291064548860088E-3</v>
      </c>
      <c r="H623" s="14">
        <v>-9.4475392535608993E-4</v>
      </c>
      <c r="I623" s="14">
        <v>-6.7316371647563322E-4</v>
      </c>
      <c r="J623" s="14">
        <v>0</v>
      </c>
      <c r="K623" s="14">
        <v>-1.1912809176879425E-4</v>
      </c>
    </row>
    <row r="624" spans="2:11" x14ac:dyDescent="0.25">
      <c r="B624" s="29">
        <v>616</v>
      </c>
      <c r="C624" s="30">
        <v>0.44767441860465118</v>
      </c>
      <c r="D624" s="41">
        <v>5.3745036165898158E-3</v>
      </c>
      <c r="E624" s="41">
        <v>0</v>
      </c>
      <c r="F624" s="41">
        <v>0</v>
      </c>
      <c r="G624" s="41">
        <v>0</v>
      </c>
      <c r="H624" s="14">
        <v>-8.746353931966544E-4</v>
      </c>
      <c r="I624" s="14">
        <v>-6.684069333671161E-4</v>
      </c>
      <c r="J624" s="14">
        <v>0</v>
      </c>
      <c r="K624" s="14">
        <v>-1.164356227487675E-4</v>
      </c>
    </row>
    <row r="625" spans="2:11" x14ac:dyDescent="0.25">
      <c r="B625" s="29">
        <v>617</v>
      </c>
      <c r="C625" s="30">
        <v>0.44840116279069769</v>
      </c>
      <c r="D625" s="41">
        <v>9.5196537722580903E-3</v>
      </c>
      <c r="E625" s="41">
        <v>-9.1927466788155332E-4</v>
      </c>
      <c r="F625" s="41">
        <v>-7.6490818531875782E-3</v>
      </c>
      <c r="G625" s="41">
        <v>-1.5551177617974421E-3</v>
      </c>
      <c r="H625" s="14">
        <v>-8.6205173629616549E-4</v>
      </c>
      <c r="I625" s="14">
        <v>-6.6834448981289984E-4</v>
      </c>
      <c r="J625" s="14">
        <v>0</v>
      </c>
      <c r="K625" s="14">
        <v>-1.0141600928150753E-4</v>
      </c>
    </row>
    <row r="626" spans="2:11" x14ac:dyDescent="0.25">
      <c r="B626" s="29">
        <v>618</v>
      </c>
      <c r="C626" s="30">
        <v>0.44912790697674421</v>
      </c>
      <c r="D626" s="41">
        <v>-3.3632547362039316E-3</v>
      </c>
      <c r="E626" s="41">
        <v>1.3581955866786233E-2</v>
      </c>
      <c r="F626" s="41">
        <v>5.9516974131494926E-3</v>
      </c>
      <c r="G626" s="41">
        <v>1.2438801892128737E-2</v>
      </c>
      <c r="H626" s="14">
        <v>-8.2410113813602415E-4</v>
      </c>
      <c r="I626" s="14">
        <v>-6.3607525259523623E-4</v>
      </c>
      <c r="J626" s="14">
        <v>0</v>
      </c>
      <c r="K626" s="14">
        <v>-9.1278096303604227E-5</v>
      </c>
    </row>
    <row r="627" spans="2:11" x14ac:dyDescent="0.25">
      <c r="B627" s="29">
        <v>619</v>
      </c>
      <c r="C627" s="30">
        <v>0.44985465116279072</v>
      </c>
      <c r="D627" s="41">
        <v>-6.1217850362037434E-3</v>
      </c>
      <c r="E627" s="41">
        <v>2.2140458554925413E-2</v>
      </c>
      <c r="F627" s="41">
        <v>1.1306944832507604E-2</v>
      </c>
      <c r="G627" s="41">
        <v>8.0828178369066091E-3</v>
      </c>
      <c r="H627" s="14">
        <v>-8.1106787714246842E-4</v>
      </c>
      <c r="I627" s="14">
        <v>-6.0764576893612698E-4</v>
      </c>
      <c r="J627" s="14">
        <v>0</v>
      </c>
      <c r="K627" s="14">
        <v>-8.400305802460647E-5</v>
      </c>
    </row>
    <row r="628" spans="2:11" x14ac:dyDescent="0.25">
      <c r="B628" s="29">
        <v>620</v>
      </c>
      <c r="C628" s="30">
        <v>0.45058139534883723</v>
      </c>
      <c r="D628" s="41">
        <v>1.5423086750603642E-3</v>
      </c>
      <c r="E628" s="41">
        <v>-2.0513384787084199E-3</v>
      </c>
      <c r="F628" s="41">
        <v>-7.3403864083118053E-3</v>
      </c>
      <c r="G628" s="41">
        <v>3.1477561012729144E-3</v>
      </c>
      <c r="H628" s="14">
        <v>-8.0474816278386374E-4</v>
      </c>
      <c r="I628" s="14">
        <v>-6.0627834912652112E-4</v>
      </c>
      <c r="J628" s="14">
        <v>0</v>
      </c>
      <c r="K628" s="14">
        <v>-7.6103731738230446E-5</v>
      </c>
    </row>
    <row r="629" spans="2:11" x14ac:dyDescent="0.25">
      <c r="B629" s="29">
        <v>621</v>
      </c>
      <c r="C629" s="30">
        <v>0.45130813953488375</v>
      </c>
      <c r="D629" s="41">
        <v>-1.2067866409573346E-2</v>
      </c>
      <c r="E629" s="41">
        <v>4.2213698975372971E-3</v>
      </c>
      <c r="F629" s="41">
        <v>1.1307750191118071E-2</v>
      </c>
      <c r="G629" s="41">
        <v>1.2079167924438484E-2</v>
      </c>
      <c r="H629" s="14">
        <v>-8.0361627322966811E-4</v>
      </c>
      <c r="I629" s="14">
        <v>-5.6458300252282267E-4</v>
      </c>
      <c r="J629" s="14">
        <v>0</v>
      </c>
      <c r="K629" s="14">
        <v>-7.268637398074595E-5</v>
      </c>
    </row>
    <row r="630" spans="2:11" x14ac:dyDescent="0.25">
      <c r="B630" s="29">
        <v>622</v>
      </c>
      <c r="C630" s="30">
        <v>0.45203488372093026</v>
      </c>
      <c r="D630" s="41">
        <v>-5.2088836085723645E-3</v>
      </c>
      <c r="E630" s="41">
        <v>-8.7915362837132083E-3</v>
      </c>
      <c r="F630" s="41">
        <v>7.0847843525478904E-3</v>
      </c>
      <c r="G630" s="41">
        <v>6.1081406751255533E-4</v>
      </c>
      <c r="H630" s="14">
        <v>-7.9101972973660839E-4</v>
      </c>
      <c r="I630" s="14">
        <v>-5.0800101600201319E-4</v>
      </c>
      <c r="J630" s="14">
        <v>0</v>
      </c>
      <c r="K630" s="14">
        <v>-6.6590110615427623E-5</v>
      </c>
    </row>
    <row r="631" spans="2:11" x14ac:dyDescent="0.25">
      <c r="B631" s="29">
        <v>623</v>
      </c>
      <c r="C631" s="30">
        <v>0.45276162790697677</v>
      </c>
      <c r="D631" s="41">
        <v>-2.426030721024589E-3</v>
      </c>
      <c r="E631" s="41">
        <v>-1.928189385068213E-2</v>
      </c>
      <c r="F631" s="41">
        <v>-5.8335388648411701E-3</v>
      </c>
      <c r="G631" s="41">
        <v>-1.6466651722866921E-2</v>
      </c>
      <c r="H631" s="14">
        <v>-7.7794376617190686E-4</v>
      </c>
      <c r="I631" s="14">
        <v>-5.0424468661569577E-4</v>
      </c>
      <c r="J631" s="14">
        <v>0</v>
      </c>
      <c r="K631" s="14">
        <v>-6.0557003196648604E-5</v>
      </c>
    </row>
    <row r="632" spans="2:11" x14ac:dyDescent="0.25">
      <c r="B632" s="29">
        <v>624</v>
      </c>
      <c r="C632" s="30">
        <v>0.45348837209302323</v>
      </c>
      <c r="D632" s="41">
        <v>4.1652015887657702E-4</v>
      </c>
      <c r="E632" s="41">
        <v>-4.1225968326192852E-3</v>
      </c>
      <c r="F632" s="41">
        <v>-9.3746740505149528E-3</v>
      </c>
      <c r="G632" s="41">
        <v>-1.1923128087939008E-2</v>
      </c>
      <c r="H632" s="14">
        <v>-7.7513763920256107E-4</v>
      </c>
      <c r="I632" s="14">
        <v>-4.4842735126582323E-4</v>
      </c>
      <c r="J632" s="14">
        <v>0</v>
      </c>
      <c r="K632" s="14">
        <v>-5.8387998033038722E-5</v>
      </c>
    </row>
    <row r="633" spans="2:11" x14ac:dyDescent="0.25">
      <c r="B633" s="29">
        <v>625</v>
      </c>
      <c r="C633" s="30">
        <v>0.45421511627906974</v>
      </c>
      <c r="D633" s="41">
        <v>7.184099456150856E-3</v>
      </c>
      <c r="E633" s="41">
        <v>-1.799254698639019E-2</v>
      </c>
      <c r="F633" s="41">
        <v>-8.5517617119612588E-5</v>
      </c>
      <c r="G633" s="41">
        <v>-1.5963339695838675E-2</v>
      </c>
      <c r="H633" s="14">
        <v>-7.7060044534582595E-4</v>
      </c>
      <c r="I633" s="14">
        <v>-4.2231469655151788E-4</v>
      </c>
      <c r="J633" s="14">
        <v>0</v>
      </c>
      <c r="K633" s="14">
        <v>-3.9036903815814485E-5</v>
      </c>
    </row>
    <row r="634" spans="2:11" x14ac:dyDescent="0.25">
      <c r="B634" s="29">
        <v>626</v>
      </c>
      <c r="C634" s="30">
        <v>0.45494186046511625</v>
      </c>
      <c r="D634" s="41">
        <v>-1.3673781956108605E-2</v>
      </c>
      <c r="E634" s="41">
        <v>2.5631295423984568E-2</v>
      </c>
      <c r="F634" s="41">
        <v>1.0947653491482523E-2</v>
      </c>
      <c r="G634" s="41">
        <v>1.9302665204485425E-2</v>
      </c>
      <c r="H634" s="14">
        <v>-7.4807949457600387E-4</v>
      </c>
      <c r="I634" s="14">
        <v>-4.2106149603160503E-4</v>
      </c>
      <c r="J634" s="14">
        <v>0</v>
      </c>
      <c r="K634" s="14">
        <v>-2.7806087764492516E-5</v>
      </c>
    </row>
    <row r="635" spans="2:11" x14ac:dyDescent="0.25">
      <c r="B635" s="29">
        <v>627</v>
      </c>
      <c r="C635" s="30">
        <v>0.45566860465116277</v>
      </c>
      <c r="D635" s="41">
        <v>-1.0052838623106837E-2</v>
      </c>
      <c r="E635" s="41">
        <v>0</v>
      </c>
      <c r="F635" s="41">
        <v>-5.294200064516863E-3</v>
      </c>
      <c r="G635" s="41">
        <v>-1.0588400129033727E-3</v>
      </c>
      <c r="H635" s="14">
        <v>-7.2825556035960304E-4</v>
      </c>
      <c r="I635" s="14">
        <v>-3.5720257185856141E-4</v>
      </c>
      <c r="J635" s="14">
        <v>0</v>
      </c>
      <c r="K635" s="14">
        <v>-2.2138356184431556E-5</v>
      </c>
    </row>
    <row r="636" spans="2:11" x14ac:dyDescent="0.25">
      <c r="B636" s="29">
        <v>628</v>
      </c>
      <c r="C636" s="30">
        <v>0.45639534883720928</v>
      </c>
      <c r="D636" s="41">
        <v>-1.7044694631406676E-2</v>
      </c>
      <c r="E636" s="41">
        <v>7.0299052491031855E-3</v>
      </c>
      <c r="F636" s="41">
        <v>1.0340477564074746E-3</v>
      </c>
      <c r="G636" s="41">
        <v>5.4093695797899251E-3</v>
      </c>
      <c r="H636" s="14">
        <v>-7.2608152375808199E-4</v>
      </c>
      <c r="I636" s="14">
        <v>-3.3702349639896934E-4</v>
      </c>
      <c r="J636" s="14">
        <v>0</v>
      </c>
      <c r="K636" s="14">
        <v>-2.1554890297004105E-5</v>
      </c>
    </row>
    <row r="637" spans="2:11" x14ac:dyDescent="0.25">
      <c r="B637" s="29">
        <v>629</v>
      </c>
      <c r="C637" s="30">
        <v>0.45712209302325579</v>
      </c>
      <c r="D637" s="41">
        <v>3.4844720209706382E-3</v>
      </c>
      <c r="E637" s="41">
        <v>3.6900958466452582E-3</v>
      </c>
      <c r="F637" s="41">
        <v>3.6324166054055862E-3</v>
      </c>
      <c r="G637" s="41">
        <v>5.2579218863110901E-3</v>
      </c>
      <c r="H637" s="14">
        <v>-7.2205542012837576E-4</v>
      </c>
      <c r="I637" s="14">
        <v>-3.246111722697842E-4</v>
      </c>
      <c r="J637" s="14">
        <v>0</v>
      </c>
      <c r="K637" s="14">
        <v>0</v>
      </c>
    </row>
    <row r="638" spans="2:11" x14ac:dyDescent="0.25">
      <c r="B638" s="29">
        <v>630</v>
      </c>
      <c r="C638" s="30">
        <v>0.45784883720930231</v>
      </c>
      <c r="D638" s="41">
        <v>1.1771114690898202E-3</v>
      </c>
      <c r="E638" s="41">
        <v>-1.7077557256767961E-2</v>
      </c>
      <c r="F638" s="41">
        <v>-3.2757505167765322E-3</v>
      </c>
      <c r="G638" s="41">
        <v>-1.2876792397340676E-2</v>
      </c>
      <c r="H638" s="14">
        <v>-7.1771115388385986E-4</v>
      </c>
      <c r="I638" s="14">
        <v>-2.8672921611405666E-4</v>
      </c>
      <c r="J638" s="14">
        <v>0</v>
      </c>
      <c r="K638" s="14">
        <v>0</v>
      </c>
    </row>
    <row r="639" spans="2:11" x14ac:dyDescent="0.25">
      <c r="B639" s="29">
        <v>631</v>
      </c>
      <c r="C639" s="30">
        <v>0.45857558139534882</v>
      </c>
      <c r="D639" s="41">
        <v>2.0233348135423251E-2</v>
      </c>
      <c r="E639" s="41">
        <v>-8.0718287509310427E-3</v>
      </c>
      <c r="F639" s="41">
        <v>1.5541206474776192E-3</v>
      </c>
      <c r="G639" s="41">
        <v>-7.6991032371489078E-3</v>
      </c>
      <c r="H639" s="14">
        <v>-7.1276755837779149E-4</v>
      </c>
      <c r="I639" s="14">
        <v>-2.2773541285669996E-4</v>
      </c>
      <c r="J639" s="14">
        <v>0</v>
      </c>
      <c r="K639" s="14">
        <v>0</v>
      </c>
    </row>
    <row r="640" spans="2:11" x14ac:dyDescent="0.25">
      <c r="B640" s="29">
        <v>632</v>
      </c>
      <c r="C640" s="30">
        <v>0.45930232558139533</v>
      </c>
      <c r="D640" s="41">
        <v>1.3922956388955521E-2</v>
      </c>
      <c r="E640" s="41">
        <v>7.1743974403970512E-3</v>
      </c>
      <c r="F640" s="41">
        <v>2.5100657597723064E-3</v>
      </c>
      <c r="G640" s="41">
        <v>6.4825756318054317E-3</v>
      </c>
      <c r="H640" s="14">
        <v>-7.1068057116230321E-4</v>
      </c>
      <c r="I640" s="14">
        <v>-2.2343404157276758E-4</v>
      </c>
      <c r="J640" s="14">
        <v>0</v>
      </c>
      <c r="K640" s="14">
        <v>0</v>
      </c>
    </row>
    <row r="641" spans="2:11" x14ac:dyDescent="0.25">
      <c r="B641" s="29">
        <v>633</v>
      </c>
      <c r="C641" s="30">
        <v>0.46002906976744184</v>
      </c>
      <c r="D641" s="41">
        <v>-5.9061092744384135E-3</v>
      </c>
      <c r="E641" s="41">
        <v>1.4854373652733344E-2</v>
      </c>
      <c r="F641" s="41">
        <v>-7.7840441081067357E-4</v>
      </c>
      <c r="G641" s="41">
        <v>8.1869155781749258E-3</v>
      </c>
      <c r="H641" s="14">
        <v>-7.0534297302071725E-4</v>
      </c>
      <c r="I641" s="14">
        <v>-1.9491684708072832E-4</v>
      </c>
      <c r="J641" s="14">
        <v>0</v>
      </c>
      <c r="K641" s="14">
        <v>0</v>
      </c>
    </row>
    <row r="642" spans="2:11" x14ac:dyDescent="0.25">
      <c r="B642" s="29">
        <v>634</v>
      </c>
      <c r="C642" s="30">
        <v>0.46075581395348836</v>
      </c>
      <c r="D642" s="41">
        <v>-1.3986139295749139E-3</v>
      </c>
      <c r="E642" s="41">
        <v>-7.2985123491786652E-3</v>
      </c>
      <c r="F642" s="41">
        <v>1.0134117570739454E-2</v>
      </c>
      <c r="G642" s="41">
        <v>-2.5972463803685115E-3</v>
      </c>
      <c r="H642" s="14">
        <v>-6.8496349237578968E-4</v>
      </c>
      <c r="I642" s="14">
        <v>-1.7443403738959251E-4</v>
      </c>
      <c r="J642" s="14">
        <v>0</v>
      </c>
      <c r="K642" s="14">
        <v>0</v>
      </c>
    </row>
    <row r="643" spans="2:11" x14ac:dyDescent="0.25">
      <c r="B643" s="29">
        <v>635</v>
      </c>
      <c r="C643" s="30">
        <v>0.46148255813953487</v>
      </c>
      <c r="D643" s="41">
        <v>1.6110287368296738E-2</v>
      </c>
      <c r="E643" s="41">
        <v>1.7857573783151004E-2</v>
      </c>
      <c r="F643" s="41">
        <v>2.3643514806102051E-3</v>
      </c>
      <c r="G643" s="41">
        <v>6.5887151860279051E-3</v>
      </c>
      <c r="H643" s="14">
        <v>-6.7773636055579178E-4</v>
      </c>
      <c r="I643" s="14">
        <v>-1.6519368960110636E-4</v>
      </c>
      <c r="J643" s="14">
        <v>0</v>
      </c>
      <c r="K643" s="14">
        <v>0</v>
      </c>
    </row>
    <row r="644" spans="2:11" x14ac:dyDescent="0.25">
      <c r="B644" s="29">
        <v>636</v>
      </c>
      <c r="C644" s="30">
        <v>0.46220930232558138</v>
      </c>
      <c r="D644" s="41">
        <v>-1.6983392816840072E-3</v>
      </c>
      <c r="E644" s="41">
        <v>1.1277333902337094E-2</v>
      </c>
      <c r="F644" s="41">
        <v>5.9018182457435397E-3</v>
      </c>
      <c r="G644" s="41">
        <v>5.0047580651490179E-3</v>
      </c>
      <c r="H644" s="14">
        <v>-6.7330739389881433E-4</v>
      </c>
      <c r="I644" s="14">
        <v>-1.1353315168038947E-4</v>
      </c>
      <c r="J644" s="14">
        <v>0</v>
      </c>
      <c r="K644" s="14">
        <v>0</v>
      </c>
    </row>
    <row r="645" spans="2:11" x14ac:dyDescent="0.25">
      <c r="B645" s="29">
        <v>637</v>
      </c>
      <c r="C645" s="30">
        <v>0.4629360465116279</v>
      </c>
      <c r="D645" s="41">
        <v>-9.9347231809326711E-3</v>
      </c>
      <c r="E645" s="41">
        <v>-5.188959394829884E-3</v>
      </c>
      <c r="F645" s="41">
        <v>3.9796874952020556E-3</v>
      </c>
      <c r="G645" s="41">
        <v>7.3169501154142225E-3</v>
      </c>
      <c r="H645" s="14">
        <v>-6.621420294654623E-4</v>
      </c>
      <c r="I645" s="14">
        <v>-9.7592259539536208E-5</v>
      </c>
      <c r="J645" s="14">
        <v>0</v>
      </c>
      <c r="K645" s="14">
        <v>0</v>
      </c>
    </row>
    <row r="646" spans="2:11" x14ac:dyDescent="0.25">
      <c r="B646" s="29">
        <v>638</v>
      </c>
      <c r="C646" s="30">
        <v>0.46366279069767441</v>
      </c>
      <c r="D646" s="41">
        <v>1.7366960932179321E-2</v>
      </c>
      <c r="E646" s="41">
        <v>-8.6488609583660336E-3</v>
      </c>
      <c r="F646" s="41">
        <v>-3.6128864686569839E-3</v>
      </c>
      <c r="G646" s="41">
        <v>-5.8387998033038722E-5</v>
      </c>
      <c r="H646" s="14">
        <v>-6.5428654326726843E-4</v>
      </c>
      <c r="I646" s="14">
        <v>-9.1268420424395202E-5</v>
      </c>
      <c r="J646" s="14">
        <v>0</v>
      </c>
      <c r="K646" s="14">
        <v>0</v>
      </c>
    </row>
    <row r="647" spans="2:11" x14ac:dyDescent="0.25">
      <c r="B647" s="29">
        <v>639</v>
      </c>
      <c r="C647" s="30">
        <v>0.46438953488372092</v>
      </c>
      <c r="D647" s="41">
        <v>8.3402123655953531E-4</v>
      </c>
      <c r="E647" s="41">
        <v>7.9873850030507398E-3</v>
      </c>
      <c r="F647" s="41">
        <v>3.0936356344342109E-3</v>
      </c>
      <c r="G647" s="41">
        <v>6.1460324511346982E-3</v>
      </c>
      <c r="H647" s="14">
        <v>-6.5411744928833837E-4</v>
      </c>
      <c r="I647" s="14">
        <v>-8.4492999754881559E-5</v>
      </c>
      <c r="J647" s="14">
        <v>5.3656704405158351E-5</v>
      </c>
      <c r="K647" s="14">
        <v>0</v>
      </c>
    </row>
    <row r="648" spans="2:11" x14ac:dyDescent="0.25">
      <c r="B648" s="29">
        <v>640</v>
      </c>
      <c r="C648" s="30">
        <v>0.46511627906976744</v>
      </c>
      <c r="D648" s="41">
        <v>8.0934659132129803E-3</v>
      </c>
      <c r="E648" s="41">
        <v>-1.8536715746774846E-2</v>
      </c>
      <c r="F648" s="41">
        <v>-2.3368803818432093E-3</v>
      </c>
      <c r="G648" s="41">
        <v>-4.1553479228325198E-3</v>
      </c>
      <c r="H648" s="14">
        <v>-6.5008938729060883E-4</v>
      </c>
      <c r="I648" s="14">
        <v>0</v>
      </c>
      <c r="J648" s="14">
        <v>5.4764512595895098E-5</v>
      </c>
      <c r="K648" s="14">
        <v>0</v>
      </c>
    </row>
    <row r="649" spans="2:11" x14ac:dyDescent="0.25">
      <c r="B649" s="29">
        <v>641</v>
      </c>
      <c r="C649" s="30">
        <v>0.46584302325581395</v>
      </c>
      <c r="D649" s="41">
        <v>-1.7940531631451071E-2</v>
      </c>
      <c r="E649" s="41">
        <v>-7.2807952006022081E-3</v>
      </c>
      <c r="F649" s="41">
        <v>6.5684676211561488E-3</v>
      </c>
      <c r="G649" s="41">
        <v>4.1449792757852332E-3</v>
      </c>
      <c r="H649" s="14">
        <v>-6.4735394076720354E-4</v>
      </c>
      <c r="I649" s="14">
        <v>0</v>
      </c>
      <c r="J649" s="14">
        <v>5.6898544171790633E-5</v>
      </c>
      <c r="K649" s="14">
        <v>1.6572110168211295E-5</v>
      </c>
    </row>
    <row r="650" spans="2:11" x14ac:dyDescent="0.25">
      <c r="B650" s="29">
        <v>642</v>
      </c>
      <c r="C650" s="30">
        <v>0.46656976744186046</v>
      </c>
      <c r="D650" s="41">
        <v>1.5895468484622876E-2</v>
      </c>
      <c r="E650" s="41">
        <v>3.5258996288525246E-3</v>
      </c>
      <c r="F650" s="41">
        <v>-5.033994615246562E-3</v>
      </c>
      <c r="G650" s="41">
        <v>-1.214233231715567E-3</v>
      </c>
      <c r="H650" s="14">
        <v>-6.4609917622349133E-4</v>
      </c>
      <c r="I650" s="14">
        <v>0</v>
      </c>
      <c r="J650" s="14">
        <v>5.7551784784282134E-5</v>
      </c>
      <c r="K650" s="14">
        <v>1.9557234593370245E-5</v>
      </c>
    </row>
    <row r="651" spans="2:11" x14ac:dyDescent="0.25">
      <c r="B651" s="29">
        <v>643</v>
      </c>
      <c r="C651" s="30">
        <v>0.46729651162790697</v>
      </c>
      <c r="D651" s="41">
        <v>1.26546320338634E-3</v>
      </c>
      <c r="E651" s="41">
        <v>-2.2214718155285862E-2</v>
      </c>
      <c r="F651" s="41">
        <v>2.4346325069324326E-3</v>
      </c>
      <c r="G651" s="41">
        <v>-1.1647688496863396E-2</v>
      </c>
      <c r="H651" s="14">
        <v>-6.1628531248036911E-4</v>
      </c>
      <c r="I651" s="14">
        <v>0</v>
      </c>
      <c r="J651" s="14">
        <v>5.7951291049240794E-5</v>
      </c>
      <c r="K651" s="14">
        <v>2.2492038852162306E-5</v>
      </c>
    </row>
    <row r="652" spans="2:11" x14ac:dyDescent="0.25">
      <c r="B652" s="29">
        <v>644</v>
      </c>
      <c r="C652" s="30">
        <v>0.46802325581395349</v>
      </c>
      <c r="D652" s="41">
        <v>-6.8018137696209905E-3</v>
      </c>
      <c r="E652" s="41">
        <v>6.0930484977057553E-3</v>
      </c>
      <c r="F652" s="41">
        <v>-2.6489081251037661E-3</v>
      </c>
      <c r="G652" s="41">
        <v>5.755947833237852E-3</v>
      </c>
      <c r="H652" s="14">
        <v>-5.9170567039590338E-4</v>
      </c>
      <c r="I652" s="14">
        <v>0</v>
      </c>
      <c r="J652" s="14">
        <v>5.7976458925468322E-5</v>
      </c>
      <c r="K652" s="14">
        <v>2.3497382251891417E-5</v>
      </c>
    </row>
    <row r="653" spans="2:11" x14ac:dyDescent="0.25">
      <c r="B653" s="29">
        <v>645</v>
      </c>
      <c r="C653" s="30">
        <v>0.46875</v>
      </c>
      <c r="D653" s="41">
        <v>-1.3399209614411067E-3</v>
      </c>
      <c r="E653" s="41">
        <v>2.4919292223448242E-2</v>
      </c>
      <c r="F653" s="41">
        <v>2.0349692958201437E-3</v>
      </c>
      <c r="G653" s="41">
        <v>1.005028359768634E-2</v>
      </c>
      <c r="H653" s="14">
        <v>-5.9029267356347503E-4</v>
      </c>
      <c r="I653" s="14">
        <v>0</v>
      </c>
      <c r="J653" s="14">
        <v>6.5978408318567716E-5</v>
      </c>
      <c r="K653" s="14">
        <v>2.942618930843466E-5</v>
      </c>
    </row>
    <row r="654" spans="2:11" x14ac:dyDescent="0.25">
      <c r="B654" s="29">
        <v>646</v>
      </c>
      <c r="C654" s="30">
        <v>0.46947674418604651</v>
      </c>
      <c r="D654" s="41">
        <v>-2.7925727700997473E-4</v>
      </c>
      <c r="E654" s="41">
        <v>-1.9066377468023199E-2</v>
      </c>
      <c r="F654" s="41">
        <v>1.8169852876437353E-3</v>
      </c>
      <c r="G654" s="41">
        <v>2.6394611726732629E-3</v>
      </c>
      <c r="H654" s="14">
        <v>-5.8595398543925814E-4</v>
      </c>
      <c r="I654" s="14">
        <v>0</v>
      </c>
      <c r="J654" s="14">
        <v>9.7356763861133899E-5</v>
      </c>
      <c r="K654" s="14">
        <v>4.231329608539449E-5</v>
      </c>
    </row>
    <row r="655" spans="2:11" x14ac:dyDescent="0.25">
      <c r="B655" s="29">
        <v>647</v>
      </c>
      <c r="C655" s="30">
        <v>0.47020348837209303</v>
      </c>
      <c r="D655" s="41">
        <v>6.3848535440537502E-3</v>
      </c>
      <c r="E655" s="41">
        <v>0</v>
      </c>
      <c r="F655" s="41">
        <v>4.49633908246172E-3</v>
      </c>
      <c r="G655" s="41">
        <v>8.9926781649234404E-4</v>
      </c>
      <c r="H655" s="14">
        <v>-5.2544162628131996E-4</v>
      </c>
      <c r="I655" s="14">
        <v>0</v>
      </c>
      <c r="J655" s="14">
        <v>1.0996865893231345E-4</v>
      </c>
      <c r="K655" s="14">
        <v>4.7358113369355695E-5</v>
      </c>
    </row>
    <row r="656" spans="2:11" x14ac:dyDescent="0.25">
      <c r="B656" s="29">
        <v>648</v>
      </c>
      <c r="C656" s="30">
        <v>0.47093023255813954</v>
      </c>
      <c r="D656" s="41">
        <v>-3.5161552054086389E-3</v>
      </c>
      <c r="E656" s="41">
        <v>9.5437067626997774E-3</v>
      </c>
      <c r="F656" s="41">
        <v>4.2023022122485987E-3</v>
      </c>
      <c r="G656" s="41">
        <v>2.2024868204515435E-3</v>
      </c>
      <c r="H656" s="14">
        <v>-5.2368016234083381E-4</v>
      </c>
      <c r="I656" s="14">
        <v>0</v>
      </c>
      <c r="J656" s="14">
        <v>1.176293814948437E-4</v>
      </c>
      <c r="K656" s="14">
        <v>4.8490244744270496E-5</v>
      </c>
    </row>
    <row r="657" spans="2:11" x14ac:dyDescent="0.25">
      <c r="B657" s="29">
        <v>649</v>
      </c>
      <c r="C657" s="30">
        <v>0.47165697674418605</v>
      </c>
      <c r="D657" s="41">
        <v>-1.2751106999866828E-2</v>
      </c>
      <c r="E657" s="41">
        <v>-1.4365432774766984E-2</v>
      </c>
      <c r="F657" s="41">
        <v>-3.9186134657545058E-3</v>
      </c>
      <c r="G657" s="41">
        <v>-1.0116273633001428E-2</v>
      </c>
      <c r="H657" s="14">
        <v>-5.1506109318644189E-4</v>
      </c>
      <c r="I657" s="14">
        <v>0</v>
      </c>
      <c r="J657" s="14">
        <v>1.315601740605743E-4</v>
      </c>
      <c r="K657" s="14">
        <v>5.5574080248987916E-5</v>
      </c>
    </row>
    <row r="658" spans="2:11" x14ac:dyDescent="0.25">
      <c r="B658" s="29">
        <v>650</v>
      </c>
      <c r="C658" s="30">
        <v>0.47238372093023256</v>
      </c>
      <c r="D658" s="41">
        <v>-3.3817957519039015E-3</v>
      </c>
      <c r="E658" s="41">
        <v>1.0824898082563372E-2</v>
      </c>
      <c r="F658" s="41">
        <v>6.2379987946847848E-4</v>
      </c>
      <c r="G658" s="41">
        <v>1.1129442448334271E-2</v>
      </c>
      <c r="H658" s="14">
        <v>-4.7949904644251085E-4</v>
      </c>
      <c r="I658" s="14">
        <v>0</v>
      </c>
      <c r="J658" s="14">
        <v>1.4713094654217329E-4</v>
      </c>
      <c r="K658" s="14">
        <v>6.1848709156331295E-5</v>
      </c>
    </row>
    <row r="659" spans="2:11" x14ac:dyDescent="0.25">
      <c r="B659" s="29">
        <v>651</v>
      </c>
      <c r="C659" s="30">
        <v>0.47311046511627908</v>
      </c>
      <c r="D659" s="41">
        <v>1.5093977843375994E-2</v>
      </c>
      <c r="E659" s="41">
        <v>1.567955515324071E-3</v>
      </c>
      <c r="F659" s="41">
        <v>1.2862099916725933E-2</v>
      </c>
      <c r="G659" s="41">
        <v>4.8606587712226373E-3</v>
      </c>
      <c r="H659" s="14">
        <v>-4.7397011428673697E-4</v>
      </c>
      <c r="I659" s="14">
        <v>0</v>
      </c>
      <c r="J659" s="14">
        <v>1.6270537433227261E-4</v>
      </c>
      <c r="K659" s="14">
        <v>6.5487030664535288E-5</v>
      </c>
    </row>
    <row r="660" spans="2:11" x14ac:dyDescent="0.25">
      <c r="B660" s="29">
        <v>652</v>
      </c>
      <c r="C660" s="30">
        <v>0.47383720930232559</v>
      </c>
      <c r="D660" s="41">
        <v>6.3606013781145835E-3</v>
      </c>
      <c r="E660" s="41">
        <v>2.6565097399977367E-2</v>
      </c>
      <c r="F660" s="41">
        <v>4.0327729923756994E-3</v>
      </c>
      <c r="G660" s="41">
        <v>6.8638588585590915E-3</v>
      </c>
      <c r="H660" s="14">
        <v>-4.2989408440208265E-4</v>
      </c>
      <c r="I660" s="14">
        <v>0</v>
      </c>
      <c r="J660" s="14">
        <v>1.658701045077482E-4</v>
      </c>
      <c r="K660" s="14">
        <v>7.2544455886269831E-5</v>
      </c>
    </row>
    <row r="661" spans="2:11" x14ac:dyDescent="0.25">
      <c r="B661" s="29">
        <v>653</v>
      </c>
      <c r="C661" s="30">
        <v>0.4745639534883721</v>
      </c>
      <c r="D661" s="41">
        <v>-3.2976604843494225E-3</v>
      </c>
      <c r="E661" s="41">
        <v>-7.5463392393926298E-4</v>
      </c>
      <c r="F661" s="41">
        <v>2.1343129309761011E-3</v>
      </c>
      <c r="G661" s="41">
        <v>6.7385694481571614E-3</v>
      </c>
      <c r="H661" s="14">
        <v>-4.1642705586075746E-4</v>
      </c>
      <c r="I661" s="14">
        <v>0</v>
      </c>
      <c r="J661" s="14">
        <v>1.9130033853231865E-4</v>
      </c>
      <c r="K661" s="14">
        <v>7.3381548303030875E-5</v>
      </c>
    </row>
    <row r="662" spans="2:11" x14ac:dyDescent="0.25">
      <c r="B662" s="29">
        <v>654</v>
      </c>
      <c r="C662" s="30">
        <v>0.47529069767441862</v>
      </c>
      <c r="D662" s="41">
        <v>-1.2403866253921229E-2</v>
      </c>
      <c r="E662" s="41">
        <v>-1.3979137494296578E-2</v>
      </c>
      <c r="F662" s="41">
        <v>3.8289559234723214E-3</v>
      </c>
      <c r="G662" s="41">
        <v>1.1313953958744355E-3</v>
      </c>
      <c r="H662" s="14">
        <v>-3.9711805752540297E-4</v>
      </c>
      <c r="I662" s="14">
        <v>0</v>
      </c>
      <c r="J662" s="14">
        <v>2.2858449054230512E-4</v>
      </c>
      <c r="K662" s="14">
        <v>8.2046285647763262E-5</v>
      </c>
    </row>
    <row r="663" spans="2:11" x14ac:dyDescent="0.25">
      <c r="B663" s="29">
        <v>655</v>
      </c>
      <c r="C663" s="30">
        <v>0.47601744186046513</v>
      </c>
      <c r="D663" s="41">
        <v>-1.6403529092789533E-2</v>
      </c>
      <c r="E663" s="41">
        <v>-6.6937394787022209E-3</v>
      </c>
      <c r="F663" s="41">
        <v>-6.4760972887204504E-3</v>
      </c>
      <c r="G663" s="41">
        <v>9.4661931526169654E-3</v>
      </c>
      <c r="H663" s="14">
        <v>-3.6557342803411608E-4</v>
      </c>
      <c r="I663" s="14">
        <v>0</v>
      </c>
      <c r="J663" s="14">
        <v>2.3376773590166877E-4</v>
      </c>
      <c r="K663" s="14">
        <v>8.4998250163570497E-5</v>
      </c>
    </row>
    <row r="664" spans="2:11" x14ac:dyDescent="0.25">
      <c r="B664" s="29">
        <v>656</v>
      </c>
      <c r="C664" s="30">
        <v>0.47674418604651164</v>
      </c>
      <c r="D664" s="41">
        <v>-4.7391436279042047E-3</v>
      </c>
      <c r="E664" s="41">
        <v>-5.3734076561019473E-3</v>
      </c>
      <c r="F664" s="41">
        <v>3.2257459700131275E-3</v>
      </c>
      <c r="G664" s="41">
        <v>-5.9129576302475954E-3</v>
      </c>
      <c r="H664" s="14">
        <v>-3.6396408887662268E-4</v>
      </c>
      <c r="I664" s="14">
        <v>0</v>
      </c>
      <c r="J664" s="14">
        <v>2.3679056684677846E-4</v>
      </c>
      <c r="K664" s="14">
        <v>8.6541785507820976E-5</v>
      </c>
    </row>
    <row r="665" spans="2:11" x14ac:dyDescent="0.25">
      <c r="B665" s="29">
        <v>657</v>
      </c>
      <c r="C665" s="30">
        <v>0.47747093023255816</v>
      </c>
      <c r="D665" s="41">
        <v>-1.1504052288517507E-2</v>
      </c>
      <c r="E665" s="41">
        <v>-1.7523600332705058E-3</v>
      </c>
      <c r="F665" s="41">
        <v>8.4302912212919079E-3</v>
      </c>
      <c r="G665" s="41">
        <v>8.3897267617763401E-3</v>
      </c>
      <c r="H665" s="14">
        <v>-3.6090834299706831E-4</v>
      </c>
      <c r="I665" s="14">
        <v>0</v>
      </c>
      <c r="J665" s="14">
        <v>2.4695825170906183E-4</v>
      </c>
      <c r="K665" s="14">
        <v>8.7136579147450727E-5</v>
      </c>
    </row>
    <row r="666" spans="2:11" x14ac:dyDescent="0.25">
      <c r="B666" s="29">
        <v>658</v>
      </c>
      <c r="C666" s="30">
        <v>0.47819767441860467</v>
      </c>
      <c r="D666" s="41">
        <v>4.0739094232221636E-3</v>
      </c>
      <c r="E666" s="41">
        <v>-8.6234791612737061E-3</v>
      </c>
      <c r="F666" s="41">
        <v>-2.1487429576821926E-3</v>
      </c>
      <c r="G666" s="41">
        <v>-9.5913166927492424E-3</v>
      </c>
      <c r="H666" s="14">
        <v>-3.6066362106290661E-4</v>
      </c>
      <c r="I666" s="14">
        <v>0</v>
      </c>
      <c r="J666" s="14">
        <v>2.7522430781101725E-4</v>
      </c>
      <c r="K666" s="14">
        <v>8.9580803518041186E-5</v>
      </c>
    </row>
    <row r="667" spans="2:11" x14ac:dyDescent="0.25">
      <c r="B667" s="29">
        <v>659</v>
      </c>
      <c r="C667" s="30">
        <v>0.47892441860465118</v>
      </c>
      <c r="D667" s="41">
        <v>-1.1588837352110712E-4</v>
      </c>
      <c r="E667" s="41">
        <v>1.7951856385149956E-3</v>
      </c>
      <c r="F667" s="41">
        <v>3.118521487994963E-3</v>
      </c>
      <c r="G667" s="41">
        <v>6.534611407750069E-3</v>
      </c>
      <c r="H667" s="14">
        <v>-3.5164997871584003E-4</v>
      </c>
      <c r="I667" s="14">
        <v>0</v>
      </c>
      <c r="J667" s="14">
        <v>2.7787040124493956E-4</v>
      </c>
      <c r="K667" s="14">
        <v>9.5755516179929631E-5</v>
      </c>
    </row>
    <row r="668" spans="2:11" x14ac:dyDescent="0.25">
      <c r="B668" s="29">
        <v>660</v>
      </c>
      <c r="C668" s="30">
        <v>0.47965116279069769</v>
      </c>
      <c r="D668" s="41">
        <v>2.673333261592975E-2</v>
      </c>
      <c r="E668" s="41">
        <v>1.5427221633949717E-2</v>
      </c>
      <c r="F668" s="41">
        <v>1.0426338405579383E-2</v>
      </c>
      <c r="G668" s="41">
        <v>1.0856477689888245E-2</v>
      </c>
      <c r="H668" s="14">
        <v>-3.3624841388490978E-4</v>
      </c>
      <c r="I668" s="14">
        <v>0</v>
      </c>
      <c r="J668" s="14">
        <v>2.8289649365964564E-4</v>
      </c>
      <c r="K668" s="14">
        <v>9.7266388266170964E-5</v>
      </c>
    </row>
    <row r="669" spans="2:11" x14ac:dyDescent="0.25">
      <c r="B669" s="29">
        <v>661</v>
      </c>
      <c r="C669" s="30">
        <v>0.48037790697674421</v>
      </c>
      <c r="D669" s="41">
        <v>-2.7753196946539412E-3</v>
      </c>
      <c r="E669" s="41">
        <v>2.3126163126483856E-2</v>
      </c>
      <c r="F669" s="41">
        <v>-5.3466157570675188E-3</v>
      </c>
      <c r="G669" s="41">
        <v>8.7352265783915452E-4</v>
      </c>
      <c r="H669" s="14">
        <v>-3.3321763978677588E-4</v>
      </c>
      <c r="I669" s="14">
        <v>0</v>
      </c>
      <c r="J669" s="14">
        <v>2.8332835358502173E-4</v>
      </c>
      <c r="K669" s="14">
        <v>9.8345857562698487E-5</v>
      </c>
    </row>
    <row r="670" spans="2:11" x14ac:dyDescent="0.25">
      <c r="B670" s="29">
        <v>662</v>
      </c>
      <c r="C670" s="30">
        <v>0.48110465116279072</v>
      </c>
      <c r="D670" s="41">
        <v>-1.699462396606613E-2</v>
      </c>
      <c r="E670" s="41">
        <v>5.6920194124518986E-3</v>
      </c>
      <c r="F670" s="41">
        <v>-4.9988628511969946E-3</v>
      </c>
      <c r="G670" s="41">
        <v>-2.5575600424015302E-3</v>
      </c>
      <c r="H670" s="14">
        <v>-3.1050765004148051E-4</v>
      </c>
      <c r="I670" s="14">
        <v>0</v>
      </c>
      <c r="J670" s="14">
        <v>3.1343049678755897E-4</v>
      </c>
      <c r="K670" s="14">
        <v>1.0926652762133227E-4</v>
      </c>
    </row>
    <row r="671" spans="2:11" x14ac:dyDescent="0.25">
      <c r="B671" s="29">
        <v>663</v>
      </c>
      <c r="C671" s="30">
        <v>0.48183139534883723</v>
      </c>
      <c r="D671" s="41">
        <v>6.827017460768435E-3</v>
      </c>
      <c r="E671" s="41">
        <v>-2.2530072579577398E-3</v>
      </c>
      <c r="F671" s="41">
        <v>3.497661804505281E-3</v>
      </c>
      <c r="G671" s="41">
        <v>-7.5655058899326104E-3</v>
      </c>
      <c r="H671" s="14">
        <v>-2.4873146950554759E-4</v>
      </c>
      <c r="I671" s="14">
        <v>0</v>
      </c>
      <c r="J671" s="14">
        <v>3.2804782634010543E-4</v>
      </c>
      <c r="K671" s="14">
        <v>1.4238792009759718E-4</v>
      </c>
    </row>
    <row r="672" spans="2:11" x14ac:dyDescent="0.25">
      <c r="B672" s="29">
        <v>664</v>
      </c>
      <c r="C672" s="30">
        <v>0.48255813953488375</v>
      </c>
      <c r="D672" s="41">
        <v>-3.4344182825875235E-3</v>
      </c>
      <c r="E672" s="41">
        <v>5.469433679209823E-3</v>
      </c>
      <c r="F672" s="41">
        <v>-9.2107128834714169E-3</v>
      </c>
      <c r="G672" s="41">
        <v>2.5884988520826326E-3</v>
      </c>
      <c r="H672" s="14">
        <v>-1.7186936507873618E-4</v>
      </c>
      <c r="I672" s="14">
        <v>0</v>
      </c>
      <c r="J672" s="14">
        <v>3.3329369523382724E-4</v>
      </c>
      <c r="K672" s="14">
        <v>1.6162043776719588E-4</v>
      </c>
    </row>
    <row r="673" spans="2:11" x14ac:dyDescent="0.25">
      <c r="B673" s="29">
        <v>665</v>
      </c>
      <c r="C673" s="30">
        <v>0.48328488372093026</v>
      </c>
      <c r="D673" s="41">
        <v>-4.0993250426943437E-3</v>
      </c>
      <c r="E673" s="41">
        <v>8.4237356625533888E-3</v>
      </c>
      <c r="F673" s="41">
        <v>1.3447292392519961E-2</v>
      </c>
      <c r="G673" s="41">
        <v>6.8280165150553795E-3</v>
      </c>
      <c r="H673" s="14">
        <v>-1.4836761329628523E-4</v>
      </c>
      <c r="I673" s="14">
        <v>0</v>
      </c>
      <c r="J673" s="14">
        <v>3.46689118914556E-4</v>
      </c>
      <c r="K673" s="14">
        <v>1.78916861564371E-4</v>
      </c>
    </row>
    <row r="674" spans="2:11" x14ac:dyDescent="0.25">
      <c r="B674" s="29">
        <v>666</v>
      </c>
      <c r="C674" s="30">
        <v>0.48401162790697677</v>
      </c>
      <c r="D674" s="41">
        <v>8.1478268048841961E-3</v>
      </c>
      <c r="E674" s="41">
        <v>-2.3811725540966444E-3</v>
      </c>
      <c r="F674" s="41">
        <v>-1.0335759465880723E-2</v>
      </c>
      <c r="G674" s="41">
        <v>-7.9323156084447413E-3</v>
      </c>
      <c r="H674" s="14">
        <v>-1.1610356437929958E-4</v>
      </c>
      <c r="I674" s="14">
        <v>0</v>
      </c>
      <c r="J674" s="14">
        <v>3.5450516986723635E-4</v>
      </c>
      <c r="K674" s="14">
        <v>1.8419130766604834E-4</v>
      </c>
    </row>
    <row r="675" spans="2:11" x14ac:dyDescent="0.25">
      <c r="B675" s="29">
        <v>667</v>
      </c>
      <c r="C675" s="30">
        <v>0.48473837209302323</v>
      </c>
      <c r="D675" s="41">
        <v>8.7046839838497442E-3</v>
      </c>
      <c r="E675" s="41">
        <v>9.7868823334028576E-3</v>
      </c>
      <c r="F675" s="41">
        <v>-4.1133339428589544E-4</v>
      </c>
      <c r="G675" s="41">
        <v>4.4542367153485697E-3</v>
      </c>
      <c r="H675" s="14">
        <v>0</v>
      </c>
      <c r="I675" s="14">
        <v>0</v>
      </c>
      <c r="J675" s="14">
        <v>3.5911537478106048E-4</v>
      </c>
      <c r="K675" s="14">
        <v>2.0718945778979152E-4</v>
      </c>
    </row>
    <row r="676" spans="2:11" x14ac:dyDescent="0.25">
      <c r="B676" s="29">
        <v>668</v>
      </c>
      <c r="C676" s="30">
        <v>0.48546511627906974</v>
      </c>
      <c r="D676" s="41">
        <v>-1.3133072686929995E-2</v>
      </c>
      <c r="E676" s="41">
        <v>-6.7316371647563322E-4</v>
      </c>
      <c r="F676" s="41">
        <v>2.3827654234729323E-3</v>
      </c>
      <c r="G676" s="41">
        <v>-3.3620626969781851E-3</v>
      </c>
      <c r="H676" s="14">
        <v>0</v>
      </c>
      <c r="I676" s="14">
        <v>0</v>
      </c>
      <c r="J676" s="14">
        <v>3.8057180914319311E-4</v>
      </c>
      <c r="K676" s="14">
        <v>2.1102352843804795E-4</v>
      </c>
    </row>
    <row r="677" spans="2:11" x14ac:dyDescent="0.25">
      <c r="B677" s="29">
        <v>669</v>
      </c>
      <c r="C677" s="30">
        <v>0.48619186046511625</v>
      </c>
      <c r="D677" s="41">
        <v>6.5836545957990052E-3</v>
      </c>
      <c r="E677" s="41">
        <v>-6.5524579372006064E-3</v>
      </c>
      <c r="F677" s="41">
        <v>-1.1191629455144514E-2</v>
      </c>
      <c r="G677" s="41">
        <v>-3.8414965095711516E-3</v>
      </c>
      <c r="H677" s="14">
        <v>0</v>
      </c>
      <c r="I677" s="14">
        <v>0</v>
      </c>
      <c r="J677" s="14">
        <v>3.8408779149512462E-4</v>
      </c>
      <c r="K677" s="14">
        <v>2.1370546989460935E-4</v>
      </c>
    </row>
    <row r="678" spans="2:11" x14ac:dyDescent="0.25">
      <c r="B678" s="29">
        <v>670</v>
      </c>
      <c r="C678" s="30">
        <v>0.48691860465116277</v>
      </c>
      <c r="D678" s="41">
        <v>1.0742004019178117E-2</v>
      </c>
      <c r="E678" s="41">
        <v>1.4431893482917513E-2</v>
      </c>
      <c r="F678" s="41">
        <v>2.9082384676484274E-3</v>
      </c>
      <c r="G678" s="41">
        <v>4.7143906932057174E-3</v>
      </c>
      <c r="H678" s="14">
        <v>0</v>
      </c>
      <c r="I678" s="14">
        <v>0</v>
      </c>
      <c r="J678" s="14">
        <v>3.9106938771826805E-4</v>
      </c>
      <c r="K678" s="14">
        <v>2.2203863983361041E-4</v>
      </c>
    </row>
    <row r="679" spans="2:11" x14ac:dyDescent="0.25">
      <c r="B679" s="29">
        <v>671</v>
      </c>
      <c r="C679" s="30">
        <v>0.48764534883720928</v>
      </c>
      <c r="D679" s="41">
        <v>-9.0102174560848184E-3</v>
      </c>
      <c r="E679" s="41">
        <v>-1.3110022407048727E-2</v>
      </c>
      <c r="F679" s="41">
        <v>6.0346913319515583E-3</v>
      </c>
      <c r="G679" s="41">
        <v>2.2362406646101009E-3</v>
      </c>
      <c r="H679" s="14">
        <v>0</v>
      </c>
      <c r="I679" s="14">
        <v>0</v>
      </c>
      <c r="J679" s="14">
        <v>3.9524284073944038E-4</v>
      </c>
      <c r="K679" s="14">
        <v>2.246526751403799E-4</v>
      </c>
    </row>
    <row r="680" spans="2:11" x14ac:dyDescent="0.25">
      <c r="B680" s="29">
        <v>672</v>
      </c>
      <c r="C680" s="30">
        <v>0.48837209302325579</v>
      </c>
      <c r="D680" s="41">
        <v>-6.9518242911237073E-3</v>
      </c>
      <c r="E680" s="41">
        <v>-1.7548045470987539E-3</v>
      </c>
      <c r="F680" s="41">
        <v>2.7963602180507419E-3</v>
      </c>
      <c r="G680" s="41">
        <v>1.5558512872603015E-3</v>
      </c>
      <c r="H680" s="14">
        <v>0</v>
      </c>
      <c r="I680" s="14">
        <v>0</v>
      </c>
      <c r="J680" s="14">
        <v>3.9932334047065865E-4</v>
      </c>
      <c r="K680" s="14">
        <v>2.2513552631759932E-4</v>
      </c>
    </row>
    <row r="681" spans="2:11" x14ac:dyDescent="0.25">
      <c r="B681" s="29">
        <v>673</v>
      </c>
      <c r="C681" s="30">
        <v>0.48909883720930231</v>
      </c>
      <c r="D681" s="41">
        <v>-6.1545529567209002E-3</v>
      </c>
      <c r="E681" s="41">
        <v>-2.6884912221185608E-2</v>
      </c>
      <c r="F681" s="41">
        <v>-5.4970101392248782E-4</v>
      </c>
      <c r="G681" s="41">
        <v>-1.4169707184837697E-2</v>
      </c>
      <c r="H681" s="14">
        <v>0</v>
      </c>
      <c r="I681" s="14">
        <v>0</v>
      </c>
      <c r="J681" s="14">
        <v>4.139631893822493E-4</v>
      </c>
      <c r="K681" s="14">
        <v>2.327307318351849E-4</v>
      </c>
    </row>
    <row r="682" spans="2:11" x14ac:dyDescent="0.25">
      <c r="B682" s="29">
        <v>674</v>
      </c>
      <c r="C682" s="30">
        <v>0.48982558139534882</v>
      </c>
      <c r="D682" s="41">
        <v>-5.8695895062612661E-3</v>
      </c>
      <c r="E682" s="41">
        <v>5.1103681049644578E-3</v>
      </c>
      <c r="F682" s="41">
        <v>-8.2409020952511902E-4</v>
      </c>
      <c r="G682" s="41">
        <v>1.5692741443997346E-3</v>
      </c>
      <c r="H682" s="14">
        <v>0</v>
      </c>
      <c r="I682" s="14">
        <v>0</v>
      </c>
      <c r="J682" s="14">
        <v>4.4182809010306912E-4</v>
      </c>
      <c r="K682" s="14">
        <v>2.3455305517618998E-4</v>
      </c>
    </row>
    <row r="683" spans="2:11" x14ac:dyDescent="0.25">
      <c r="B683" s="29">
        <v>675</v>
      </c>
      <c r="C683" s="30">
        <v>0.49055232558139533</v>
      </c>
      <c r="D683" s="41">
        <v>-1.3586082521796907E-2</v>
      </c>
      <c r="E683" s="41">
        <v>1.6869122411496296E-2</v>
      </c>
      <c r="F683" s="41">
        <v>4.6916075456542305E-3</v>
      </c>
      <c r="G683" s="41">
        <v>1.2340737052647155E-2</v>
      </c>
      <c r="H683" s="14">
        <v>0</v>
      </c>
      <c r="I683" s="14">
        <v>0</v>
      </c>
      <c r="J683" s="14">
        <v>4.5220733706408112E-4</v>
      </c>
      <c r="K683" s="14">
        <v>2.4037232000386768E-4</v>
      </c>
    </row>
    <row r="684" spans="2:11" x14ac:dyDescent="0.25">
      <c r="B684" s="29">
        <v>676</v>
      </c>
      <c r="C684" s="30">
        <v>0.49127906976744184</v>
      </c>
      <c r="D684" s="41">
        <v>9.8740603068721497E-3</v>
      </c>
      <c r="E684" s="41">
        <v>-5.573686617725726E-3</v>
      </c>
      <c r="F684" s="41">
        <v>1.2009491510422965E-2</v>
      </c>
      <c r="G684" s="41">
        <v>-4.4106536932688768E-4</v>
      </c>
      <c r="H684" s="14">
        <v>0</v>
      </c>
      <c r="I684" s="14">
        <v>0</v>
      </c>
      <c r="J684" s="14">
        <v>4.5319911377639244E-4</v>
      </c>
      <c r="K684" s="14">
        <v>2.4279058042875345E-4</v>
      </c>
    </row>
    <row r="685" spans="2:11" x14ac:dyDescent="0.25">
      <c r="B685" s="29">
        <v>677</v>
      </c>
      <c r="C685" s="30">
        <v>0.49200581395348836</v>
      </c>
      <c r="D685" s="41">
        <v>-1.1397023276352655E-2</v>
      </c>
      <c r="E685" s="41">
        <v>2.1336139694418499E-2</v>
      </c>
      <c r="F685" s="41">
        <v>1.7719352620764184E-3</v>
      </c>
      <c r="G685" s="41">
        <v>1.2805865941471596E-2</v>
      </c>
      <c r="H685" s="14">
        <v>0</v>
      </c>
      <c r="I685" s="14">
        <v>0</v>
      </c>
      <c r="J685" s="14">
        <v>4.5643863753075387E-4</v>
      </c>
      <c r="K685" s="14">
        <v>2.5022927218167903E-4</v>
      </c>
    </row>
    <row r="686" spans="2:11" x14ac:dyDescent="0.25">
      <c r="B686" s="29">
        <v>678</v>
      </c>
      <c r="C686" s="30">
        <v>0.49273255813953487</v>
      </c>
      <c r="D686" s="41">
        <v>9.5631388058531569E-4</v>
      </c>
      <c r="E686" s="41">
        <v>-7.1899066533350764E-3</v>
      </c>
      <c r="F686" s="41">
        <v>-4.661691515254196E-4</v>
      </c>
      <c r="G686" s="41">
        <v>-8.1412704273110537E-3</v>
      </c>
      <c r="H686" s="14">
        <v>0</v>
      </c>
      <c r="I686" s="14">
        <v>0</v>
      </c>
      <c r="J686" s="14">
        <v>4.6004924668752167E-4</v>
      </c>
      <c r="K686" s="14">
        <v>2.6069116715856636E-4</v>
      </c>
    </row>
    <row r="687" spans="2:11" x14ac:dyDescent="0.25">
      <c r="B687" s="29">
        <v>679</v>
      </c>
      <c r="C687" s="30">
        <v>0.49345930232558138</v>
      </c>
      <c r="D687" s="41">
        <v>-1.2904273917892986E-2</v>
      </c>
      <c r="E687" s="41">
        <v>-1.105516048433608E-2</v>
      </c>
      <c r="F687" s="41">
        <v>-6.3449458065846231E-3</v>
      </c>
      <c r="G687" s="41">
        <v>-1.7611655915901858E-3</v>
      </c>
      <c r="H687" s="14">
        <v>0</v>
      </c>
      <c r="I687" s="14">
        <v>0</v>
      </c>
      <c r="J687" s="14">
        <v>4.6943459211346017E-4</v>
      </c>
      <c r="K687" s="14">
        <v>2.7615162480194578E-4</v>
      </c>
    </row>
    <row r="688" spans="2:11" x14ac:dyDescent="0.25">
      <c r="B688" s="29">
        <v>680</v>
      </c>
      <c r="C688" s="30">
        <v>0.4941860465116279</v>
      </c>
      <c r="D688" s="41">
        <v>-6.6142338742174282E-3</v>
      </c>
      <c r="E688" s="41">
        <v>5.7137526528139304E-3</v>
      </c>
      <c r="F688" s="41">
        <v>-1.4336207938714374E-3</v>
      </c>
      <c r="G688" s="41">
        <v>4.5932003462228373E-3</v>
      </c>
      <c r="H688" s="14">
        <v>0</v>
      </c>
      <c r="I688" s="14">
        <v>0</v>
      </c>
      <c r="J688" s="14">
        <v>5.0994390617042917E-4</v>
      </c>
      <c r="K688" s="14">
        <v>2.9704120882720895E-4</v>
      </c>
    </row>
    <row r="689" spans="2:11" x14ac:dyDescent="0.25">
      <c r="B689" s="29">
        <v>681</v>
      </c>
      <c r="C689" s="30">
        <v>0.49491279069767441</v>
      </c>
      <c r="D689" s="41">
        <v>-3.9042786292722829E-3</v>
      </c>
      <c r="E689" s="41">
        <v>0</v>
      </c>
      <c r="F689" s="41">
        <v>2.2248348256637129E-3</v>
      </c>
      <c r="G689" s="41">
        <v>-5.9993118696712424E-3</v>
      </c>
      <c r="H689" s="14">
        <v>0</v>
      </c>
      <c r="I689" s="14">
        <v>0</v>
      </c>
      <c r="J689" s="14">
        <v>5.2015604681376892E-4</v>
      </c>
      <c r="K689" s="14">
        <v>3.0871270356542819E-4</v>
      </c>
    </row>
    <row r="690" spans="2:11" x14ac:dyDescent="0.25">
      <c r="B690" s="29">
        <v>682</v>
      </c>
      <c r="C690" s="30">
        <v>0.49563953488372092</v>
      </c>
      <c r="D690" s="41">
        <v>-2.1131581915379175E-2</v>
      </c>
      <c r="E690" s="41">
        <v>2.117923507404984E-2</v>
      </c>
      <c r="F690" s="41">
        <v>6.1088920295444549E-3</v>
      </c>
      <c r="G690" s="41">
        <v>9.3852322573904981E-3</v>
      </c>
      <c r="H690" s="14">
        <v>0</v>
      </c>
      <c r="I690" s="14">
        <v>0</v>
      </c>
      <c r="J690" s="14">
        <v>5.2326831746629665E-4</v>
      </c>
      <c r="K690" s="14">
        <v>3.1155704257890282E-4</v>
      </c>
    </row>
    <row r="691" spans="2:11" x14ac:dyDescent="0.25">
      <c r="B691" s="29">
        <v>683</v>
      </c>
      <c r="C691" s="30">
        <v>0.49636627906976744</v>
      </c>
      <c r="D691" s="41">
        <v>1.5776620705005556E-3</v>
      </c>
      <c r="E691" s="41">
        <v>-2.4448952404019231E-3</v>
      </c>
      <c r="F691" s="41">
        <v>-3.670381283638724E-3</v>
      </c>
      <c r="G691" s="41">
        <v>-6.5703129536873748E-3</v>
      </c>
      <c r="H691" s="14">
        <v>0</v>
      </c>
      <c r="I691" s="14">
        <v>0</v>
      </c>
      <c r="J691" s="14">
        <v>5.3127759227966642E-4</v>
      </c>
      <c r="K691" s="14">
        <v>3.2009941488500001E-4</v>
      </c>
    </row>
    <row r="692" spans="2:11" x14ac:dyDescent="0.25">
      <c r="B692" s="29">
        <v>684</v>
      </c>
      <c r="C692" s="30">
        <v>0.49709302325581395</v>
      </c>
      <c r="D692" s="41">
        <v>1.2156892685827703E-2</v>
      </c>
      <c r="E692" s="41">
        <v>6.8290980279082092E-3</v>
      </c>
      <c r="F692" s="41">
        <v>-3.1956614256187788E-3</v>
      </c>
      <c r="G692" s="41">
        <v>2.0925069260395281E-3</v>
      </c>
      <c r="H692" s="14">
        <v>0</v>
      </c>
      <c r="I692" s="14">
        <v>0</v>
      </c>
      <c r="J692" s="14">
        <v>5.3742130022960133E-4</v>
      </c>
      <c r="K692" s="14">
        <v>3.7768790556422791E-4</v>
      </c>
    </row>
    <row r="693" spans="2:11" x14ac:dyDescent="0.25">
      <c r="B693" s="29">
        <v>685</v>
      </c>
      <c r="C693" s="30">
        <v>0.49781976744186046</v>
      </c>
      <c r="D693" s="41">
        <v>8.7216920715000364E-3</v>
      </c>
      <c r="E693" s="41">
        <v>1.2879741350074081E-2</v>
      </c>
      <c r="F693" s="41">
        <v>-3.5075083635468518E-3</v>
      </c>
      <c r="G693" s="41">
        <v>-2.1069907229587462E-3</v>
      </c>
      <c r="H693" s="14">
        <v>0</v>
      </c>
      <c r="I693" s="14">
        <v>0</v>
      </c>
      <c r="J693" s="14">
        <v>5.3960716598311365E-4</v>
      </c>
      <c r="K693" s="14">
        <v>3.8628848263473365E-4</v>
      </c>
    </row>
    <row r="694" spans="2:11" x14ac:dyDescent="0.25">
      <c r="B694" s="29">
        <v>686</v>
      </c>
      <c r="C694" s="30">
        <v>0.49854651162790697</v>
      </c>
      <c r="D694" s="41">
        <v>4.2476763172479316E-3</v>
      </c>
      <c r="E694" s="41">
        <v>3.2515364811975811E-3</v>
      </c>
      <c r="F694" s="41">
        <v>5.3357401396105786E-3</v>
      </c>
      <c r="G694" s="41">
        <v>3.7169847179021609E-3</v>
      </c>
      <c r="H694" s="14">
        <v>0</v>
      </c>
      <c r="I694" s="14">
        <v>7.5622944000208747E-6</v>
      </c>
      <c r="J694" s="14">
        <v>5.5072144509304977E-4</v>
      </c>
      <c r="K694" s="14">
        <v>3.9367828664866916E-4</v>
      </c>
    </row>
    <row r="695" spans="2:11" x14ac:dyDescent="0.25">
      <c r="B695" s="29">
        <v>687</v>
      </c>
      <c r="C695" s="30">
        <v>0.49927325581395349</v>
      </c>
      <c r="D695" s="41">
        <v>-1.0119579593852604E-3</v>
      </c>
      <c r="E695" s="41">
        <v>7.631549671821336E-3</v>
      </c>
      <c r="F695" s="41">
        <v>-6.4995274964455563E-3</v>
      </c>
      <c r="G695" s="41">
        <v>1.4363064775447798E-3</v>
      </c>
      <c r="H695" s="14">
        <v>0</v>
      </c>
      <c r="I695" s="14">
        <v>1.3166556945387597E-5</v>
      </c>
      <c r="J695" s="14">
        <v>5.6435927060216606E-4</v>
      </c>
      <c r="K695" s="14">
        <v>4.0294781128422672E-4</v>
      </c>
    </row>
    <row r="696" spans="2:11" x14ac:dyDescent="0.25">
      <c r="B696" s="29">
        <v>688</v>
      </c>
      <c r="C696" s="30">
        <v>0.5</v>
      </c>
      <c r="D696" s="41">
        <v>-1.7203687546746397E-3</v>
      </c>
      <c r="E696" s="41">
        <v>-6.4917859035507064E-3</v>
      </c>
      <c r="F696" s="41">
        <v>5.2360168336695878E-3</v>
      </c>
      <c r="G696" s="41">
        <v>2.4085488481158995E-3</v>
      </c>
      <c r="H696" s="14">
        <v>0</v>
      </c>
      <c r="I696" s="14">
        <v>4.3742618433206815E-5</v>
      </c>
      <c r="J696" s="14">
        <v>5.7276750846124713E-4</v>
      </c>
      <c r="K696" s="14">
        <v>4.0559260970167692E-4</v>
      </c>
    </row>
    <row r="697" spans="2:11" x14ac:dyDescent="0.25">
      <c r="B697" s="29">
        <v>689</v>
      </c>
      <c r="C697" s="30">
        <v>0.50072674418604646</v>
      </c>
      <c r="D697" s="41">
        <v>-2.1356698438040136E-2</v>
      </c>
      <c r="E697" s="41">
        <v>-1.5839148923560087E-2</v>
      </c>
      <c r="F697" s="41">
        <v>-1.8961455227543E-3</v>
      </c>
      <c r="G697" s="41">
        <v>-4.363351771300406E-3</v>
      </c>
      <c r="H697" s="14">
        <v>0</v>
      </c>
      <c r="I697" s="14">
        <v>7.2020165646557999E-5</v>
      </c>
      <c r="J697" s="14">
        <v>5.7510325717569089E-4</v>
      </c>
      <c r="K697" s="14">
        <v>4.1759711392543844E-4</v>
      </c>
    </row>
    <row r="698" spans="2:11" x14ac:dyDescent="0.25">
      <c r="B698" s="29">
        <v>690</v>
      </c>
      <c r="C698" s="30">
        <v>0.50145348837209303</v>
      </c>
      <c r="D698" s="41">
        <v>-9.9413760859468799E-3</v>
      </c>
      <c r="E698" s="41">
        <v>-4.2004155249767416E-3</v>
      </c>
      <c r="F698" s="41">
        <v>7.7837472995663237E-3</v>
      </c>
      <c r="G698" s="41">
        <v>2.5260997574035218E-3</v>
      </c>
      <c r="H698" s="14">
        <v>0</v>
      </c>
      <c r="I698" s="14">
        <v>7.5328431963228581E-5</v>
      </c>
      <c r="J698" s="14">
        <v>5.8092250493757547E-4</v>
      </c>
      <c r="K698" s="14">
        <v>4.1784290602082664E-4</v>
      </c>
    </row>
    <row r="699" spans="2:11" x14ac:dyDescent="0.25">
      <c r="B699" s="29">
        <v>691</v>
      </c>
      <c r="C699" s="30">
        <v>0.50218023255813948</v>
      </c>
      <c r="D699" s="41">
        <v>1.905836527036809E-2</v>
      </c>
      <c r="E699" s="41">
        <v>-2.9179202636711032E-3</v>
      </c>
      <c r="F699" s="41">
        <v>2.0550254281737068E-3</v>
      </c>
      <c r="G699" s="41">
        <v>3.2693874073151719E-3</v>
      </c>
      <c r="H699" s="14">
        <v>0</v>
      </c>
      <c r="I699" s="14">
        <v>7.7959944180694407E-5</v>
      </c>
      <c r="J699" s="14">
        <v>5.9387680775513374E-4</v>
      </c>
      <c r="K699" s="14">
        <v>4.2187824969988066E-4</v>
      </c>
    </row>
    <row r="700" spans="2:11" x14ac:dyDescent="0.25">
      <c r="B700" s="29">
        <v>692</v>
      </c>
      <c r="C700" s="30">
        <v>0.50290697674418605</v>
      </c>
      <c r="D700" s="41">
        <v>-3.9559089815301377E-3</v>
      </c>
      <c r="E700" s="41">
        <v>-2.2380591357088697E-2</v>
      </c>
      <c r="F700" s="41">
        <v>8.7156555709742012E-3</v>
      </c>
      <c r="G700" s="41">
        <v>-1.3110593554770976E-2</v>
      </c>
      <c r="H700" s="14">
        <v>0</v>
      </c>
      <c r="I700" s="14">
        <v>8.237108924524783E-5</v>
      </c>
      <c r="J700" s="14">
        <v>6.064950102000477E-4</v>
      </c>
      <c r="K700" s="14">
        <v>4.2598133758096072E-4</v>
      </c>
    </row>
    <row r="701" spans="2:11" x14ac:dyDescent="0.25">
      <c r="B701" s="29">
        <v>693</v>
      </c>
      <c r="C701" s="30">
        <v>0.50363372093023251</v>
      </c>
      <c r="D701" s="41">
        <v>2.2458675797526077E-2</v>
      </c>
      <c r="E701" s="41">
        <v>1.2943201910847746E-2</v>
      </c>
      <c r="F701" s="41">
        <v>-4.0819659887607607E-3</v>
      </c>
      <c r="G701" s="41">
        <v>4.0497100601181828E-3</v>
      </c>
      <c r="H701" s="14">
        <v>0</v>
      </c>
      <c r="I701" s="14">
        <v>1.0757728275145872E-4</v>
      </c>
      <c r="J701" s="14">
        <v>6.2379987946847848E-4</v>
      </c>
      <c r="K701" s="14">
        <v>4.3027360988525667E-4</v>
      </c>
    </row>
    <row r="702" spans="2:11" x14ac:dyDescent="0.25">
      <c r="B702" s="29">
        <v>694</v>
      </c>
      <c r="C702" s="30">
        <v>0.50436046511627908</v>
      </c>
      <c r="D702" s="41">
        <v>-1.357801182007173E-2</v>
      </c>
      <c r="E702" s="41">
        <v>2.2929633968013174E-2</v>
      </c>
      <c r="F702" s="41">
        <v>4.6193529718527859E-3</v>
      </c>
      <c r="G702" s="41">
        <v>1.3054082049671355E-2</v>
      </c>
      <c r="H702" s="14">
        <v>0</v>
      </c>
      <c r="I702" s="14">
        <v>1.4667864542272646E-4</v>
      </c>
      <c r="J702" s="14">
        <v>6.5588041451314361E-4</v>
      </c>
      <c r="K702" s="14">
        <v>4.3610945748970861E-4</v>
      </c>
    </row>
    <row r="703" spans="2:11" x14ac:dyDescent="0.25">
      <c r="B703" s="29">
        <v>695</v>
      </c>
      <c r="C703" s="30">
        <v>0.50508720930232553</v>
      </c>
      <c r="D703" s="41">
        <v>1.3778191209258562E-2</v>
      </c>
      <c r="E703" s="41">
        <v>1.6989491961799885E-2</v>
      </c>
      <c r="F703" s="41">
        <v>1.0381384021367346E-3</v>
      </c>
      <c r="G703" s="41">
        <v>1.2644842744247065E-2</v>
      </c>
      <c r="H703" s="14">
        <v>0</v>
      </c>
      <c r="I703" s="14">
        <v>1.4972912639854563E-4</v>
      </c>
      <c r="J703" s="14">
        <v>6.5681153938101922E-4</v>
      </c>
      <c r="K703" s="14">
        <v>4.3665648198354422E-4</v>
      </c>
    </row>
    <row r="704" spans="2:11" x14ac:dyDescent="0.25">
      <c r="B704" s="29">
        <v>696</v>
      </c>
      <c r="C704" s="30">
        <v>0.5058139534883721</v>
      </c>
      <c r="D704" s="41">
        <v>-1.6574820289875798E-2</v>
      </c>
      <c r="E704" s="41">
        <v>-1.4497873154648566E-3</v>
      </c>
      <c r="F704" s="41">
        <v>-4.5562693978287161E-3</v>
      </c>
      <c r="G704" s="41">
        <v>-1.4149693402391696E-3</v>
      </c>
      <c r="H704" s="14">
        <v>0</v>
      </c>
      <c r="I704" s="14">
        <v>1.6730674170117865E-4</v>
      </c>
      <c r="J704" s="14">
        <v>6.7001675041855613E-4</v>
      </c>
      <c r="K704" s="14">
        <v>4.6164341628942554E-4</v>
      </c>
    </row>
    <row r="705" spans="2:11" x14ac:dyDescent="0.25">
      <c r="B705" s="29">
        <v>697</v>
      </c>
      <c r="C705" s="30">
        <v>0.50654069767441856</v>
      </c>
      <c r="D705" s="41">
        <v>1.3432865619654198E-2</v>
      </c>
      <c r="E705" s="41">
        <v>2.3510336441021629E-3</v>
      </c>
      <c r="F705" s="41">
        <v>4.0085351794627577E-3</v>
      </c>
      <c r="G705" s="41">
        <v>-5.4360977694276622E-4</v>
      </c>
      <c r="H705" s="14">
        <v>0</v>
      </c>
      <c r="I705" s="14">
        <v>2.6814843505595931E-4</v>
      </c>
      <c r="J705" s="14">
        <v>6.8649421654587428E-4</v>
      </c>
      <c r="K705" s="14">
        <v>4.6484657718202081E-4</v>
      </c>
    </row>
    <row r="706" spans="2:11" x14ac:dyDescent="0.25">
      <c r="B706" s="29">
        <v>698</v>
      </c>
      <c r="C706" s="30">
        <v>0.50726744186046513</v>
      </c>
      <c r="D706" s="41">
        <v>7.8027777068185851E-4</v>
      </c>
      <c r="E706" s="41">
        <v>2.02935207788002E-3</v>
      </c>
      <c r="F706" s="41">
        <v>-4.3664924811779304E-3</v>
      </c>
      <c r="G706" s="41">
        <v>-1.5941233128866641E-3</v>
      </c>
      <c r="H706" s="14">
        <v>0</v>
      </c>
      <c r="I706" s="14">
        <v>2.7828453047207269E-4</v>
      </c>
      <c r="J706" s="14">
        <v>7.0042512599344242E-4</v>
      </c>
      <c r="K706" s="14">
        <v>4.7267914539612655E-4</v>
      </c>
    </row>
    <row r="707" spans="2:11" x14ac:dyDescent="0.25">
      <c r="B707" s="29">
        <v>699</v>
      </c>
      <c r="C707" s="30">
        <v>0.50799418604651159</v>
      </c>
      <c r="D707" s="41">
        <v>1.7584654679861664E-3</v>
      </c>
      <c r="E707" s="41">
        <v>-8.7246844731434514E-3</v>
      </c>
      <c r="F707" s="41">
        <v>1.5046627289447834E-3</v>
      </c>
      <c r="G707" s="41">
        <v>1.6572283265632313E-3</v>
      </c>
      <c r="H707" s="14">
        <v>0</v>
      </c>
      <c r="I707" s="14">
        <v>2.7995893935561789E-4</v>
      </c>
      <c r="J707" s="14">
        <v>7.0096967611243954E-4</v>
      </c>
      <c r="K707" s="14">
        <v>5.090009644985739E-4</v>
      </c>
    </row>
    <row r="708" spans="2:11" x14ac:dyDescent="0.25">
      <c r="B708" s="29">
        <v>700</v>
      </c>
      <c r="C708" s="30">
        <v>0.50872093023255816</v>
      </c>
      <c r="D708" s="41">
        <v>-8.5730632778181701E-3</v>
      </c>
      <c r="E708" s="41">
        <v>-5.9811534447151704E-3</v>
      </c>
      <c r="F708" s="41">
        <v>3.9657267931303419E-3</v>
      </c>
      <c r="G708" s="41">
        <v>-5.1714179533808302E-3</v>
      </c>
      <c r="H708" s="14">
        <v>0</v>
      </c>
      <c r="I708" s="14">
        <v>3.0186075594551554E-4</v>
      </c>
      <c r="J708" s="14">
        <v>7.0815326155249103E-4</v>
      </c>
      <c r="K708" s="14">
        <v>5.1253209797108568E-4</v>
      </c>
    </row>
    <row r="709" spans="2:11" x14ac:dyDescent="0.25">
      <c r="B709" s="29">
        <v>701</v>
      </c>
      <c r="C709" s="30">
        <v>0.50944767441860461</v>
      </c>
      <c r="D709" s="41">
        <v>-2.6714435520429213E-3</v>
      </c>
      <c r="E709" s="41">
        <v>-5.6969236612228746E-3</v>
      </c>
      <c r="F709" s="41">
        <v>1.0869065442404846E-3</v>
      </c>
      <c r="G709" s="41">
        <v>8.2146718475965223E-3</v>
      </c>
      <c r="H709" s="14">
        <v>0</v>
      </c>
      <c r="I709" s="14">
        <v>3.1467831294285098E-4</v>
      </c>
      <c r="J709" s="14">
        <v>7.1088676141473073E-4</v>
      </c>
      <c r="K709" s="14">
        <v>5.190762345921307E-4</v>
      </c>
    </row>
    <row r="710" spans="2:11" x14ac:dyDescent="0.25">
      <c r="B710" s="29">
        <v>702</v>
      </c>
      <c r="C710" s="30">
        <v>0.51017441860465118</v>
      </c>
      <c r="D710" s="41">
        <v>-8.1305979980541981E-3</v>
      </c>
      <c r="E710" s="41">
        <v>1.4567324255905678E-2</v>
      </c>
      <c r="F710" s="41">
        <v>1.1355198797169397E-3</v>
      </c>
      <c r="G710" s="41">
        <v>6.8017143570587198E-3</v>
      </c>
      <c r="H710" s="14">
        <v>0</v>
      </c>
      <c r="I710" s="14">
        <v>3.2088213415804034E-4</v>
      </c>
      <c r="J710" s="14">
        <v>7.1163227049186872E-4</v>
      </c>
      <c r="K710" s="14">
        <v>5.3266106299476633E-4</v>
      </c>
    </row>
    <row r="711" spans="2:11" x14ac:dyDescent="0.25">
      <c r="B711" s="29">
        <v>703</v>
      </c>
      <c r="C711" s="30">
        <v>0.51090116279069764</v>
      </c>
      <c r="D711" s="41">
        <v>1.322813720077865E-2</v>
      </c>
      <c r="E711" s="41">
        <v>-1.6705668706584187E-2</v>
      </c>
      <c r="F711" s="41">
        <v>-3.86479238956694E-3</v>
      </c>
      <c r="G711" s="41">
        <v>-3.9477684882048168E-3</v>
      </c>
      <c r="H711" s="14">
        <v>0</v>
      </c>
      <c r="I711" s="14">
        <v>3.3474995633686611E-4</v>
      </c>
      <c r="J711" s="14">
        <v>7.2005348968784411E-4</v>
      </c>
      <c r="K711" s="14">
        <v>5.431627714675535E-4</v>
      </c>
    </row>
    <row r="712" spans="2:11" x14ac:dyDescent="0.25">
      <c r="B712" s="29">
        <v>704</v>
      </c>
      <c r="C712" s="30">
        <v>0.51162790697674421</v>
      </c>
      <c r="D712" s="41">
        <v>2.918181586290456E-3</v>
      </c>
      <c r="E712" s="41">
        <v>1.1493993993993978E-2</v>
      </c>
      <c r="F712" s="41">
        <v>-6.5551992707756357E-3</v>
      </c>
      <c r="G712" s="41">
        <v>2.5467590617222814E-3</v>
      </c>
      <c r="H712" s="14">
        <v>0</v>
      </c>
      <c r="I712" s="14">
        <v>3.3775281791803557E-4</v>
      </c>
      <c r="J712" s="14">
        <v>7.2565324456030922E-4</v>
      </c>
      <c r="K712" s="14">
        <v>5.5610376490369232E-4</v>
      </c>
    </row>
    <row r="713" spans="2:11" x14ac:dyDescent="0.25">
      <c r="B713" s="29">
        <v>705</v>
      </c>
      <c r="C713" s="30">
        <v>0.51235465116279066</v>
      </c>
      <c r="D713" s="41">
        <v>1.2071549102757293E-2</v>
      </c>
      <c r="E713" s="41">
        <v>-1.1326272350090205E-2</v>
      </c>
      <c r="F713" s="41">
        <v>-9.2777201341446291E-3</v>
      </c>
      <c r="G713" s="41">
        <v>1.5443049468979678E-3</v>
      </c>
      <c r="H713" s="14">
        <v>0</v>
      </c>
      <c r="I713" s="14">
        <v>3.7822878228799262E-4</v>
      </c>
      <c r="J713" s="14">
        <v>7.2831472301126965E-4</v>
      </c>
      <c r="K713" s="14">
        <v>5.5691841904428321E-4</v>
      </c>
    </row>
    <row r="714" spans="2:11" x14ac:dyDescent="0.25">
      <c r="B714" s="29">
        <v>706</v>
      </c>
      <c r="C714" s="30">
        <v>0.51308139534883723</v>
      </c>
      <c r="D714" s="41">
        <v>1.3897605504750439E-3</v>
      </c>
      <c r="E714" s="41">
        <v>9.7218572876394127E-3</v>
      </c>
      <c r="F714" s="41">
        <v>-8.805884617925086E-4</v>
      </c>
      <c r="G714" s="41">
        <v>6.32888785187975E-3</v>
      </c>
      <c r="H714" s="14">
        <v>0</v>
      </c>
      <c r="I714" s="14">
        <v>3.8432502916774247E-4</v>
      </c>
      <c r="J714" s="14">
        <v>7.3176739493541199E-4</v>
      </c>
      <c r="K714" s="14">
        <v>5.5713714937422054E-4</v>
      </c>
    </row>
    <row r="715" spans="2:11" x14ac:dyDescent="0.25">
      <c r="B715" s="29">
        <v>707</v>
      </c>
      <c r="C715" s="30">
        <v>0.51380813953488369</v>
      </c>
      <c r="D715" s="41">
        <v>-1.022640195398359E-2</v>
      </c>
      <c r="E715" s="41">
        <v>-3.4944237918216325E-3</v>
      </c>
      <c r="F715" s="41">
        <v>-1.3886231336430743E-3</v>
      </c>
      <c r="G715" s="41">
        <v>-1.9643163115086182E-3</v>
      </c>
      <c r="H715" s="14">
        <v>0</v>
      </c>
      <c r="I715" s="14">
        <v>3.8695873198935082E-4</v>
      </c>
      <c r="J715" s="14">
        <v>7.4798619102423025E-4</v>
      </c>
      <c r="K715" s="14">
        <v>5.6019217066181068E-4</v>
      </c>
    </row>
    <row r="716" spans="2:11" x14ac:dyDescent="0.25">
      <c r="B716" s="29">
        <v>708</v>
      </c>
      <c r="C716" s="30">
        <v>0.51453488372093026</v>
      </c>
      <c r="D716" s="41">
        <v>-5.2273886082029155E-3</v>
      </c>
      <c r="E716" s="41">
        <v>1.1422815787510254E-2</v>
      </c>
      <c r="F716" s="41">
        <v>7.1788975844022662E-3</v>
      </c>
      <c r="G716" s="41">
        <v>9.1841074640446781E-3</v>
      </c>
      <c r="H716" s="14">
        <v>0</v>
      </c>
      <c r="I716" s="14">
        <v>4.1635973481080057E-4</v>
      </c>
      <c r="J716" s="14">
        <v>7.7245038787165932E-4</v>
      </c>
      <c r="K716" s="14">
        <v>5.6165795982483508E-4</v>
      </c>
    </row>
    <row r="717" spans="2:11" x14ac:dyDescent="0.25">
      <c r="B717" s="29">
        <v>709</v>
      </c>
      <c r="C717" s="30">
        <v>0.51526162790697672</v>
      </c>
      <c r="D717" s="41">
        <v>-2.275597178962801E-3</v>
      </c>
      <c r="E717" s="41">
        <v>6.1890956838619449E-3</v>
      </c>
      <c r="F717" s="41">
        <v>4.9187024433696713E-3</v>
      </c>
      <c r="G717" s="41">
        <v>2.527478290694685E-3</v>
      </c>
      <c r="H717" s="14">
        <v>0</v>
      </c>
      <c r="I717" s="14">
        <v>4.1721716153264587E-4</v>
      </c>
      <c r="J717" s="14">
        <v>7.7975469589341984E-4</v>
      </c>
      <c r="K717" s="14">
        <v>5.6473858474035408E-4</v>
      </c>
    </row>
    <row r="718" spans="2:11" x14ac:dyDescent="0.25">
      <c r="B718" s="29">
        <v>710</v>
      </c>
      <c r="C718" s="30">
        <v>0.51598837209302328</v>
      </c>
      <c r="D718" s="41">
        <v>-6.7490967784463824E-3</v>
      </c>
      <c r="E718" s="41">
        <v>2.6099706744868723E-3</v>
      </c>
      <c r="F718" s="41">
        <v>4.328438558781178E-3</v>
      </c>
      <c r="G718" s="41">
        <v>-9.3710904903949298E-3</v>
      </c>
      <c r="H718" s="14">
        <v>0</v>
      </c>
      <c r="I718" s="14">
        <v>4.2495325514191329E-4</v>
      </c>
      <c r="J718" s="14">
        <v>7.8646312139096786E-4</v>
      </c>
      <c r="K718" s="14">
        <v>6.0592325797323952E-4</v>
      </c>
    </row>
    <row r="719" spans="2:11" x14ac:dyDescent="0.25">
      <c r="B719" s="29">
        <v>711</v>
      </c>
      <c r="C719" s="30">
        <v>0.51671511627906974</v>
      </c>
      <c r="D719" s="41">
        <v>8.051601211364591E-3</v>
      </c>
      <c r="E719" s="41">
        <v>-2.1761385240866904E-2</v>
      </c>
      <c r="F719" s="41">
        <v>-6.7756558435644321E-3</v>
      </c>
      <c r="G719" s="41">
        <v>6.0586098439332266E-3</v>
      </c>
      <c r="H719" s="14">
        <v>0</v>
      </c>
      <c r="I719" s="14">
        <v>4.2517313194045947E-4</v>
      </c>
      <c r="J719" s="14">
        <v>8.221400376013932E-4</v>
      </c>
      <c r="K719" s="14">
        <v>6.1081406751255533E-4</v>
      </c>
    </row>
    <row r="720" spans="2:11" x14ac:dyDescent="0.25">
      <c r="B720" s="29">
        <v>712</v>
      </c>
      <c r="C720" s="30">
        <v>0.51744186046511631</v>
      </c>
      <c r="D720" s="41">
        <v>1.0463888893906117E-2</v>
      </c>
      <c r="E720" s="41">
        <v>1.2632680520257011E-3</v>
      </c>
      <c r="F720" s="41">
        <v>2.3418623056121746E-3</v>
      </c>
      <c r="G720" s="41">
        <v>1.1158157926115743E-3</v>
      </c>
      <c r="H720" s="14">
        <v>0</v>
      </c>
      <c r="I720" s="14">
        <v>4.8114775610197391E-4</v>
      </c>
      <c r="J720" s="14">
        <v>8.2960013273591926E-4</v>
      </c>
      <c r="K720" s="14">
        <v>6.178414654859131E-4</v>
      </c>
    </row>
    <row r="721" spans="2:11" x14ac:dyDescent="0.25">
      <c r="B721" s="29">
        <v>713</v>
      </c>
      <c r="C721" s="30">
        <v>0.51816860465116277</v>
      </c>
      <c r="D721" s="41">
        <v>-8.8929848280945353E-3</v>
      </c>
      <c r="E721" s="41">
        <v>-4.6062307296060867E-3</v>
      </c>
      <c r="F721" s="41">
        <v>9.8457067860358016E-4</v>
      </c>
      <c r="G721" s="41">
        <v>5.5691841904428321E-4</v>
      </c>
      <c r="H721" s="14">
        <v>0</v>
      </c>
      <c r="I721" s="14">
        <v>5.2228651538688275E-4</v>
      </c>
      <c r="J721" s="14">
        <v>8.3608449660887985E-4</v>
      </c>
      <c r="K721" s="14">
        <v>6.5020792405006127E-4</v>
      </c>
    </row>
    <row r="722" spans="2:11" x14ac:dyDescent="0.25">
      <c r="B722" s="29">
        <v>714</v>
      </c>
      <c r="C722" s="30">
        <v>0.51889534883720934</v>
      </c>
      <c r="D722" s="41">
        <v>4.4660818701859886E-3</v>
      </c>
      <c r="E722" s="41">
        <v>8.1825818258183247E-3</v>
      </c>
      <c r="F722" s="41">
        <v>6.5681153938101922E-4</v>
      </c>
      <c r="G722" s="41">
        <v>-1.2590910825790666E-3</v>
      </c>
      <c r="H722" s="14">
        <v>0</v>
      </c>
      <c r="I722" s="14">
        <v>5.2396649267438811E-4</v>
      </c>
      <c r="J722" s="14">
        <v>8.3708276655847236E-4</v>
      </c>
      <c r="K722" s="14">
        <v>6.8730522953530659E-4</v>
      </c>
    </row>
    <row r="723" spans="2:11" x14ac:dyDescent="0.25">
      <c r="B723" s="29">
        <v>715</v>
      </c>
      <c r="C723" s="30">
        <v>0.51962209302325579</v>
      </c>
      <c r="D723" s="41">
        <v>-9.9893218656602004E-3</v>
      </c>
      <c r="E723" s="41">
        <v>-4.0171696807839163E-3</v>
      </c>
      <c r="F723" s="41">
        <v>3.0588262588233661E-3</v>
      </c>
      <c r="G723" s="41">
        <v>-9.951026205488934E-4</v>
      </c>
      <c r="H723" s="14">
        <v>0</v>
      </c>
      <c r="I723" s="14">
        <v>5.8172055039706905E-4</v>
      </c>
      <c r="J723" s="14">
        <v>8.4275034770886492E-4</v>
      </c>
      <c r="K723" s="14">
        <v>7.0291289634871767E-4</v>
      </c>
    </row>
    <row r="724" spans="2:11" x14ac:dyDescent="0.25">
      <c r="B724" s="29">
        <v>716</v>
      </c>
      <c r="C724" s="30">
        <v>0.52034883720930236</v>
      </c>
      <c r="D724" s="41">
        <v>-1.5637785675969806E-2</v>
      </c>
      <c r="E724" s="41">
        <v>-6.3787037936108293E-3</v>
      </c>
      <c r="F724" s="41">
        <v>6.5842650153500326E-3</v>
      </c>
      <c r="G724" s="41">
        <v>-7.1684772659241771E-3</v>
      </c>
      <c r="H724" s="14">
        <v>0</v>
      </c>
      <c r="I724" s="14">
        <v>6.0689701040872457E-4</v>
      </c>
      <c r="J724" s="14">
        <v>8.5057261294152475E-4</v>
      </c>
      <c r="K724" s="14">
        <v>7.2077011477853512E-4</v>
      </c>
    </row>
    <row r="725" spans="2:11" x14ac:dyDescent="0.25">
      <c r="B725" s="29">
        <v>717</v>
      </c>
      <c r="C725" s="30">
        <v>0.52107558139534882</v>
      </c>
      <c r="D725" s="41">
        <v>-3.3179709997470481E-3</v>
      </c>
      <c r="E725" s="41">
        <v>-1.7770561306181265E-2</v>
      </c>
      <c r="F725" s="41">
        <v>-1.6552647779267682E-3</v>
      </c>
      <c r="G725" s="41">
        <v>-9.8340519191098662E-3</v>
      </c>
      <c r="H725" s="14">
        <v>0</v>
      </c>
      <c r="I725" s="14">
        <v>6.3890451715020724E-4</v>
      </c>
      <c r="J725" s="14">
        <v>8.5134051692348223E-4</v>
      </c>
      <c r="K725" s="14">
        <v>7.2433713960791131E-4</v>
      </c>
    </row>
    <row r="726" spans="2:11" x14ac:dyDescent="0.25">
      <c r="B726" s="29">
        <v>718</v>
      </c>
      <c r="C726" s="30">
        <v>0.52180232558139539</v>
      </c>
      <c r="D726" s="41">
        <v>1.0359992793622099E-2</v>
      </c>
      <c r="E726" s="41">
        <v>-1.7028278421918674E-2</v>
      </c>
      <c r="F726" s="41">
        <v>-3.4402656672201104E-3</v>
      </c>
      <c r="G726" s="41">
        <v>-8.0834051641026413E-3</v>
      </c>
      <c r="H726" s="14">
        <v>0</v>
      </c>
      <c r="I726" s="14">
        <v>6.8284009946295576E-4</v>
      </c>
      <c r="J726" s="14">
        <v>8.5504189705298828E-4</v>
      </c>
      <c r="K726" s="14">
        <v>7.3231666837858533E-4</v>
      </c>
    </row>
    <row r="727" spans="2:11" x14ac:dyDescent="0.25">
      <c r="B727" s="29">
        <v>719</v>
      </c>
      <c r="C727" s="30">
        <v>0.52252906976744184</v>
      </c>
      <c r="D727" s="41">
        <v>3.8284447606320758E-3</v>
      </c>
      <c r="E727" s="41">
        <v>1.5851759576455793E-2</v>
      </c>
      <c r="F727" s="41">
        <v>1.2550081977037442E-2</v>
      </c>
      <c r="G727" s="41">
        <v>1.4845951509836964E-2</v>
      </c>
      <c r="H727" s="14">
        <v>0</v>
      </c>
      <c r="I727" s="14">
        <v>6.9014527216326726E-4</v>
      </c>
      <c r="J727" s="14">
        <v>8.5786508736362954E-4</v>
      </c>
      <c r="K727" s="14">
        <v>7.3267444315499035E-4</v>
      </c>
    </row>
    <row r="728" spans="2:11" x14ac:dyDescent="0.25">
      <c r="B728" s="29">
        <v>720</v>
      </c>
      <c r="C728" s="30">
        <v>0.52325581395348841</v>
      </c>
      <c r="D728" s="41">
        <v>-7.2060271054524795E-4</v>
      </c>
      <c r="E728" s="41">
        <v>-1.7896011527024025E-2</v>
      </c>
      <c r="F728" s="41">
        <v>1.8645365283886939E-3</v>
      </c>
      <c r="G728" s="41">
        <v>-1.3830258727087763E-3</v>
      </c>
      <c r="H728" s="14">
        <v>0</v>
      </c>
      <c r="I728" s="14">
        <v>7.0527388135732672E-4</v>
      </c>
      <c r="J728" s="14">
        <v>8.6789696993161414E-4</v>
      </c>
      <c r="K728" s="14">
        <v>7.4496640612942123E-4</v>
      </c>
    </row>
    <row r="729" spans="2:11" x14ac:dyDescent="0.25">
      <c r="B729" s="29">
        <v>721</v>
      </c>
      <c r="C729" s="30">
        <v>0.52398255813953487</v>
      </c>
      <c r="D729" s="41">
        <v>-1.6375806890916993E-2</v>
      </c>
      <c r="E729" s="41">
        <v>1.5943374876112859E-2</v>
      </c>
      <c r="F729" s="41">
        <v>1.9130033853231865E-4</v>
      </c>
      <c r="G729" s="41">
        <v>6.1313377896866864E-3</v>
      </c>
      <c r="H729" s="14">
        <v>0</v>
      </c>
      <c r="I729" s="14">
        <v>7.2504324819377963E-4</v>
      </c>
      <c r="J729" s="14">
        <v>8.6918730986518256E-4</v>
      </c>
      <c r="K729" s="14">
        <v>7.4696444716244599E-4</v>
      </c>
    </row>
    <row r="730" spans="2:11" x14ac:dyDescent="0.25">
      <c r="B730" s="29">
        <v>722</v>
      </c>
      <c r="C730" s="30">
        <v>0.52470930232558144</v>
      </c>
      <c r="D730" s="41">
        <v>-4.0648683263525285E-3</v>
      </c>
      <c r="E730" s="41">
        <v>0</v>
      </c>
      <c r="F730" s="41">
        <v>0</v>
      </c>
      <c r="G730" s="41">
        <v>0</v>
      </c>
      <c r="H730" s="14">
        <v>0</v>
      </c>
      <c r="I730" s="14">
        <v>7.3862221191589583E-4</v>
      </c>
      <c r="J730" s="14">
        <v>8.7126987584396076E-4</v>
      </c>
      <c r="K730" s="14">
        <v>7.5083918995491031E-4</v>
      </c>
    </row>
    <row r="731" spans="2:11" x14ac:dyDescent="0.25">
      <c r="B731" s="29">
        <v>723</v>
      </c>
      <c r="C731" s="30">
        <v>0.5254360465116279</v>
      </c>
      <c r="D731" s="41">
        <v>-1.9942364200232557E-2</v>
      </c>
      <c r="E731" s="41">
        <v>-5.8225281140539265E-3</v>
      </c>
      <c r="F731" s="41">
        <v>-8.1219524731501735E-4</v>
      </c>
      <c r="G731" s="41">
        <v>7.3236286253291379E-3</v>
      </c>
      <c r="H731" s="14">
        <v>0</v>
      </c>
      <c r="I731" s="14">
        <v>7.4478105627484581E-4</v>
      </c>
      <c r="J731" s="14">
        <v>8.7535014005624134E-4</v>
      </c>
      <c r="K731" s="14">
        <v>7.6854835920010572E-4</v>
      </c>
    </row>
    <row r="732" spans="2:11" x14ac:dyDescent="0.25">
      <c r="B732" s="29">
        <v>724</v>
      </c>
      <c r="C732" s="30">
        <v>0.52616279069767447</v>
      </c>
      <c r="D732" s="41">
        <v>1.0903350050017352E-2</v>
      </c>
      <c r="E732" s="41">
        <v>4.2495325514191329E-4</v>
      </c>
      <c r="F732" s="41">
        <v>1.0281333209893218E-2</v>
      </c>
      <c r="G732" s="41">
        <v>3.4063743829432893E-3</v>
      </c>
      <c r="H732" s="14">
        <v>0</v>
      </c>
      <c r="I732" s="14">
        <v>7.4856411791923705E-4</v>
      </c>
      <c r="J732" s="14">
        <v>8.8071778499498876E-4</v>
      </c>
      <c r="K732" s="14">
        <v>7.756878620360124E-4</v>
      </c>
    </row>
    <row r="733" spans="2:11" x14ac:dyDescent="0.25">
      <c r="B733" s="29">
        <v>725</v>
      </c>
      <c r="C733" s="30">
        <v>0.52688953488372092</v>
      </c>
      <c r="D733" s="41">
        <v>2.8764945996786035E-3</v>
      </c>
      <c r="E733" s="41">
        <v>3.6530456205929873E-3</v>
      </c>
      <c r="F733" s="41">
        <v>5.3127759227966642E-4</v>
      </c>
      <c r="G733" s="41">
        <v>3.3670947166890121E-3</v>
      </c>
      <c r="H733" s="14">
        <v>0</v>
      </c>
      <c r="I733" s="14">
        <v>7.8171883389654973E-4</v>
      </c>
      <c r="J733" s="14">
        <v>8.8681392888978472E-4</v>
      </c>
      <c r="K733" s="14">
        <v>7.9735265343483508E-4</v>
      </c>
    </row>
    <row r="734" spans="2:11" x14ac:dyDescent="0.25">
      <c r="B734" s="29">
        <v>726</v>
      </c>
      <c r="C734" s="30">
        <v>0.52761627906976749</v>
      </c>
      <c r="D734" s="41">
        <v>-9.101774794291426E-3</v>
      </c>
      <c r="E734" s="41">
        <v>2.1707681179494287E-2</v>
      </c>
      <c r="F734" s="41">
        <v>4.7067106250089363E-3</v>
      </c>
      <c r="G734" s="41">
        <v>9.9000519520668923E-3</v>
      </c>
      <c r="H734" s="14">
        <v>0</v>
      </c>
      <c r="I734" s="14">
        <v>7.9065468435057795E-4</v>
      </c>
      <c r="J734" s="14">
        <v>8.9285714285702866E-4</v>
      </c>
      <c r="K734" s="14">
        <v>7.9889905622678717E-4</v>
      </c>
    </row>
    <row r="735" spans="2:11" x14ac:dyDescent="0.25">
      <c r="B735" s="29">
        <v>727</v>
      </c>
      <c r="C735" s="30">
        <v>0.52834302325581395</v>
      </c>
      <c r="D735" s="41">
        <v>2.0957788144495514E-2</v>
      </c>
      <c r="E735" s="41">
        <v>5.0988514404066709E-3</v>
      </c>
      <c r="F735" s="41">
        <v>7.2831472301126965E-4</v>
      </c>
      <c r="G735" s="41">
        <v>1.2900400526457915E-3</v>
      </c>
      <c r="H735" s="14">
        <v>0</v>
      </c>
      <c r="I735" s="14">
        <v>8.2195412965657688E-4</v>
      </c>
      <c r="J735" s="14">
        <v>9.0549492446267976E-4</v>
      </c>
      <c r="K735" s="14">
        <v>8.0333234156504396E-4</v>
      </c>
    </row>
    <row r="736" spans="2:11" x14ac:dyDescent="0.25">
      <c r="B736" s="29">
        <v>728</v>
      </c>
      <c r="C736" s="30">
        <v>0.52906976744186052</v>
      </c>
      <c r="D736" s="41">
        <v>4.3541524793593075E-3</v>
      </c>
      <c r="E736" s="41">
        <v>-1.2881035878068547E-2</v>
      </c>
      <c r="F736" s="41">
        <v>-1.2420221353047767E-2</v>
      </c>
      <c r="G736" s="41">
        <v>-5.5660507695021628E-3</v>
      </c>
      <c r="H736" s="14">
        <v>0</v>
      </c>
      <c r="I736" s="14">
        <v>8.283454467721274E-4</v>
      </c>
      <c r="J736" s="14">
        <v>9.0738955367775098E-4</v>
      </c>
      <c r="K736" s="14">
        <v>8.3125630187144152E-4</v>
      </c>
    </row>
    <row r="737" spans="2:11" x14ac:dyDescent="0.25">
      <c r="B737" s="29">
        <v>729</v>
      </c>
      <c r="C737" s="30">
        <v>0.52979651162790697</v>
      </c>
      <c r="D737" s="41">
        <v>1.6372556070700839E-3</v>
      </c>
      <c r="E737" s="41">
        <v>9.9443571466539815E-4</v>
      </c>
      <c r="F737" s="41">
        <v>-3.8355426926217628E-4</v>
      </c>
      <c r="G737" s="41">
        <v>4.7151348740710692E-3</v>
      </c>
      <c r="H737" s="14">
        <v>0</v>
      </c>
      <c r="I737" s="14">
        <v>8.6241349571936077E-4</v>
      </c>
      <c r="J737" s="14">
        <v>9.1361283118462921E-4</v>
      </c>
      <c r="K737" s="14">
        <v>8.4609168201432738E-4</v>
      </c>
    </row>
    <row r="738" spans="2:11" x14ac:dyDescent="0.25">
      <c r="B738" s="29">
        <v>730</v>
      </c>
      <c r="C738" s="30">
        <v>0.53052325581395354</v>
      </c>
      <c r="D738" s="41">
        <v>-2.5824737355087436E-2</v>
      </c>
      <c r="E738" s="41">
        <v>-1.1997209245889873E-2</v>
      </c>
      <c r="F738" s="41">
        <v>-5.6245830996897173E-3</v>
      </c>
      <c r="G738" s="41">
        <v>-3.2752410528299699E-3</v>
      </c>
      <c r="H738" s="14">
        <v>0</v>
      </c>
      <c r="I738" s="14">
        <v>8.9463220675933819E-4</v>
      </c>
      <c r="J738" s="14">
        <v>9.2144667127391777E-4</v>
      </c>
      <c r="K738" s="14">
        <v>8.4710471364717347E-4</v>
      </c>
    </row>
    <row r="739" spans="2:11" x14ac:dyDescent="0.25">
      <c r="B739" s="29">
        <v>731</v>
      </c>
      <c r="C739" s="30">
        <v>0.53125</v>
      </c>
      <c r="D739" s="41">
        <v>-1.5593329043519673E-3</v>
      </c>
      <c r="E739" s="41">
        <v>-7.0462535116131431E-3</v>
      </c>
      <c r="F739" s="41">
        <v>-3.3355428845560642E-4</v>
      </c>
      <c r="G739" s="41">
        <v>4.4010269218085043E-3</v>
      </c>
      <c r="H739" s="14">
        <v>0</v>
      </c>
      <c r="I739" s="14">
        <v>9.0255080134249432E-4</v>
      </c>
      <c r="J739" s="14">
        <v>9.2886023385441163E-4</v>
      </c>
      <c r="K739" s="14">
        <v>8.471673505156211E-4</v>
      </c>
    </row>
    <row r="740" spans="2:11" x14ac:dyDescent="0.25">
      <c r="B740" s="29">
        <v>732</v>
      </c>
      <c r="C740" s="30">
        <v>0.53197674418604646</v>
      </c>
      <c r="D740" s="41">
        <v>-1.5347578391956895E-2</v>
      </c>
      <c r="E740" s="41">
        <v>2.7828453047207269E-4</v>
      </c>
      <c r="F740" s="41">
        <v>5.7027595788965435E-3</v>
      </c>
      <c r="G740" s="41">
        <v>-3.6512554515697464E-3</v>
      </c>
      <c r="H740" s="14">
        <v>0</v>
      </c>
      <c r="I740" s="14">
        <v>9.2125466110992704E-4</v>
      </c>
      <c r="J740" s="14">
        <v>9.2922774247372608E-4</v>
      </c>
      <c r="K740" s="14">
        <v>8.557951776617227E-4</v>
      </c>
    </row>
    <row r="741" spans="2:11" x14ac:dyDescent="0.25">
      <c r="B741" s="29">
        <v>733</v>
      </c>
      <c r="C741" s="30">
        <v>0.53270348837209303</v>
      </c>
      <c r="D741" s="41">
        <v>6.9283989532050328E-3</v>
      </c>
      <c r="E741" s="41">
        <v>5.5332302936630384E-3</v>
      </c>
      <c r="F741" s="41">
        <v>1.6801002483191052E-3</v>
      </c>
      <c r="G741" s="41">
        <v>3.7567665653340135E-3</v>
      </c>
      <c r="H741" s="14">
        <v>0</v>
      </c>
      <c r="I741" s="14">
        <v>9.4945217449748931E-4</v>
      </c>
      <c r="J741" s="14">
        <v>9.3720712277423068E-4</v>
      </c>
      <c r="K741" s="14">
        <v>8.6916816630391316E-4</v>
      </c>
    </row>
    <row r="742" spans="2:11" x14ac:dyDescent="0.25">
      <c r="B742" s="29">
        <v>734</v>
      </c>
      <c r="C742" s="30">
        <v>0.53343023255813948</v>
      </c>
      <c r="D742" s="41">
        <v>1.4881222434088537E-4</v>
      </c>
      <c r="E742" s="41">
        <v>2.2479940975744794E-2</v>
      </c>
      <c r="F742" s="41">
        <v>9.7915726390960245E-3</v>
      </c>
      <c r="G742" s="41">
        <v>7.2051140981886251E-3</v>
      </c>
      <c r="H742" s="14">
        <v>0</v>
      </c>
      <c r="I742" s="14">
        <v>9.5450490633353091E-4</v>
      </c>
      <c r="J742" s="14">
        <v>9.3823129613035405E-4</v>
      </c>
      <c r="K742" s="14">
        <v>8.7342459208319414E-4</v>
      </c>
    </row>
    <row r="743" spans="2:11" x14ac:dyDescent="0.25">
      <c r="B743" s="29">
        <v>735</v>
      </c>
      <c r="C743" s="30">
        <v>0.53415697674418605</v>
      </c>
      <c r="D743" s="41">
        <v>5.7531442978426481E-3</v>
      </c>
      <c r="E743" s="41">
        <v>7.1331394081524113E-3</v>
      </c>
      <c r="F743" s="41">
        <v>-1.9388697981226333E-4</v>
      </c>
      <c r="G743" s="41">
        <v>-6.4344721468322817E-3</v>
      </c>
      <c r="H743" s="14">
        <v>1.6530018513538636E-5</v>
      </c>
      <c r="I743" s="14">
        <v>9.5570247698129052E-4</v>
      </c>
      <c r="J743" s="14">
        <v>9.3935302060699222E-4</v>
      </c>
      <c r="K743" s="14">
        <v>8.7352265783915452E-4</v>
      </c>
    </row>
    <row r="744" spans="2:11" x14ac:dyDescent="0.25">
      <c r="B744" s="29">
        <v>736</v>
      </c>
      <c r="C744" s="30">
        <v>0.53488372093023251</v>
      </c>
      <c r="D744" s="41">
        <v>-1.6256258093931557E-3</v>
      </c>
      <c r="E744" s="41">
        <v>2.1941935965368309E-3</v>
      </c>
      <c r="F744" s="41">
        <v>-6.5957383589640983E-3</v>
      </c>
      <c r="G744" s="41">
        <v>2.2537636009872133E-3</v>
      </c>
      <c r="H744" s="14">
        <v>6.0879094119004051E-5</v>
      </c>
      <c r="I744" s="14">
        <v>9.8134463842347586E-4</v>
      </c>
      <c r="J744" s="14">
        <v>9.4068719675211021E-4</v>
      </c>
      <c r="K744" s="14">
        <v>8.9111470260037082E-4</v>
      </c>
    </row>
    <row r="745" spans="2:11" x14ac:dyDescent="0.25">
      <c r="B745" s="29">
        <v>737</v>
      </c>
      <c r="C745" s="30">
        <v>0.53561046511627908</v>
      </c>
      <c r="D745" s="41">
        <v>-1.4621808433412042E-2</v>
      </c>
      <c r="E745" s="41">
        <v>4.5872926037353601E-3</v>
      </c>
      <c r="F745" s="41">
        <v>6.5419532783679291E-3</v>
      </c>
      <c r="G745" s="41">
        <v>7.5366251058004881E-3</v>
      </c>
      <c r="H745" s="14">
        <v>1.4966731774546105E-4</v>
      </c>
      <c r="I745" s="14">
        <v>9.907015582319989E-4</v>
      </c>
      <c r="J745" s="14">
        <v>9.5468184681357648E-4</v>
      </c>
      <c r="K745" s="14">
        <v>8.9926781649234404E-4</v>
      </c>
    </row>
    <row r="746" spans="2:11" x14ac:dyDescent="0.25">
      <c r="B746" s="29">
        <v>738</v>
      </c>
      <c r="C746" s="30">
        <v>0.53633720930232553</v>
      </c>
      <c r="D746" s="41">
        <v>-2.7066495849480263E-2</v>
      </c>
      <c r="E746" s="41">
        <v>-9.7257227575980876E-3</v>
      </c>
      <c r="F746" s="41">
        <v>1.1643320564065363E-3</v>
      </c>
      <c r="G746" s="41">
        <v>-1.3487893263567142E-3</v>
      </c>
      <c r="H746" s="14">
        <v>1.5017395955418955E-4</v>
      </c>
      <c r="I746" s="14">
        <v>9.9443571466539815E-4</v>
      </c>
      <c r="J746" s="14">
        <v>9.6355356940702741E-4</v>
      </c>
      <c r="K746" s="14">
        <v>9.0572488746945015E-4</v>
      </c>
    </row>
    <row r="747" spans="2:11" x14ac:dyDescent="0.25">
      <c r="B747" s="29">
        <v>739</v>
      </c>
      <c r="C747" s="30">
        <v>0.5370639534883721</v>
      </c>
      <c r="D747" s="41">
        <v>6.2871766184645845E-3</v>
      </c>
      <c r="E747" s="41">
        <v>-2.1109680510226214E-3</v>
      </c>
      <c r="F747" s="41">
        <v>-4.8488379708511165E-4</v>
      </c>
      <c r="G747" s="41">
        <v>6.3497616386688494E-3</v>
      </c>
      <c r="H747" s="14">
        <v>1.5032479415588718E-4</v>
      </c>
      <c r="I747" s="14">
        <v>1.093331603769343E-3</v>
      </c>
      <c r="J747" s="14">
        <v>9.8457067860358016E-4</v>
      </c>
      <c r="K747" s="14">
        <v>9.1573937418398799E-4</v>
      </c>
    </row>
    <row r="748" spans="2:11" x14ac:dyDescent="0.25">
      <c r="B748" s="29">
        <v>740</v>
      </c>
      <c r="C748" s="30">
        <v>0.53779069767441856</v>
      </c>
      <c r="D748" s="41">
        <v>-1.1098568640721637E-2</v>
      </c>
      <c r="E748" s="41">
        <v>-1.2962657344755657E-2</v>
      </c>
      <c r="F748" s="41">
        <v>-3.3829351769116833E-3</v>
      </c>
      <c r="G748" s="41">
        <v>-5.5301323597391604E-3</v>
      </c>
      <c r="H748" s="14">
        <v>1.5044532732577665E-4</v>
      </c>
      <c r="I748" s="14">
        <v>1.1582452584335545E-3</v>
      </c>
      <c r="J748" s="14">
        <v>9.9162080420445164E-4</v>
      </c>
      <c r="K748" s="14">
        <v>9.2979398430872453E-4</v>
      </c>
    </row>
    <row r="749" spans="2:11" x14ac:dyDescent="0.25">
      <c r="B749" s="29">
        <v>741</v>
      </c>
      <c r="C749" s="30">
        <v>0.53851744186046513</v>
      </c>
      <c r="D749" s="41">
        <v>1.4367429946204309E-2</v>
      </c>
      <c r="E749" s="41">
        <v>-3.5720257185856141E-4</v>
      </c>
      <c r="F749" s="41">
        <v>-1.1465664896959216E-2</v>
      </c>
      <c r="G749" s="41">
        <v>-3.893470941613875E-3</v>
      </c>
      <c r="H749" s="14">
        <v>1.5769296503576058E-4</v>
      </c>
      <c r="I749" s="14">
        <v>1.1639123398623497E-3</v>
      </c>
      <c r="J749" s="14">
        <v>1.0081209745169684E-3</v>
      </c>
      <c r="K749" s="14">
        <v>9.3200898743370795E-4</v>
      </c>
    </row>
    <row r="750" spans="2:11" x14ac:dyDescent="0.25">
      <c r="B750" s="29">
        <v>742</v>
      </c>
      <c r="C750" s="30">
        <v>0.53924418604651159</v>
      </c>
      <c r="D750" s="41">
        <v>-6.9257281843906398E-3</v>
      </c>
      <c r="E750" s="41">
        <v>1.2194843801081046E-2</v>
      </c>
      <c r="F750" s="41">
        <v>9.0141642047771864E-3</v>
      </c>
      <c r="G750" s="41">
        <v>2.0930197189215956E-3</v>
      </c>
      <c r="H750" s="14">
        <v>1.5924904903608095E-4</v>
      </c>
      <c r="I750" s="14">
        <v>1.1974049682492716E-3</v>
      </c>
      <c r="J750" s="14">
        <v>1.0178117048347257E-3</v>
      </c>
      <c r="K750" s="14">
        <v>9.3901344402476145E-4</v>
      </c>
    </row>
    <row r="751" spans="2:11" x14ac:dyDescent="0.25">
      <c r="B751" s="29">
        <v>743</v>
      </c>
      <c r="C751" s="30">
        <v>0.53997093023255816</v>
      </c>
      <c r="D751" s="41">
        <v>-1.384542970979823E-2</v>
      </c>
      <c r="E751" s="41">
        <v>1.5097457467983633E-2</v>
      </c>
      <c r="F751" s="41">
        <v>3.3857166687660811E-3</v>
      </c>
      <c r="G751" s="41">
        <v>5.3036556092791905E-3</v>
      </c>
      <c r="H751" s="14">
        <v>1.6153721735268078E-4</v>
      </c>
      <c r="I751" s="14">
        <v>1.2360302827418845E-3</v>
      </c>
      <c r="J751" s="14">
        <v>1.030343619597085E-3</v>
      </c>
      <c r="K751" s="14">
        <v>9.5130216276739798E-4</v>
      </c>
    </row>
    <row r="752" spans="2:11" x14ac:dyDescent="0.25">
      <c r="B752" s="29">
        <v>744</v>
      </c>
      <c r="C752" s="30">
        <v>0.54069767441860461</v>
      </c>
      <c r="D752" s="41">
        <v>-2.3157196171831197E-3</v>
      </c>
      <c r="E752" s="41">
        <v>1.573125161863187E-2</v>
      </c>
      <c r="F752" s="41">
        <v>2.4242978909090329E-3</v>
      </c>
      <c r="G752" s="41">
        <v>-2.7400389026293495E-3</v>
      </c>
      <c r="H752" s="14">
        <v>1.6850148879465898E-4</v>
      </c>
      <c r="I752" s="14">
        <v>1.2632680520257011E-3</v>
      </c>
      <c r="J752" s="14">
        <v>1.0312236561256238E-3</v>
      </c>
      <c r="K752" s="14">
        <v>9.5312534713387674E-4</v>
      </c>
    </row>
    <row r="753" spans="2:11" x14ac:dyDescent="0.25">
      <c r="B753" s="29">
        <v>745</v>
      </c>
      <c r="C753" s="30">
        <v>0.54142441860465118</v>
      </c>
      <c r="D753" s="41">
        <v>9.2158269708862463E-3</v>
      </c>
      <c r="E753" s="41">
        <v>6.0100093974693181E-3</v>
      </c>
      <c r="F753" s="41">
        <v>6.4412457362412745E-3</v>
      </c>
      <c r="G753" s="41">
        <v>7.4952127438041149E-3</v>
      </c>
      <c r="H753" s="14">
        <v>1.755063546609037E-4</v>
      </c>
      <c r="I753" s="14">
        <v>1.2833743483897653E-3</v>
      </c>
      <c r="J753" s="14">
        <v>1.0340477564074746E-3</v>
      </c>
      <c r="K753" s="14">
        <v>9.6292892806477699E-4</v>
      </c>
    </row>
    <row r="754" spans="2:11" x14ac:dyDescent="0.25">
      <c r="B754" s="29">
        <v>746</v>
      </c>
      <c r="C754" s="30">
        <v>0.54215116279069764</v>
      </c>
      <c r="D754" s="41">
        <v>-4.9528700388387289E-3</v>
      </c>
      <c r="E754" s="41">
        <v>7.4296141814389483E-3</v>
      </c>
      <c r="F754" s="41">
        <v>2.6419797278018908E-3</v>
      </c>
      <c r="G754" s="41">
        <v>3.2262562211856417E-3</v>
      </c>
      <c r="H754" s="14">
        <v>1.7572211466743148E-4</v>
      </c>
      <c r="I754" s="14">
        <v>1.3570806854661388E-3</v>
      </c>
      <c r="J754" s="14">
        <v>1.0381384021367346E-3</v>
      </c>
      <c r="K754" s="14">
        <v>9.7917826055666807E-4</v>
      </c>
    </row>
    <row r="755" spans="2:11" x14ac:dyDescent="0.25">
      <c r="B755" s="29">
        <v>747</v>
      </c>
      <c r="C755" s="30">
        <v>0.54287790697674421</v>
      </c>
      <c r="D755" s="41">
        <v>9.0052833882023359E-3</v>
      </c>
      <c r="E755" s="41">
        <v>0</v>
      </c>
      <c r="F755" s="41">
        <v>-1.0752780655349792E-3</v>
      </c>
      <c r="G755" s="41">
        <v>-2.1505561310699586E-4</v>
      </c>
      <c r="H755" s="14">
        <v>1.904986637812911E-4</v>
      </c>
      <c r="I755" s="14">
        <v>1.3593597262950841E-3</v>
      </c>
      <c r="J755" s="14">
        <v>1.0612706608852385E-3</v>
      </c>
      <c r="K755" s="14">
        <v>9.8620594893761271E-4</v>
      </c>
    </row>
    <row r="756" spans="2:11" x14ac:dyDescent="0.25">
      <c r="B756" s="29">
        <v>748</v>
      </c>
      <c r="C756" s="30">
        <v>0.54360465116279066</v>
      </c>
      <c r="D756" s="41">
        <v>1.0199515254304334E-2</v>
      </c>
      <c r="E756" s="41">
        <v>-2.2282600882679304E-3</v>
      </c>
      <c r="F756" s="41">
        <v>-1.9023477514885645E-3</v>
      </c>
      <c r="G756" s="41">
        <v>1.0585842005383038E-3</v>
      </c>
      <c r="H756" s="14">
        <v>2.8341363386297225E-4</v>
      </c>
      <c r="I756" s="14">
        <v>1.3665011991745857E-3</v>
      </c>
      <c r="J756" s="14">
        <v>1.0869065442404846E-3</v>
      </c>
      <c r="K756" s="14">
        <v>1.0160557736869525E-3</v>
      </c>
    </row>
    <row r="757" spans="2:11" x14ac:dyDescent="0.25">
      <c r="B757" s="29">
        <v>749</v>
      </c>
      <c r="C757" s="30">
        <v>0.54433139534883723</v>
      </c>
      <c r="D757" s="41">
        <v>1.1140220272815391E-2</v>
      </c>
      <c r="E757" s="41">
        <v>5.5758868109385684E-3</v>
      </c>
      <c r="F757" s="41">
        <v>2.5429915346941723E-3</v>
      </c>
      <c r="G757" s="41">
        <v>3.9655374368204217E-3</v>
      </c>
      <c r="H757" s="14">
        <v>2.867731497897541E-4</v>
      </c>
      <c r="I757" s="14">
        <v>1.4271963888612405E-3</v>
      </c>
      <c r="J757" s="14">
        <v>1.093428628807791E-3</v>
      </c>
      <c r="K757" s="14">
        <v>1.0291064548860088E-3</v>
      </c>
    </row>
    <row r="758" spans="2:11" x14ac:dyDescent="0.25">
      <c r="B758" s="29">
        <v>750</v>
      </c>
      <c r="C758" s="30">
        <v>0.54505813953488369</v>
      </c>
      <c r="D758" s="41">
        <v>-3.6724911677961892E-3</v>
      </c>
      <c r="E758" s="41">
        <v>-1.0316220824436728E-3</v>
      </c>
      <c r="F758" s="41">
        <v>4.3714950110058659E-3</v>
      </c>
      <c r="G758" s="41">
        <v>-3.9541145776615045E-3</v>
      </c>
      <c r="H758" s="14">
        <v>2.9187990447732126E-4</v>
      </c>
      <c r="I758" s="14">
        <v>1.436742289482984E-3</v>
      </c>
      <c r="J758" s="14">
        <v>1.1030478955007528E-3</v>
      </c>
      <c r="K758" s="14">
        <v>1.0394035572382169E-3</v>
      </c>
    </row>
    <row r="759" spans="2:11" x14ac:dyDescent="0.25">
      <c r="B759" s="29">
        <v>751</v>
      </c>
      <c r="C759" s="30">
        <v>0.54578488372093026</v>
      </c>
      <c r="D759" s="41">
        <v>1.4384357236599513E-2</v>
      </c>
      <c r="E759" s="41">
        <v>6.3538962435993884E-3</v>
      </c>
      <c r="F759" s="41">
        <v>-9.8133128635291555E-4</v>
      </c>
      <c r="G759" s="41">
        <v>2.9635182110286707E-3</v>
      </c>
      <c r="H759" s="14">
        <v>3.0454905823806833E-4</v>
      </c>
      <c r="I759" s="14">
        <v>1.4495618369900765E-3</v>
      </c>
      <c r="J759" s="14">
        <v>1.1103983052644928E-3</v>
      </c>
      <c r="K759" s="14">
        <v>1.0440428971004057E-3</v>
      </c>
    </row>
    <row r="760" spans="2:11" x14ac:dyDescent="0.25">
      <c r="B760" s="29">
        <v>752</v>
      </c>
      <c r="C760" s="30">
        <v>0.54651162790697672</v>
      </c>
      <c r="D760" s="41">
        <v>-2.0913498569342633E-3</v>
      </c>
      <c r="E760" s="41">
        <v>-2.9787355338920518E-3</v>
      </c>
      <c r="F760" s="41">
        <v>5.0303156285447237E-3</v>
      </c>
      <c r="G760" s="41">
        <v>-7.1813009486479725E-3</v>
      </c>
      <c r="H760" s="14">
        <v>3.0840740051707449E-4</v>
      </c>
      <c r="I760" s="14">
        <v>1.5410910924933408E-3</v>
      </c>
      <c r="J760" s="14">
        <v>1.1122411859836312E-3</v>
      </c>
      <c r="K760" s="14">
        <v>1.0505878457816476E-3</v>
      </c>
    </row>
    <row r="761" spans="2:11" x14ac:dyDescent="0.25">
      <c r="B761" s="29">
        <v>753</v>
      </c>
      <c r="C761" s="30">
        <v>0.54723837209302328</v>
      </c>
      <c r="D761" s="41">
        <v>8.2019387592171152E-3</v>
      </c>
      <c r="E761" s="41">
        <v>-3.9596883710957265E-3</v>
      </c>
      <c r="F761" s="41">
        <v>-4.0277027358908146E-3</v>
      </c>
      <c r="G761" s="41">
        <v>-4.2044246216199621E-3</v>
      </c>
      <c r="H761" s="14">
        <v>3.1089385993543495E-4</v>
      </c>
      <c r="I761" s="14">
        <v>1.5538158130639079E-3</v>
      </c>
      <c r="J761" s="14">
        <v>1.1159528111384098E-3</v>
      </c>
      <c r="K761" s="14">
        <v>1.0573999598554981E-3</v>
      </c>
    </row>
    <row r="762" spans="2:11" x14ac:dyDescent="0.25">
      <c r="B762" s="29">
        <v>754</v>
      </c>
      <c r="C762" s="30">
        <v>0.54796511627906974</v>
      </c>
      <c r="D762" s="41">
        <v>-4.3206198179491255E-3</v>
      </c>
      <c r="E762" s="41">
        <v>3.3080742845661426E-3</v>
      </c>
      <c r="F762" s="41">
        <v>-2.6942294503772279E-3</v>
      </c>
      <c r="G762" s="41">
        <v>2.8881706400202714E-3</v>
      </c>
      <c r="H762" s="14">
        <v>3.4488944367860874E-4</v>
      </c>
      <c r="I762" s="14">
        <v>1.567955515324071E-3</v>
      </c>
      <c r="J762" s="14">
        <v>1.1176157530601305E-3</v>
      </c>
      <c r="K762" s="14">
        <v>1.0585842005383038E-3</v>
      </c>
    </row>
    <row r="763" spans="2:11" x14ac:dyDescent="0.25">
      <c r="B763" s="29">
        <v>755</v>
      </c>
      <c r="C763" s="30">
        <v>0.54869186046511631</v>
      </c>
      <c r="D763" s="41">
        <v>-6.467716711667292E-3</v>
      </c>
      <c r="E763" s="41">
        <v>8.1892759821766692E-3</v>
      </c>
      <c r="F763" s="41">
        <v>-3.8063634589108331E-3</v>
      </c>
      <c r="G763" s="41">
        <v>1.9563630586050484E-3</v>
      </c>
      <c r="H763" s="14">
        <v>3.4506801997413739E-4</v>
      </c>
      <c r="I763" s="14">
        <v>1.5824199402791894E-3</v>
      </c>
      <c r="J763" s="14">
        <v>1.1232633757018995E-3</v>
      </c>
      <c r="K763" s="14">
        <v>1.060451332459134E-3</v>
      </c>
    </row>
    <row r="764" spans="2:11" x14ac:dyDescent="0.25">
      <c r="B764" s="29">
        <v>756</v>
      </c>
      <c r="C764" s="30">
        <v>0.54941860465116277</v>
      </c>
      <c r="D764" s="41">
        <v>2.0920949633214526E-3</v>
      </c>
      <c r="E764" s="41">
        <v>6.4982051900512872E-3</v>
      </c>
      <c r="F764" s="41">
        <v>2.7402622822469969E-3</v>
      </c>
      <c r="G764" s="41">
        <v>-6.9478911405469485E-4</v>
      </c>
      <c r="H764" s="14">
        <v>3.5069604770643359E-4</v>
      </c>
      <c r="I764" s="14">
        <v>1.5858695498949249E-3</v>
      </c>
      <c r="J764" s="14">
        <v>1.1312269933776431E-3</v>
      </c>
      <c r="K764" s="14">
        <v>1.072178176126792E-3</v>
      </c>
    </row>
    <row r="765" spans="2:11" x14ac:dyDescent="0.25">
      <c r="B765" s="29">
        <v>757</v>
      </c>
      <c r="C765" s="30">
        <v>0.55014534883720934</v>
      </c>
      <c r="D765" s="41">
        <v>-9.1290308829819235E-3</v>
      </c>
      <c r="E765" s="41">
        <v>-7.8447680401471098E-3</v>
      </c>
      <c r="F765" s="41">
        <v>4.3247493611164867E-3</v>
      </c>
      <c r="G765" s="41">
        <v>-2.5550945330438338E-3</v>
      </c>
      <c r="H765" s="14">
        <v>3.5150002636252786E-4</v>
      </c>
      <c r="I765" s="14">
        <v>1.5902984532714104E-3</v>
      </c>
      <c r="J765" s="14">
        <v>1.1344605909997529E-3</v>
      </c>
      <c r="K765" s="14">
        <v>1.0726626084032632E-3</v>
      </c>
    </row>
    <row r="766" spans="2:11" x14ac:dyDescent="0.25">
      <c r="B766" s="29">
        <v>758</v>
      </c>
      <c r="C766" s="30">
        <v>0.55087209302325579</v>
      </c>
      <c r="D766" s="41">
        <v>-7.1901477705767934E-3</v>
      </c>
      <c r="E766" s="41">
        <v>-2.17028380634392E-2</v>
      </c>
      <c r="F766" s="41">
        <v>-2.2670509125840344E-2</v>
      </c>
      <c r="G766" s="41">
        <v>-1.5332759549220309E-2</v>
      </c>
      <c r="H766" s="14">
        <v>3.5534027669714696E-4</v>
      </c>
      <c r="I766" s="14">
        <v>1.6322009938936066E-3</v>
      </c>
      <c r="J766" s="14">
        <v>1.1355198797169397E-3</v>
      </c>
      <c r="K766" s="14">
        <v>1.0726721403116586E-3</v>
      </c>
    </row>
    <row r="767" spans="2:11" x14ac:dyDescent="0.25">
      <c r="B767" s="29">
        <v>759</v>
      </c>
      <c r="C767" s="30">
        <v>0.55159883720930236</v>
      </c>
      <c r="D767" s="41">
        <v>6.8859027107535779E-4</v>
      </c>
      <c r="E767" s="41">
        <v>1.5902984532714104E-3</v>
      </c>
      <c r="F767" s="41">
        <v>-8.6658413484431707E-3</v>
      </c>
      <c r="G767" s="41">
        <v>1.0926652762133227E-4</v>
      </c>
      <c r="H767" s="14">
        <v>3.6354193715903982E-4</v>
      </c>
      <c r="I767" s="14">
        <v>1.6372737053842457E-3</v>
      </c>
      <c r="J767" s="14">
        <v>1.1449835408616771E-3</v>
      </c>
      <c r="K767" s="14">
        <v>1.0749727324839587E-3</v>
      </c>
    </row>
    <row r="768" spans="2:11" x14ac:dyDescent="0.25">
      <c r="B768" s="29">
        <v>760</v>
      </c>
      <c r="C768" s="30">
        <v>0.55232558139534882</v>
      </c>
      <c r="D768" s="41">
        <v>2.4728600602055749E-2</v>
      </c>
      <c r="E768" s="41">
        <v>-1.328219591238966E-2</v>
      </c>
      <c r="F768" s="41">
        <v>9.0549492446267976E-4</v>
      </c>
      <c r="G768" s="41">
        <v>3.8530101494733239E-3</v>
      </c>
      <c r="H768" s="14">
        <v>4.6478868351318425E-4</v>
      </c>
      <c r="I768" s="14">
        <v>1.6698687447256333E-3</v>
      </c>
      <c r="J768" s="14">
        <v>1.1643320564065363E-3</v>
      </c>
      <c r="K768" s="14">
        <v>1.0890901043472123E-3</v>
      </c>
    </row>
    <row r="769" spans="2:11" x14ac:dyDescent="0.25">
      <c r="B769" s="29">
        <v>761</v>
      </c>
      <c r="C769" s="30">
        <v>0.55305232558139539</v>
      </c>
      <c r="D769" s="41">
        <v>-2.4908569806444481E-3</v>
      </c>
      <c r="E769" s="41">
        <v>-2.9611233164581474E-3</v>
      </c>
      <c r="F769" s="41">
        <v>2.340689786949568E-3</v>
      </c>
      <c r="G769" s="41">
        <v>3.504411689101072E-3</v>
      </c>
      <c r="H769" s="14">
        <v>4.6981380361943437E-4</v>
      </c>
      <c r="I769" s="14">
        <v>1.6836584824146961E-3</v>
      </c>
      <c r="J769" s="14">
        <v>1.1679514132210134E-3</v>
      </c>
      <c r="K769" s="14">
        <v>1.1150913419722742E-3</v>
      </c>
    </row>
    <row r="770" spans="2:11" x14ac:dyDescent="0.25">
      <c r="B770" s="29">
        <v>762</v>
      </c>
      <c r="C770" s="30">
        <v>0.55377906976744184</v>
      </c>
      <c r="D770" s="41">
        <v>1.2615476235211838E-2</v>
      </c>
      <c r="E770" s="41">
        <v>-6.7652217489351241E-3</v>
      </c>
      <c r="F770" s="41">
        <v>-1.7828657220606225E-2</v>
      </c>
      <c r="G770" s="41">
        <v>-5.9979413350681248E-3</v>
      </c>
      <c r="H770" s="14">
        <v>5.1719762611002196E-4</v>
      </c>
      <c r="I770" s="14">
        <v>1.7860468265924467E-3</v>
      </c>
      <c r="J770" s="14">
        <v>1.181691374816829E-3</v>
      </c>
      <c r="K770" s="14">
        <v>1.1158157926115743E-3</v>
      </c>
    </row>
    <row r="771" spans="2:11" x14ac:dyDescent="0.25">
      <c r="B771" s="29">
        <v>763</v>
      </c>
      <c r="C771" s="30">
        <v>0.55450581395348841</v>
      </c>
      <c r="D771" s="41">
        <v>4.4663801550370412E-3</v>
      </c>
      <c r="E771" s="41">
        <v>1.118893571555768E-2</v>
      </c>
      <c r="F771" s="41">
        <v>2.8229980239014019E-3</v>
      </c>
      <c r="G771" s="41">
        <v>2.7137968810820642E-3</v>
      </c>
      <c r="H771" s="14">
        <v>5.2673330079278102E-4</v>
      </c>
      <c r="I771" s="14">
        <v>1.7951856385149956E-3</v>
      </c>
      <c r="J771" s="14">
        <v>1.1942482856852621E-3</v>
      </c>
      <c r="K771" s="14">
        <v>1.1158555983941333E-3</v>
      </c>
    </row>
    <row r="772" spans="2:11" x14ac:dyDescent="0.25">
      <c r="B772" s="29">
        <v>764</v>
      </c>
      <c r="C772" s="30">
        <v>0.55523255813953487</v>
      </c>
      <c r="D772" s="41">
        <v>-1.316080856945707E-2</v>
      </c>
      <c r="E772" s="41">
        <v>1.8784303366501387E-3</v>
      </c>
      <c r="F772" s="41">
        <v>1.2719649502990205E-3</v>
      </c>
      <c r="G772" s="41">
        <v>-2.3305111753759713E-4</v>
      </c>
      <c r="H772" s="14">
        <v>5.9888258556628493E-4</v>
      </c>
      <c r="I772" s="14">
        <v>1.8122600022811852E-3</v>
      </c>
      <c r="J772" s="14">
        <v>1.2099213551119981E-3</v>
      </c>
      <c r="K772" s="14">
        <v>1.1208892721613407E-3</v>
      </c>
    </row>
    <row r="773" spans="2:11" x14ac:dyDescent="0.25">
      <c r="B773" s="29">
        <v>765</v>
      </c>
      <c r="C773" s="30">
        <v>0.55595930232558144</v>
      </c>
      <c r="D773" s="41">
        <v>3.9522402395199873E-3</v>
      </c>
      <c r="E773" s="41">
        <v>-1.7848249597187671E-2</v>
      </c>
      <c r="F773" s="41">
        <v>-9.4727018198784707E-3</v>
      </c>
      <c r="G773" s="41">
        <v>-3.3728115525227809E-3</v>
      </c>
      <c r="H773" s="14">
        <v>5.9979007347421565E-4</v>
      </c>
      <c r="I773" s="14">
        <v>1.8526799974445396E-3</v>
      </c>
      <c r="J773" s="14">
        <v>1.2121212121212199E-3</v>
      </c>
      <c r="K773" s="14">
        <v>1.126965586604367E-3</v>
      </c>
    </row>
    <row r="774" spans="2:11" x14ac:dyDescent="0.25">
      <c r="B774" s="29">
        <v>766</v>
      </c>
      <c r="C774" s="30">
        <v>0.5566860465116279</v>
      </c>
      <c r="D774" s="41">
        <v>-1.2079399452057712E-2</v>
      </c>
      <c r="E774" s="41">
        <v>-9.1795112711869908E-3</v>
      </c>
      <c r="F774" s="41">
        <v>1.1679514132210134E-3</v>
      </c>
      <c r="G774" s="41">
        <v>-1.6683027214058567E-3</v>
      </c>
      <c r="H774" s="14">
        <v>6.0078101531990669E-4</v>
      </c>
      <c r="I774" s="14">
        <v>1.8545184797311709E-3</v>
      </c>
      <c r="J774" s="14">
        <v>1.2128268568378786E-3</v>
      </c>
      <c r="K774" s="14">
        <v>1.1313953958744355E-3</v>
      </c>
    </row>
    <row r="775" spans="2:11" x14ac:dyDescent="0.25">
      <c r="B775" s="29">
        <v>767</v>
      </c>
      <c r="C775" s="30">
        <v>0.55741279069767447</v>
      </c>
      <c r="D775" s="41">
        <v>-1.5758806875199302E-2</v>
      </c>
      <c r="E775" s="41">
        <v>-5.0424468661569577E-4</v>
      </c>
      <c r="F775" s="41">
        <v>3.7985368598760783E-3</v>
      </c>
      <c r="G775" s="41">
        <v>2.0490294905515238E-3</v>
      </c>
      <c r="H775" s="14">
        <v>6.2656641603986429E-4</v>
      </c>
      <c r="I775" s="14">
        <v>1.8611347654708954E-3</v>
      </c>
      <c r="J775" s="14">
        <v>1.2257633162469084E-3</v>
      </c>
      <c r="K775" s="14">
        <v>1.1341580032206533E-3</v>
      </c>
    </row>
    <row r="776" spans="2:11" x14ac:dyDescent="0.25">
      <c r="B776" s="29">
        <v>768</v>
      </c>
      <c r="C776" s="30">
        <v>0.55813953488372092</v>
      </c>
      <c r="D776" s="41">
        <v>2.2269330734185733E-3</v>
      </c>
      <c r="E776" s="41">
        <v>-4.4200143066901454E-3</v>
      </c>
      <c r="F776" s="41">
        <v>-1.4066676044433013E-4</v>
      </c>
      <c r="G776" s="41">
        <v>2.9704120882720895E-4</v>
      </c>
      <c r="H776" s="14">
        <v>6.4599483204119679E-4</v>
      </c>
      <c r="I776" s="14">
        <v>1.8634125827476922E-3</v>
      </c>
      <c r="J776" s="14">
        <v>1.2363823186101186E-3</v>
      </c>
      <c r="K776" s="14">
        <v>1.1370349618113008E-3</v>
      </c>
    </row>
    <row r="777" spans="2:11" x14ac:dyDescent="0.25">
      <c r="B777" s="29">
        <v>769</v>
      </c>
      <c r="C777" s="30">
        <v>0.55886627906976749</v>
      </c>
      <c r="D777" s="41">
        <v>1.7036364905435319E-2</v>
      </c>
      <c r="E777" s="41">
        <v>-1.2744104433587089E-2</v>
      </c>
      <c r="F777" s="41">
        <v>-9.244634395614848E-3</v>
      </c>
      <c r="G777" s="41">
        <v>-8.1556366626333032E-3</v>
      </c>
      <c r="H777" s="14">
        <v>6.4648828333391251E-4</v>
      </c>
      <c r="I777" s="14">
        <v>1.8784303366501387E-3</v>
      </c>
      <c r="J777" s="14">
        <v>1.2432047266914825E-3</v>
      </c>
      <c r="K777" s="14">
        <v>1.1427198321823484E-3</v>
      </c>
    </row>
    <row r="778" spans="2:11" x14ac:dyDescent="0.25">
      <c r="B778" s="29">
        <v>770</v>
      </c>
      <c r="C778" s="30">
        <v>0.55959302325581395</v>
      </c>
      <c r="D778" s="41">
        <v>1.1032550169856721E-2</v>
      </c>
      <c r="E778" s="41">
        <v>6.4198325327695649E-3</v>
      </c>
      <c r="F778" s="41">
        <v>-3.5181927599295948E-3</v>
      </c>
      <c r="G778" s="41">
        <v>-3.0540144491021833E-3</v>
      </c>
      <c r="H778" s="14">
        <v>6.6258075202929589E-4</v>
      </c>
      <c r="I778" s="14">
        <v>1.8835938971557553E-3</v>
      </c>
      <c r="J778" s="14">
        <v>1.2455415274867931E-3</v>
      </c>
      <c r="K778" s="14">
        <v>1.1466457255784324E-3</v>
      </c>
    </row>
    <row r="779" spans="2:11" x14ac:dyDescent="0.25">
      <c r="B779" s="29">
        <v>771</v>
      </c>
      <c r="C779" s="30">
        <v>0.56031976744186052</v>
      </c>
      <c r="D779" s="41">
        <v>-9.883734345417984E-5</v>
      </c>
      <c r="E779" s="41">
        <v>-1.0215344330179454E-2</v>
      </c>
      <c r="F779" s="41">
        <v>1.8086537123778168E-3</v>
      </c>
      <c r="G779" s="41">
        <v>8.1446243883029016E-3</v>
      </c>
      <c r="H779" s="14">
        <v>6.6841650499682714E-4</v>
      </c>
      <c r="I779" s="14">
        <v>1.8850041001501339E-3</v>
      </c>
      <c r="J779" s="14">
        <v>1.2507477296208602E-3</v>
      </c>
      <c r="K779" s="14">
        <v>1.1510621021566525E-3</v>
      </c>
    </row>
    <row r="780" spans="2:11" x14ac:dyDescent="0.25">
      <c r="B780" s="29">
        <v>772</v>
      </c>
      <c r="C780" s="30">
        <v>0.56104651162790697</v>
      </c>
      <c r="D780" s="41">
        <v>6.0286063164901038E-3</v>
      </c>
      <c r="E780" s="41">
        <v>-1.9149574325727503E-3</v>
      </c>
      <c r="F780" s="41">
        <v>7.6168224299064669E-3</v>
      </c>
      <c r="G780" s="41">
        <v>6.9183619700572416E-3</v>
      </c>
      <c r="H780" s="14">
        <v>6.84697021567926E-4</v>
      </c>
      <c r="I780" s="14">
        <v>1.9222249217532017E-3</v>
      </c>
      <c r="J780" s="14">
        <v>1.2551655392354366E-3</v>
      </c>
      <c r="K780" s="14">
        <v>1.1542855861990556E-3</v>
      </c>
    </row>
    <row r="781" spans="2:11" x14ac:dyDescent="0.25">
      <c r="B781" s="29">
        <v>773</v>
      </c>
      <c r="C781" s="30">
        <v>0.56177325581395354</v>
      </c>
      <c r="D781" s="41">
        <v>-1.1961800804423911E-2</v>
      </c>
      <c r="E781" s="41">
        <v>-1.2613653875789721E-2</v>
      </c>
      <c r="F781" s="41">
        <v>-2.9352839770768746E-3</v>
      </c>
      <c r="G781" s="41">
        <v>-3.6100097826909485E-3</v>
      </c>
      <c r="H781" s="14">
        <v>6.8909338816847132E-4</v>
      </c>
      <c r="I781" s="14">
        <v>1.9238194590274205E-3</v>
      </c>
      <c r="J781" s="14">
        <v>1.2566760917371855E-3</v>
      </c>
      <c r="K781" s="14">
        <v>1.1590851045522265E-3</v>
      </c>
    </row>
    <row r="782" spans="2:11" x14ac:dyDescent="0.25">
      <c r="B782" s="29">
        <v>774</v>
      </c>
      <c r="C782" s="30">
        <v>0.5625</v>
      </c>
      <c r="D782" s="41">
        <v>2.7511854768275516E-3</v>
      </c>
      <c r="E782" s="41">
        <v>1.599775251086677E-2</v>
      </c>
      <c r="F782" s="41">
        <v>6.7545382053568748E-3</v>
      </c>
      <c r="G782" s="41">
        <v>3.7253413296115308E-3</v>
      </c>
      <c r="H782" s="14">
        <v>6.916161530350351E-4</v>
      </c>
      <c r="I782" s="14">
        <v>1.9468313641246571E-3</v>
      </c>
      <c r="J782" s="14">
        <v>1.2703789964005896E-3</v>
      </c>
      <c r="K782" s="14">
        <v>1.1649152976342058E-3</v>
      </c>
    </row>
    <row r="783" spans="2:11" x14ac:dyDescent="0.25">
      <c r="B783" s="29">
        <v>775</v>
      </c>
      <c r="C783" s="30">
        <v>0.56322674418604646</v>
      </c>
      <c r="D783" s="41">
        <v>1.7782039994054085E-2</v>
      </c>
      <c r="E783" s="41">
        <v>-2.8957009977494952E-3</v>
      </c>
      <c r="F783" s="41">
        <v>1.3151096707526566E-3</v>
      </c>
      <c r="G783" s="41">
        <v>-2.2067338747853165E-3</v>
      </c>
      <c r="H783" s="14">
        <v>6.958711644244886E-4</v>
      </c>
      <c r="I783" s="14">
        <v>1.9558985076224555E-3</v>
      </c>
      <c r="J783" s="14">
        <v>1.2719649502990205E-3</v>
      </c>
      <c r="K783" s="14">
        <v>1.2260808831950243E-3</v>
      </c>
    </row>
    <row r="784" spans="2:11" x14ac:dyDescent="0.25">
      <c r="B784" s="29">
        <v>776</v>
      </c>
      <c r="C784" s="30">
        <v>0.56395348837209303</v>
      </c>
      <c r="D784" s="41">
        <v>2.7656078117842893E-3</v>
      </c>
      <c r="E784" s="41">
        <v>2.273987798114252E-2</v>
      </c>
      <c r="F784" s="41">
        <v>7.3334595003786696E-3</v>
      </c>
      <c r="G784" s="41">
        <v>3.9179062504274935E-3</v>
      </c>
      <c r="H784" s="14">
        <v>7.1058775758792159E-4</v>
      </c>
      <c r="I784" s="14">
        <v>1.9703236863946039E-3</v>
      </c>
      <c r="J784" s="14">
        <v>1.2780295108631989E-3</v>
      </c>
      <c r="K784" s="14">
        <v>1.22653801237953E-3</v>
      </c>
    </row>
    <row r="785" spans="2:11" x14ac:dyDescent="0.25">
      <c r="B785" s="29">
        <v>777</v>
      </c>
      <c r="C785" s="30">
        <v>0.56468023255813948</v>
      </c>
      <c r="D785" s="41">
        <v>-1.010892755736075E-2</v>
      </c>
      <c r="E785" s="41">
        <v>2.3273680404916064E-3</v>
      </c>
      <c r="F785" s="41">
        <v>-9.461633077867404E-5</v>
      </c>
      <c r="G785" s="41">
        <v>4.231329608539449E-5</v>
      </c>
      <c r="H785" s="14">
        <v>7.1608560825153766E-4</v>
      </c>
      <c r="I785" s="14">
        <v>2.02935207788002E-3</v>
      </c>
      <c r="J785" s="14">
        <v>1.278695694004961E-3</v>
      </c>
      <c r="K785" s="14">
        <v>1.2270376410625783E-3</v>
      </c>
    </row>
    <row r="786" spans="2:11" x14ac:dyDescent="0.25">
      <c r="B786" s="29">
        <v>778</v>
      </c>
      <c r="C786" s="30">
        <v>0.56540697674418605</v>
      </c>
      <c r="D786" s="41">
        <v>1.0150704909385609E-3</v>
      </c>
      <c r="E786" s="41">
        <v>1.0061843894888067E-2</v>
      </c>
      <c r="F786" s="41">
        <v>5.9008280194157159E-3</v>
      </c>
      <c r="G786" s="41">
        <v>-6.2815081067260138E-4</v>
      </c>
      <c r="H786" s="14">
        <v>7.1690108214572668E-4</v>
      </c>
      <c r="I786" s="14">
        <v>2.0329892150643403E-3</v>
      </c>
      <c r="J786" s="14">
        <v>1.3151096707526566E-3</v>
      </c>
      <c r="K786" s="14">
        <v>1.2280124115357615E-3</v>
      </c>
    </row>
    <row r="787" spans="2:11" x14ac:dyDescent="0.25">
      <c r="B787" s="29">
        <v>779</v>
      </c>
      <c r="C787" s="30">
        <v>0.56613372093023251</v>
      </c>
      <c r="D787" s="41">
        <v>-1.1700188766279538E-2</v>
      </c>
      <c r="E787" s="41">
        <v>-8.4216164742293431E-3</v>
      </c>
      <c r="F787" s="41">
        <v>-2.8944246737840906E-3</v>
      </c>
      <c r="G787" s="41">
        <v>-4.5598805634007094E-3</v>
      </c>
      <c r="H787" s="14">
        <v>7.2119613016718986E-4</v>
      </c>
      <c r="I787" s="14">
        <v>2.036002319329544E-3</v>
      </c>
      <c r="J787" s="14">
        <v>1.331494602691663E-3</v>
      </c>
      <c r="K787" s="14">
        <v>1.2317321261650972E-3</v>
      </c>
    </row>
    <row r="788" spans="2:11" x14ac:dyDescent="0.25">
      <c r="B788" s="29">
        <v>780</v>
      </c>
      <c r="C788" s="30">
        <v>0.56686046511627908</v>
      </c>
      <c r="D788" s="41">
        <v>-5.8454218760985589E-4</v>
      </c>
      <c r="E788" s="41">
        <v>-6.9400678250952641E-3</v>
      </c>
      <c r="F788" s="41">
        <v>-8.4219441046391452E-3</v>
      </c>
      <c r="G788" s="41">
        <v>-2.756838438189124E-3</v>
      </c>
      <c r="H788" s="14">
        <v>7.2789248495408465E-4</v>
      </c>
      <c r="I788" s="14">
        <v>2.0531998753414715E-3</v>
      </c>
      <c r="J788" s="14">
        <v>1.3375254289906824E-3</v>
      </c>
      <c r="K788" s="14">
        <v>1.2345178549444391E-3</v>
      </c>
    </row>
    <row r="789" spans="2:11" x14ac:dyDescent="0.25">
      <c r="B789" s="29">
        <v>781</v>
      </c>
      <c r="C789" s="30">
        <v>0.56758720930232553</v>
      </c>
      <c r="D789" s="41">
        <v>4.6090298345243181E-4</v>
      </c>
      <c r="E789" s="41">
        <v>9.8368830226882586E-3</v>
      </c>
      <c r="F789" s="41">
        <v>-1.9253345855836379E-3</v>
      </c>
      <c r="G789" s="41">
        <v>1.8533334505676188E-3</v>
      </c>
      <c r="H789" s="14">
        <v>7.3329143096589888E-4</v>
      </c>
      <c r="I789" s="14">
        <v>2.0819658680670816E-3</v>
      </c>
      <c r="J789" s="14">
        <v>1.3429760412111413E-3</v>
      </c>
      <c r="K789" s="14">
        <v>1.2350702370982792E-3</v>
      </c>
    </row>
    <row r="790" spans="2:11" x14ac:dyDescent="0.25">
      <c r="B790" s="29">
        <v>782</v>
      </c>
      <c r="C790" s="30">
        <v>0.5683139534883721</v>
      </c>
      <c r="D790" s="41">
        <v>1.1875379267686422E-2</v>
      </c>
      <c r="E790" s="41">
        <v>1.7664090497602203E-2</v>
      </c>
      <c r="F790" s="41">
        <v>6.4275249302898629E-3</v>
      </c>
      <c r="G790" s="41">
        <v>9.782146295831318E-3</v>
      </c>
      <c r="H790" s="14">
        <v>7.4749588877254247E-4</v>
      </c>
      <c r="I790" s="14">
        <v>2.1002005691543868E-3</v>
      </c>
      <c r="J790" s="14">
        <v>1.3508139667459673E-3</v>
      </c>
      <c r="K790" s="14">
        <v>1.2402676645743903E-3</v>
      </c>
    </row>
    <row r="791" spans="2:11" x14ac:dyDescent="0.25">
      <c r="B791" s="29">
        <v>783</v>
      </c>
      <c r="C791" s="30">
        <v>0.56904069767441856</v>
      </c>
      <c r="D791" s="41">
        <v>-1.5452844939202202E-2</v>
      </c>
      <c r="E791" s="41">
        <v>2.4113746305745032E-3</v>
      </c>
      <c r="F791" s="41">
        <v>5.3214234807812399E-3</v>
      </c>
      <c r="G791" s="41">
        <v>-2.7920787091253894E-3</v>
      </c>
      <c r="H791" s="14">
        <v>7.7302109115007234E-4</v>
      </c>
      <c r="I791" s="14">
        <v>2.1254145312028516E-3</v>
      </c>
      <c r="J791" s="14">
        <v>1.3586153937032996E-3</v>
      </c>
      <c r="K791" s="14">
        <v>1.2444359126150496E-3</v>
      </c>
    </row>
    <row r="792" spans="2:11" x14ac:dyDescent="0.25">
      <c r="B792" s="29">
        <v>784</v>
      </c>
      <c r="C792" s="30">
        <v>0.56976744186046513</v>
      </c>
      <c r="D792" s="41">
        <v>-5.1588363327637454E-3</v>
      </c>
      <c r="E792" s="41">
        <v>1.3414008067473393E-2</v>
      </c>
      <c r="F792" s="41">
        <v>6.5037540050689735E-3</v>
      </c>
      <c r="G792" s="41">
        <v>-6.8759786203123033E-4</v>
      </c>
      <c r="H792" s="14">
        <v>7.7433799361537048E-4</v>
      </c>
      <c r="I792" s="14">
        <v>2.1259407287725907E-3</v>
      </c>
      <c r="J792" s="14">
        <v>1.3656335352096871E-3</v>
      </c>
      <c r="K792" s="14">
        <v>1.2498524172928074E-3</v>
      </c>
    </row>
    <row r="793" spans="2:11" x14ac:dyDescent="0.25">
      <c r="B793" s="29">
        <v>785</v>
      </c>
      <c r="C793" s="30">
        <v>0.57049418604651159</v>
      </c>
      <c r="D793" s="41">
        <v>8.8736304336787947E-3</v>
      </c>
      <c r="E793" s="41">
        <v>-1.4314765630088488E-2</v>
      </c>
      <c r="F793" s="41">
        <v>2.733288577730919E-3</v>
      </c>
      <c r="G793" s="41">
        <v>-1.4684135986281709E-3</v>
      </c>
      <c r="H793" s="14">
        <v>7.7703527740147216E-4</v>
      </c>
      <c r="I793" s="14">
        <v>2.151982016558085E-3</v>
      </c>
      <c r="J793" s="14">
        <v>1.3664398612396322E-3</v>
      </c>
      <c r="K793" s="14">
        <v>1.2499247095370879E-3</v>
      </c>
    </row>
    <row r="794" spans="2:11" x14ac:dyDescent="0.25">
      <c r="B794" s="29">
        <v>786</v>
      </c>
      <c r="C794" s="30">
        <v>0.57122093023255816</v>
      </c>
      <c r="D794" s="41">
        <v>2.1272008991254044E-3</v>
      </c>
      <c r="E794" s="41">
        <v>-1.0088031659092112E-2</v>
      </c>
      <c r="F794" s="41">
        <v>-2.6304462193313949E-3</v>
      </c>
      <c r="G794" s="41">
        <v>2.0290553592329005E-3</v>
      </c>
      <c r="H794" s="14">
        <v>7.860242321275912E-4</v>
      </c>
      <c r="I794" s="14">
        <v>2.1782594970010116E-3</v>
      </c>
      <c r="J794" s="14">
        <v>1.3774782309241562E-3</v>
      </c>
      <c r="K794" s="14">
        <v>1.2582623414286068E-3</v>
      </c>
    </row>
    <row r="795" spans="2:11" x14ac:dyDescent="0.25">
      <c r="B795" s="29">
        <v>787</v>
      </c>
      <c r="C795" s="30">
        <v>0.57194767441860461</v>
      </c>
      <c r="D795" s="41">
        <v>-1.0073541643729367E-4</v>
      </c>
      <c r="E795" s="41">
        <v>-1.798601170388725E-2</v>
      </c>
      <c r="F795" s="41">
        <v>6.7001675041855613E-4</v>
      </c>
      <c r="G795" s="41">
        <v>-5.0861835928208701E-4</v>
      </c>
      <c r="H795" s="14">
        <v>7.93886909640662E-4</v>
      </c>
      <c r="I795" s="14">
        <v>2.1941935965368309E-3</v>
      </c>
      <c r="J795" s="14">
        <v>1.424030359122197E-3</v>
      </c>
      <c r="K795" s="14">
        <v>1.2648401873156081E-3</v>
      </c>
    </row>
    <row r="796" spans="2:11" x14ac:dyDescent="0.25">
      <c r="B796" s="29">
        <v>788</v>
      </c>
      <c r="C796" s="30">
        <v>0.57267441860465118</v>
      </c>
      <c r="D796" s="41">
        <v>-1.6418304163140288E-2</v>
      </c>
      <c r="E796" s="41">
        <v>-2.7265449162399147E-3</v>
      </c>
      <c r="F796" s="41">
        <v>-1.0887573964496911E-2</v>
      </c>
      <c r="G796" s="41">
        <v>-2.1266185744028389E-3</v>
      </c>
      <c r="H796" s="14">
        <v>7.9569102705367989E-4</v>
      </c>
      <c r="I796" s="14">
        <v>2.2407806788113938E-3</v>
      </c>
      <c r="J796" s="14">
        <v>1.4517866341965391E-3</v>
      </c>
      <c r="K796" s="14">
        <v>1.2735546049376101E-3</v>
      </c>
    </row>
    <row r="797" spans="2:11" x14ac:dyDescent="0.25">
      <c r="B797" s="29">
        <v>789</v>
      </c>
      <c r="C797" s="30">
        <v>0.57340116279069764</v>
      </c>
      <c r="D797" s="41">
        <v>8.5207462058082932E-3</v>
      </c>
      <c r="E797" s="41">
        <v>8.0732499753863873E-3</v>
      </c>
      <c r="F797" s="41">
        <v>-2.973381159146693E-3</v>
      </c>
      <c r="G797" s="41">
        <v>3.2372350740265121E-3</v>
      </c>
      <c r="H797" s="14">
        <v>8.1224871055529668E-4</v>
      </c>
      <c r="I797" s="14">
        <v>2.2451465214903266E-3</v>
      </c>
      <c r="J797" s="14">
        <v>1.4762326542663295E-3</v>
      </c>
      <c r="K797" s="14">
        <v>1.2803714118170496E-3</v>
      </c>
    </row>
    <row r="798" spans="2:11" x14ac:dyDescent="0.25">
      <c r="B798" s="29">
        <v>790</v>
      </c>
      <c r="C798" s="30">
        <v>0.57412790697674421</v>
      </c>
      <c r="D798" s="41">
        <v>3.9120596644214509E-3</v>
      </c>
      <c r="E798" s="41">
        <v>-8.9852524660611888E-3</v>
      </c>
      <c r="F798" s="41">
        <v>-1.0784817218357556E-2</v>
      </c>
      <c r="G798" s="41">
        <v>-4.0796621235607237E-3</v>
      </c>
      <c r="H798" s="14">
        <v>8.1973612303842813E-4</v>
      </c>
      <c r="I798" s="14">
        <v>2.2461371377795469E-3</v>
      </c>
      <c r="J798" s="14">
        <v>1.4810080127105607E-3</v>
      </c>
      <c r="K798" s="14">
        <v>1.2891588349611461E-3</v>
      </c>
    </row>
    <row r="799" spans="2:11" x14ac:dyDescent="0.25">
      <c r="B799" s="29">
        <v>791</v>
      </c>
      <c r="C799" s="30">
        <v>0.57485465116279066</v>
      </c>
      <c r="D799" s="41">
        <v>1.6328643975744637E-3</v>
      </c>
      <c r="E799" s="41">
        <v>2.8905853188892605E-2</v>
      </c>
      <c r="F799" s="41">
        <v>1.0044327077242343E-2</v>
      </c>
      <c r="G799" s="41">
        <v>5.4487033621107191E-3</v>
      </c>
      <c r="H799" s="14">
        <v>8.2236842105265495E-4</v>
      </c>
      <c r="I799" s="14">
        <v>2.2518334882759561E-3</v>
      </c>
      <c r="J799" s="14">
        <v>1.4877672470794412E-3</v>
      </c>
      <c r="K799" s="14">
        <v>1.2900400526457915E-3</v>
      </c>
    </row>
    <row r="800" spans="2:11" x14ac:dyDescent="0.25">
      <c r="B800" s="29">
        <v>792</v>
      </c>
      <c r="C800" s="30">
        <v>0.57558139534883723</v>
      </c>
      <c r="D800" s="41">
        <v>-1.9478669238833951E-3</v>
      </c>
      <c r="E800" s="41">
        <v>0</v>
      </c>
      <c r="F800" s="41">
        <v>2.3633957269806327E-3</v>
      </c>
      <c r="G800" s="41">
        <v>4.7267914539612655E-4</v>
      </c>
      <c r="H800" s="14">
        <v>8.2879403386360018E-4</v>
      </c>
      <c r="I800" s="14">
        <v>2.2587675847036692E-3</v>
      </c>
      <c r="J800" s="14">
        <v>1.5046627289447834E-3</v>
      </c>
      <c r="K800" s="14">
        <v>1.3083469174921983E-3</v>
      </c>
    </row>
    <row r="801" spans="2:11" x14ac:dyDescent="0.25">
      <c r="B801" s="29">
        <v>793</v>
      </c>
      <c r="C801" s="30">
        <v>0.57630813953488369</v>
      </c>
      <c r="D801" s="41">
        <v>-4.2480602473124896E-3</v>
      </c>
      <c r="E801" s="41">
        <v>-5.0027997995932827E-3</v>
      </c>
      <c r="F801" s="41">
        <v>-1.6516445660893497E-3</v>
      </c>
      <c r="G801" s="41">
        <v>1.9498967326940125E-3</v>
      </c>
      <c r="H801" s="14">
        <v>8.3238412336816836E-4</v>
      </c>
      <c r="I801" s="14">
        <v>2.3141919164739733E-3</v>
      </c>
      <c r="J801" s="14">
        <v>1.5269718753383454E-3</v>
      </c>
      <c r="K801" s="14">
        <v>1.3232967093170121E-3</v>
      </c>
    </row>
    <row r="802" spans="2:11" x14ac:dyDescent="0.25">
      <c r="B802" s="29">
        <v>794</v>
      </c>
      <c r="C802" s="30">
        <v>0.57703488372093026</v>
      </c>
      <c r="D802" s="41">
        <v>-1.167904753393122E-2</v>
      </c>
      <c r="E802" s="41">
        <v>-4.6651116294568196E-3</v>
      </c>
      <c r="F802" s="41">
        <v>-3.7737629133438588E-4</v>
      </c>
      <c r="G802" s="41">
        <v>-3.3535219271953578E-3</v>
      </c>
      <c r="H802" s="14">
        <v>8.3598060524980866E-4</v>
      </c>
      <c r="I802" s="14">
        <v>2.3273680404916064E-3</v>
      </c>
      <c r="J802" s="14">
        <v>1.5364594783466856E-3</v>
      </c>
      <c r="K802" s="14">
        <v>1.3247630815178993E-3</v>
      </c>
    </row>
    <row r="803" spans="2:11" x14ac:dyDescent="0.25">
      <c r="B803" s="29">
        <v>795</v>
      </c>
      <c r="C803" s="30">
        <v>0.57776162790697672</v>
      </c>
      <c r="D803" s="41">
        <v>1.5019809326943273E-2</v>
      </c>
      <c r="E803" s="41">
        <v>2.6113157013725186E-3</v>
      </c>
      <c r="F803" s="41">
        <v>3.5029585798815877E-3</v>
      </c>
      <c r="G803" s="41">
        <v>4.3092205606279693E-3</v>
      </c>
      <c r="H803" s="14">
        <v>8.4147234736664522E-4</v>
      </c>
      <c r="I803" s="14">
        <v>2.331100769432215E-3</v>
      </c>
      <c r="J803" s="14">
        <v>1.5407876455930669E-3</v>
      </c>
      <c r="K803" s="14">
        <v>1.3354558165350916E-3</v>
      </c>
    </row>
    <row r="804" spans="2:11" x14ac:dyDescent="0.25">
      <c r="B804" s="29">
        <v>796</v>
      </c>
      <c r="C804" s="30">
        <v>0.57848837209302328</v>
      </c>
      <c r="D804" s="41">
        <v>1.8506105451283907E-3</v>
      </c>
      <c r="E804" s="41">
        <v>2.9681076829466413E-3</v>
      </c>
      <c r="F804" s="41">
        <v>8.690254500310246E-3</v>
      </c>
      <c r="G804" s="41">
        <v>-1.3656882594109908E-3</v>
      </c>
      <c r="H804" s="14">
        <v>8.4443500679198813E-4</v>
      </c>
      <c r="I804" s="14">
        <v>2.3510336441021629E-3</v>
      </c>
      <c r="J804" s="14">
        <v>1.5541206474776192E-3</v>
      </c>
      <c r="K804" s="14">
        <v>1.3389798360226471E-3</v>
      </c>
    </row>
    <row r="805" spans="2:11" x14ac:dyDescent="0.25">
      <c r="B805" s="29">
        <v>797</v>
      </c>
      <c r="C805" s="30">
        <v>0.57921511627906974</v>
      </c>
      <c r="D805" s="41">
        <v>2.0772829528894589E-3</v>
      </c>
      <c r="E805" s="41">
        <v>-5.5709276001361108E-3</v>
      </c>
      <c r="F805" s="41">
        <v>8.0381209087410088E-3</v>
      </c>
      <c r="G805" s="41">
        <v>-8.9184140252855952E-4</v>
      </c>
      <c r="H805" s="14">
        <v>8.5190642266774752E-4</v>
      </c>
      <c r="I805" s="14">
        <v>2.3524321985777252E-3</v>
      </c>
      <c r="J805" s="14">
        <v>1.5553642321368688E-3</v>
      </c>
      <c r="K805" s="14">
        <v>1.3569602045088614E-3</v>
      </c>
    </row>
    <row r="806" spans="2:11" x14ac:dyDescent="0.25">
      <c r="B806" s="29">
        <v>798</v>
      </c>
      <c r="C806" s="30">
        <v>0.57994186046511631</v>
      </c>
      <c r="D806" s="41">
        <v>7.8447255521037779E-3</v>
      </c>
      <c r="E806" s="41">
        <v>-5.8327691517934266E-3</v>
      </c>
      <c r="F806" s="41">
        <v>-4.0268456375838202E-3</v>
      </c>
      <c r="G806" s="41">
        <v>1.1341580032206533E-3</v>
      </c>
      <c r="H806" s="14">
        <v>8.5602118998173715E-4</v>
      </c>
      <c r="I806" s="14">
        <v>2.3531549538908791E-3</v>
      </c>
      <c r="J806" s="14">
        <v>1.5591814500854895E-3</v>
      </c>
      <c r="K806" s="14">
        <v>1.3577107904638288E-3</v>
      </c>
    </row>
    <row r="807" spans="2:11" x14ac:dyDescent="0.25">
      <c r="B807" s="29">
        <v>799</v>
      </c>
      <c r="C807" s="30">
        <v>0.58066860465116277</v>
      </c>
      <c r="D807" s="41">
        <v>7.9575041471185454E-3</v>
      </c>
      <c r="E807" s="41">
        <v>-1.3709598964296577E-2</v>
      </c>
      <c r="F807" s="41">
        <v>3.3187436871724429E-3</v>
      </c>
      <c r="G807" s="41">
        <v>-7.3699985818859396E-3</v>
      </c>
      <c r="H807" s="14">
        <v>8.8391359311734696E-4</v>
      </c>
      <c r="I807" s="14">
        <v>2.3645159536880289E-3</v>
      </c>
      <c r="J807" s="14">
        <v>1.5843000971020871E-3</v>
      </c>
      <c r="K807" s="14">
        <v>1.362390406011338E-3</v>
      </c>
    </row>
    <row r="808" spans="2:11" x14ac:dyDescent="0.25">
      <c r="B808" s="29">
        <v>800</v>
      </c>
      <c r="C808" s="30">
        <v>0.58139534883720934</v>
      </c>
      <c r="D808" s="41">
        <v>1.1650738714633367E-2</v>
      </c>
      <c r="E808" s="41">
        <v>3.8695873198935082E-4</v>
      </c>
      <c r="F808" s="41">
        <v>-5.7683987886358867E-4</v>
      </c>
      <c r="G808" s="41">
        <v>-1.6489180976992702E-3</v>
      </c>
      <c r="H808" s="14">
        <v>9.1792548839619847E-4</v>
      </c>
      <c r="I808" s="14">
        <v>2.4017642699618591E-3</v>
      </c>
      <c r="J808" s="14">
        <v>1.5845430382335213E-3</v>
      </c>
      <c r="K808" s="14">
        <v>1.3685467066245848E-3</v>
      </c>
    </row>
    <row r="809" spans="2:11" x14ac:dyDescent="0.25">
      <c r="B809" s="29">
        <v>801</v>
      </c>
      <c r="C809" s="30">
        <v>0.58212209302325579</v>
      </c>
      <c r="D809" s="41">
        <v>-1.4996287489223898E-3</v>
      </c>
      <c r="E809" s="41">
        <v>1.2848128147563864E-2</v>
      </c>
      <c r="F809" s="41">
        <v>-1.9224299514597476E-4</v>
      </c>
      <c r="G809" s="41">
        <v>3.1340342639298857E-3</v>
      </c>
      <c r="H809" s="14">
        <v>9.2406148068735483E-4</v>
      </c>
      <c r="I809" s="14">
        <v>2.4024673089870774E-3</v>
      </c>
      <c r="J809" s="14">
        <v>1.5893001987532518E-3</v>
      </c>
      <c r="K809" s="14">
        <v>1.3740397509340418E-3</v>
      </c>
    </row>
    <row r="810" spans="2:11" x14ac:dyDescent="0.25">
      <c r="B810" s="29">
        <v>802</v>
      </c>
      <c r="C810" s="30">
        <v>0.58284883720930236</v>
      </c>
      <c r="D810" s="41">
        <v>1.0716353419719996E-2</v>
      </c>
      <c r="E810" s="41">
        <v>8.237108924524783E-5</v>
      </c>
      <c r="F810" s="41">
        <v>-6.7239805965124688E-4</v>
      </c>
      <c r="G810" s="41">
        <v>2.4201931379610468E-3</v>
      </c>
      <c r="H810" s="14">
        <v>9.333430282354449E-4</v>
      </c>
      <c r="I810" s="14">
        <v>2.4027342344656866E-3</v>
      </c>
      <c r="J810" s="14">
        <v>1.5963335071207396E-3</v>
      </c>
      <c r="K810" s="14">
        <v>1.4023910053424515E-3</v>
      </c>
    </row>
    <row r="811" spans="2:11" x14ac:dyDescent="0.25">
      <c r="B811" s="29">
        <v>803</v>
      </c>
      <c r="C811" s="30">
        <v>0.58357558139534882</v>
      </c>
      <c r="D811" s="41">
        <v>-1.2253380295741483E-2</v>
      </c>
      <c r="E811" s="41">
        <v>-2.0928021085262039E-2</v>
      </c>
      <c r="F811" s="41">
        <v>-6.2049544174502813E-3</v>
      </c>
      <c r="G811" s="41">
        <v>-7.5803672823764323E-3</v>
      </c>
      <c r="H811" s="14">
        <v>9.4043527368170565E-4</v>
      </c>
      <c r="I811" s="14">
        <v>2.4109991754204252E-3</v>
      </c>
      <c r="J811" s="14">
        <v>1.6139784723563366E-3</v>
      </c>
      <c r="K811" s="14">
        <v>1.4114312654486484E-3</v>
      </c>
    </row>
    <row r="812" spans="2:11" x14ac:dyDescent="0.25">
      <c r="B812" s="29">
        <v>804</v>
      </c>
      <c r="C812" s="30">
        <v>0.58430232558139539</v>
      </c>
      <c r="D812" s="41">
        <v>-3.8088668072671665E-3</v>
      </c>
      <c r="E812" s="41">
        <v>2.2407806788113938E-3</v>
      </c>
      <c r="F812" s="41">
        <v>-2.6182995334665948E-3</v>
      </c>
      <c r="G812" s="41">
        <v>-1.0424419747913527E-3</v>
      </c>
      <c r="H812" s="14">
        <v>9.6385170508184181E-4</v>
      </c>
      <c r="I812" s="14">
        <v>2.4113746305745032E-3</v>
      </c>
      <c r="J812" s="14">
        <v>1.6175026036999718E-3</v>
      </c>
      <c r="K812" s="14">
        <v>1.415918286779028E-3</v>
      </c>
    </row>
    <row r="813" spans="2:11" x14ac:dyDescent="0.25">
      <c r="B813" s="29">
        <v>805</v>
      </c>
      <c r="C813" s="30">
        <v>0.58502906976744184</v>
      </c>
      <c r="D813" s="41">
        <v>-1.2017275063989074E-2</v>
      </c>
      <c r="E813" s="41">
        <v>-2.2968157434891667E-2</v>
      </c>
      <c r="F813" s="41">
        <v>6.8542395628625741E-3</v>
      </c>
      <c r="G813" s="41">
        <v>-1.5728502973472034E-2</v>
      </c>
      <c r="H813" s="14">
        <v>9.6914505738299184E-4</v>
      </c>
      <c r="I813" s="14">
        <v>2.4118788401423785E-3</v>
      </c>
      <c r="J813" s="14">
        <v>1.6452780519908838E-3</v>
      </c>
      <c r="K813" s="14">
        <v>1.4363064775447798E-3</v>
      </c>
    </row>
    <row r="814" spans="2:11" x14ac:dyDescent="0.25">
      <c r="B814" s="29">
        <v>806</v>
      </c>
      <c r="C814" s="30">
        <v>0.58575581395348841</v>
      </c>
      <c r="D814" s="41">
        <v>-1.0076734357805543E-2</v>
      </c>
      <c r="E814" s="41">
        <v>-2.3820494997697228E-3</v>
      </c>
      <c r="F814" s="41">
        <v>-3.3916117321104444E-3</v>
      </c>
      <c r="G814" s="41">
        <v>-3.3558748127667129E-3</v>
      </c>
      <c r="H814" s="14">
        <v>1.0260993330353241E-3</v>
      </c>
      <c r="I814" s="14">
        <v>2.5365014206200076E-3</v>
      </c>
      <c r="J814" s="14">
        <v>1.6587510648002901E-3</v>
      </c>
      <c r="K814" s="14">
        <v>1.4381684783663308E-3</v>
      </c>
    </row>
    <row r="815" spans="2:11" x14ac:dyDescent="0.25">
      <c r="B815" s="29">
        <v>807</v>
      </c>
      <c r="C815" s="30">
        <v>0.58648255813953487</v>
      </c>
      <c r="D815" s="41">
        <v>-1.1916796729365178E-2</v>
      </c>
      <c r="E815" s="41">
        <v>4.6580447172293038E-3</v>
      </c>
      <c r="F815" s="41">
        <v>2.2022213711221372E-3</v>
      </c>
      <c r="G815" s="41">
        <v>6.3223699387015232E-3</v>
      </c>
      <c r="H815" s="14">
        <v>1.0467347690399365E-3</v>
      </c>
      <c r="I815" s="14">
        <v>2.5377150362804191E-3</v>
      </c>
      <c r="J815" s="14">
        <v>1.6801002483191052E-3</v>
      </c>
      <c r="K815" s="14">
        <v>1.4477405404224486E-3</v>
      </c>
    </row>
    <row r="816" spans="2:11" x14ac:dyDescent="0.25">
      <c r="B816" s="29">
        <v>808</v>
      </c>
      <c r="C816" s="30">
        <v>0.58720930232558144</v>
      </c>
      <c r="D816" s="41">
        <v>4.7297216786790384E-3</v>
      </c>
      <c r="E816" s="41">
        <v>-8.6495079131299057E-4</v>
      </c>
      <c r="F816" s="41">
        <v>-5.285965998380715E-3</v>
      </c>
      <c r="G816" s="41">
        <v>4.0161370651740531E-3</v>
      </c>
      <c r="H816" s="14">
        <v>1.066667493695439E-3</v>
      </c>
      <c r="I816" s="14">
        <v>2.5752571619794828E-3</v>
      </c>
      <c r="J816" s="14">
        <v>1.6851565791320411E-3</v>
      </c>
      <c r="K816" s="14">
        <v>1.4484726596763141E-3</v>
      </c>
    </row>
    <row r="817" spans="2:11" x14ac:dyDescent="0.25">
      <c r="B817" s="29">
        <v>809</v>
      </c>
      <c r="C817" s="30">
        <v>0.5879360465116279</v>
      </c>
      <c r="D817" s="41">
        <v>-1.0047392340254738E-2</v>
      </c>
      <c r="E817" s="41">
        <v>-1.078614880673856E-2</v>
      </c>
      <c r="F817" s="41">
        <v>-1.0228129713424017E-2</v>
      </c>
      <c r="G817" s="41">
        <v>-2.9083088156340196E-3</v>
      </c>
      <c r="H817" s="14">
        <v>1.0866465818653026E-3</v>
      </c>
      <c r="I817" s="14">
        <v>2.5987972508589863E-3</v>
      </c>
      <c r="J817" s="14">
        <v>1.6867667760838145E-3</v>
      </c>
      <c r="K817" s="14">
        <v>1.4589328329820185E-3</v>
      </c>
    </row>
    <row r="818" spans="2:11" x14ac:dyDescent="0.25">
      <c r="B818" s="29">
        <v>810</v>
      </c>
      <c r="C818" s="30">
        <v>0.58866279069767447</v>
      </c>
      <c r="D818" s="41">
        <v>4.1250047441848976E-3</v>
      </c>
      <c r="E818" s="41">
        <v>1.1305849239575227E-2</v>
      </c>
      <c r="F818" s="41">
        <v>-3.8968965679140322E-3</v>
      </c>
      <c r="G818" s="41">
        <v>-1.6252664253353375E-3</v>
      </c>
      <c r="H818" s="14">
        <v>1.0944868340696523E-3</v>
      </c>
      <c r="I818" s="14">
        <v>2.6090377066156911E-3</v>
      </c>
      <c r="J818" s="14">
        <v>1.7016535672624844E-3</v>
      </c>
      <c r="K818" s="14">
        <v>1.461459688927702E-3</v>
      </c>
    </row>
    <row r="819" spans="2:11" x14ac:dyDescent="0.25">
      <c r="B819" s="29">
        <v>811</v>
      </c>
      <c r="C819" s="30">
        <v>0.58938953488372092</v>
      </c>
      <c r="D819" s="41">
        <v>1.2443153139858634E-2</v>
      </c>
      <c r="E819" s="41">
        <v>7.7959944180694407E-5</v>
      </c>
      <c r="F819" s="41">
        <v>-4.5800813198111356E-3</v>
      </c>
      <c r="G819" s="41">
        <v>5.3726069247285405E-3</v>
      </c>
      <c r="H819" s="14">
        <v>1.1042071249673935E-3</v>
      </c>
      <c r="I819" s="14">
        <v>2.6099706744868723E-3</v>
      </c>
      <c r="J819" s="14">
        <v>1.7086873237015521E-3</v>
      </c>
      <c r="K819" s="14">
        <v>1.4724137205163411E-3</v>
      </c>
    </row>
    <row r="820" spans="2:11" x14ac:dyDescent="0.25">
      <c r="B820" s="29">
        <v>812</v>
      </c>
      <c r="C820" s="30">
        <v>0.59011627906976749</v>
      </c>
      <c r="D820" s="41">
        <v>2.1458566468574341E-2</v>
      </c>
      <c r="E820" s="41">
        <v>1.6986147597851664E-2</v>
      </c>
      <c r="F820" s="41">
        <v>-9.3462311322900504E-5</v>
      </c>
      <c r="G820" s="41">
        <v>3.9631096205727358E-3</v>
      </c>
      <c r="H820" s="14">
        <v>1.1047300066022725E-3</v>
      </c>
      <c r="I820" s="14">
        <v>2.6113157013725186E-3</v>
      </c>
      <c r="J820" s="14">
        <v>1.7155110793423134E-3</v>
      </c>
      <c r="K820" s="14">
        <v>1.4908807468113406E-3</v>
      </c>
    </row>
    <row r="821" spans="2:11" x14ac:dyDescent="0.25">
      <c r="B821" s="29">
        <v>813</v>
      </c>
      <c r="C821" s="30">
        <v>0.59084302325581395</v>
      </c>
      <c r="D821" s="41">
        <v>7.4830954631519443E-4</v>
      </c>
      <c r="E821" s="41">
        <v>-2.4911850375594069E-3</v>
      </c>
      <c r="F821" s="41">
        <v>1.6851565791320411E-3</v>
      </c>
      <c r="G821" s="41">
        <v>6.4894360733536612E-3</v>
      </c>
      <c r="H821" s="14">
        <v>1.1771109787808154E-3</v>
      </c>
      <c r="I821" s="14">
        <v>2.6174161103431626E-3</v>
      </c>
      <c r="J821" s="14">
        <v>1.7226369075327153E-3</v>
      </c>
      <c r="K821" s="14">
        <v>1.4921209137045645E-3</v>
      </c>
    </row>
    <row r="822" spans="2:11" x14ac:dyDescent="0.25">
      <c r="B822" s="29">
        <v>814</v>
      </c>
      <c r="C822" s="30">
        <v>0.59156976744186052</v>
      </c>
      <c r="D822" s="41">
        <v>-1.4381842526637479E-2</v>
      </c>
      <c r="E822" s="41">
        <v>1.8480808391286185E-2</v>
      </c>
      <c r="F822" s="41">
        <v>-2.335030121888737E-3</v>
      </c>
      <c r="G822" s="41">
        <v>6.9253173321367273E-3</v>
      </c>
      <c r="H822" s="14">
        <v>1.1810806569449994E-3</v>
      </c>
      <c r="I822" s="14">
        <v>2.6188822347796847E-3</v>
      </c>
      <c r="J822" s="14">
        <v>1.7247160225437597E-3</v>
      </c>
      <c r="K822" s="14">
        <v>1.4935207503107067E-3</v>
      </c>
    </row>
    <row r="823" spans="2:11" x14ac:dyDescent="0.25">
      <c r="B823" s="29">
        <v>815</v>
      </c>
      <c r="C823" s="30">
        <v>0.59229651162790697</v>
      </c>
      <c r="D823" s="41">
        <v>-6.7107414306656994E-3</v>
      </c>
      <c r="E823" s="41">
        <v>-5.8548362758412686E-3</v>
      </c>
      <c r="F823" s="41">
        <v>-2.4690207770425854E-3</v>
      </c>
      <c r="G823" s="41">
        <v>-2.5707063649333065E-3</v>
      </c>
      <c r="H823" s="14">
        <v>1.2297962052003619E-3</v>
      </c>
      <c r="I823" s="14">
        <v>2.6189561182514698E-3</v>
      </c>
      <c r="J823" s="14">
        <v>1.7334340626882216E-3</v>
      </c>
      <c r="K823" s="14">
        <v>1.5012217296583863E-3</v>
      </c>
    </row>
    <row r="824" spans="2:11" x14ac:dyDescent="0.25">
      <c r="B824" s="29">
        <v>816</v>
      </c>
      <c r="C824" s="30">
        <v>0.59302325581395354</v>
      </c>
      <c r="D824" s="41">
        <v>1.4762257745468309E-2</v>
      </c>
      <c r="E824" s="41">
        <v>1.3949181870617E-2</v>
      </c>
      <c r="F824" s="41">
        <v>9.9270759821217247E-3</v>
      </c>
      <c r="G824" s="41">
        <v>7.3002311328849608E-3</v>
      </c>
      <c r="H824" s="14">
        <v>1.2318847455061732E-3</v>
      </c>
      <c r="I824" s="14">
        <v>2.6754966887416742E-3</v>
      </c>
      <c r="J824" s="14">
        <v>1.7445548741805705E-3</v>
      </c>
      <c r="K824" s="14">
        <v>1.5133728858769846E-3</v>
      </c>
    </row>
    <row r="825" spans="2:11" x14ac:dyDescent="0.25">
      <c r="B825" s="29">
        <v>817</v>
      </c>
      <c r="C825" s="30">
        <v>0.59375</v>
      </c>
      <c r="D825" s="41">
        <v>1.5887251600752342E-2</v>
      </c>
      <c r="E825" s="41">
        <v>-6.0627834912652112E-4</v>
      </c>
      <c r="F825" s="41">
        <v>-1.1278725504015874E-3</v>
      </c>
      <c r="G825" s="41">
        <v>-4.6808584973092595E-4</v>
      </c>
      <c r="H825" s="14">
        <v>1.2373760349377871E-3</v>
      </c>
      <c r="I825" s="14">
        <v>2.6801243121490348E-3</v>
      </c>
      <c r="J825" s="14">
        <v>1.7476064394545965E-3</v>
      </c>
      <c r="K825" s="14">
        <v>1.5201194582695086E-3</v>
      </c>
    </row>
    <row r="826" spans="2:11" x14ac:dyDescent="0.25">
      <c r="B826" s="29">
        <v>818</v>
      </c>
      <c r="C826" s="30">
        <v>0.59447674418604646</v>
      </c>
      <c r="D826" s="41">
        <v>3.1791868452414975E-3</v>
      </c>
      <c r="E826" s="41">
        <v>-1.6604129687464941E-2</v>
      </c>
      <c r="F826" s="41">
        <v>-8.3418771553733784E-3</v>
      </c>
      <c r="G826" s="41">
        <v>-6.918607726799442E-3</v>
      </c>
      <c r="H826" s="14">
        <v>1.2489689710541985E-3</v>
      </c>
      <c r="I826" s="14">
        <v>2.6876696480220286E-3</v>
      </c>
      <c r="J826" s="14">
        <v>1.7477315615292977E-3</v>
      </c>
      <c r="K826" s="14">
        <v>1.5423437850150992E-3</v>
      </c>
    </row>
    <row r="827" spans="2:11" x14ac:dyDescent="0.25">
      <c r="B827" s="29">
        <v>819</v>
      </c>
      <c r="C827" s="30">
        <v>0.59520348837209303</v>
      </c>
      <c r="D827" s="41">
        <v>-2.6571977436180078E-2</v>
      </c>
      <c r="E827" s="41">
        <v>-2.0936148175226932E-2</v>
      </c>
      <c r="F827" s="41">
        <v>-3.0663445456236005E-3</v>
      </c>
      <c r="G827" s="41">
        <v>-5.554251784365638E-3</v>
      </c>
      <c r="H827" s="14">
        <v>1.3203498927214508E-3</v>
      </c>
      <c r="I827" s="14">
        <v>2.6899568101081961E-3</v>
      </c>
      <c r="J827" s="14">
        <v>1.7498177818269234E-3</v>
      </c>
      <c r="K827" s="14">
        <v>1.5431596583311614E-3</v>
      </c>
    </row>
    <row r="828" spans="2:11" x14ac:dyDescent="0.25">
      <c r="B828" s="29">
        <v>820</v>
      </c>
      <c r="C828" s="30">
        <v>0.59593023255813948</v>
      </c>
      <c r="D828" s="41">
        <v>2.398995415702063E-2</v>
      </c>
      <c r="E828" s="41">
        <v>-1.6568783789038255E-3</v>
      </c>
      <c r="F828" s="41">
        <v>-1.8086537123774837E-3</v>
      </c>
      <c r="G828" s="41">
        <v>2.9035048126732966E-3</v>
      </c>
      <c r="H828" s="14">
        <v>1.352739726027341E-3</v>
      </c>
      <c r="I828" s="14">
        <v>2.6930748395408433E-3</v>
      </c>
      <c r="J828" s="14">
        <v>1.7523055046491098E-3</v>
      </c>
      <c r="K828" s="14">
        <v>1.543775037285755E-3</v>
      </c>
    </row>
    <row r="829" spans="2:11" x14ac:dyDescent="0.25">
      <c r="B829" s="29">
        <v>821</v>
      </c>
      <c r="C829" s="30">
        <v>0.59665697674418605</v>
      </c>
      <c r="D829" s="41">
        <v>-6.2505928639920673E-4</v>
      </c>
      <c r="E829" s="41">
        <v>-2.8057845444203755E-2</v>
      </c>
      <c r="F829" s="41">
        <v>-9.4174935685410466E-3</v>
      </c>
      <c r="G829" s="41">
        <v>-1.9265469954598768E-2</v>
      </c>
      <c r="H829" s="14">
        <v>1.3804393725640463E-3</v>
      </c>
      <c r="I829" s="14">
        <v>2.7237566051097062E-3</v>
      </c>
      <c r="J829" s="14">
        <v>1.7719352620764184E-3</v>
      </c>
      <c r="K829" s="14">
        <v>1.5441356678671529E-3</v>
      </c>
    </row>
    <row r="830" spans="2:11" x14ac:dyDescent="0.25">
      <c r="B830" s="29">
        <v>822</v>
      </c>
      <c r="C830" s="30">
        <v>0.59738372093023251</v>
      </c>
      <c r="D830" s="41">
        <v>1.5844330090861253E-2</v>
      </c>
      <c r="E830" s="41">
        <v>5.3871622000785102E-3</v>
      </c>
      <c r="F830" s="41">
        <v>3.3648306061304645E-3</v>
      </c>
      <c r="G830" s="41">
        <v>7.7002589847966268E-3</v>
      </c>
      <c r="H830" s="14">
        <v>1.3832212954252299E-3</v>
      </c>
      <c r="I830" s="14">
        <v>2.7349318005354117E-3</v>
      </c>
      <c r="J830" s="14">
        <v>1.7727723030400711E-3</v>
      </c>
      <c r="K830" s="14">
        <v>1.5443049468979678E-3</v>
      </c>
    </row>
    <row r="831" spans="2:11" x14ac:dyDescent="0.25">
      <c r="B831" s="29">
        <v>823</v>
      </c>
      <c r="C831" s="30">
        <v>0.59811046511627908</v>
      </c>
      <c r="D831" s="41">
        <v>2.4533183714517263E-4</v>
      </c>
      <c r="E831" s="41">
        <v>5.7330579764456324E-3</v>
      </c>
      <c r="F831" s="41">
        <v>4.7237530681241147E-3</v>
      </c>
      <c r="G831" s="41">
        <v>5.1895106394608701E-3</v>
      </c>
      <c r="H831" s="14">
        <v>1.4525500322790652E-3</v>
      </c>
      <c r="I831" s="14">
        <v>2.7514137965027885E-3</v>
      </c>
      <c r="J831" s="14">
        <v>1.7807573456241066E-3</v>
      </c>
      <c r="K831" s="14">
        <v>1.5471540567800757E-3</v>
      </c>
    </row>
    <row r="832" spans="2:11" x14ac:dyDescent="0.25">
      <c r="B832" s="29">
        <v>824</v>
      </c>
      <c r="C832" s="30">
        <v>0.59883720930232553</v>
      </c>
      <c r="D832" s="41">
        <v>1.0985512560433251E-2</v>
      </c>
      <c r="E832" s="41">
        <v>2.2286176386642653E-2</v>
      </c>
      <c r="F832" s="41">
        <v>1.8558901313041609E-3</v>
      </c>
      <c r="G832" s="41">
        <v>9.0267070046110131E-3</v>
      </c>
      <c r="H832" s="14">
        <v>1.4676077992872294E-3</v>
      </c>
      <c r="I832" s="14">
        <v>2.7623717852629515E-3</v>
      </c>
      <c r="J832" s="14">
        <v>1.782223755318002E-3</v>
      </c>
      <c r="K832" s="14">
        <v>1.5524496233203509E-3</v>
      </c>
    </row>
    <row r="833" spans="2:11" x14ac:dyDescent="0.25">
      <c r="B833" s="29">
        <v>825</v>
      </c>
      <c r="C833" s="30">
        <v>0.5995639534883721</v>
      </c>
      <c r="D833" s="41">
        <v>5.2764069296098136E-3</v>
      </c>
      <c r="E833" s="41">
        <v>-4.5136222982249397E-3</v>
      </c>
      <c r="F833" s="41">
        <v>-3.006753631233261E-3</v>
      </c>
      <c r="G833" s="41">
        <v>-1.3055850706378271E-3</v>
      </c>
      <c r="H833" s="14">
        <v>1.5065282892532394E-3</v>
      </c>
      <c r="I833" s="14">
        <v>2.8595148049073149E-3</v>
      </c>
      <c r="J833" s="14">
        <v>1.7897562773070419E-3</v>
      </c>
      <c r="K833" s="14">
        <v>1.5527658342984639E-3</v>
      </c>
    </row>
    <row r="834" spans="2:11" x14ac:dyDescent="0.25">
      <c r="B834" s="29">
        <v>826</v>
      </c>
      <c r="C834" s="30">
        <v>0.60029069767441856</v>
      </c>
      <c r="D834" s="41">
        <v>8.0902855865416044E-3</v>
      </c>
      <c r="E834" s="41">
        <v>1.4054113009403402E-2</v>
      </c>
      <c r="F834" s="41">
        <v>1.0942760942761032E-2</v>
      </c>
      <c r="G834" s="41">
        <v>8.0685953251300457E-3</v>
      </c>
      <c r="H834" s="14">
        <v>1.5129758066996235E-3</v>
      </c>
      <c r="I834" s="14">
        <v>2.8668038812114105E-3</v>
      </c>
      <c r="J834" s="14">
        <v>1.8067632535996303E-3</v>
      </c>
      <c r="K834" s="14">
        <v>1.5528345480589679E-3</v>
      </c>
    </row>
    <row r="835" spans="2:11" x14ac:dyDescent="0.25">
      <c r="B835" s="29">
        <v>827</v>
      </c>
      <c r="C835" s="30">
        <v>0.60101744186046513</v>
      </c>
      <c r="D835" s="41">
        <v>4.1655766019064368E-3</v>
      </c>
      <c r="E835" s="41">
        <v>-6.1614105174201406E-3</v>
      </c>
      <c r="F835" s="41">
        <v>1.4517866341965391E-3</v>
      </c>
      <c r="G835" s="41">
        <v>-1.5931868672171225E-3</v>
      </c>
      <c r="H835" s="14">
        <v>1.5187310158621958E-3</v>
      </c>
      <c r="I835" s="14">
        <v>2.8769011974423275E-3</v>
      </c>
      <c r="J835" s="14">
        <v>1.8086537123778168E-3</v>
      </c>
      <c r="K835" s="14">
        <v>1.5550808697710752E-3</v>
      </c>
    </row>
    <row r="836" spans="2:11" x14ac:dyDescent="0.25">
      <c r="B836" s="29">
        <v>828</v>
      </c>
      <c r="C836" s="30">
        <v>0.60174418604651159</v>
      </c>
      <c r="D836" s="41">
        <v>1.6499835573235613E-2</v>
      </c>
      <c r="E836" s="41">
        <v>-9.0597775252584389E-3</v>
      </c>
      <c r="F836" s="41">
        <v>8.3109033385275755E-3</v>
      </c>
      <c r="G836" s="41">
        <v>-2.7806087764492516E-5</v>
      </c>
      <c r="H836" s="14">
        <v>1.5455649271487459E-3</v>
      </c>
      <c r="I836" s="14">
        <v>2.94371100617008E-3</v>
      </c>
      <c r="J836" s="14">
        <v>1.8169852876437353E-3</v>
      </c>
      <c r="K836" s="14">
        <v>1.5558512872603015E-3</v>
      </c>
    </row>
    <row r="837" spans="2:11" x14ac:dyDescent="0.25">
      <c r="B837" s="29">
        <v>829</v>
      </c>
      <c r="C837" s="30">
        <v>0.60247093023255816</v>
      </c>
      <c r="D837" s="41">
        <v>-9.6471735351893861E-3</v>
      </c>
      <c r="E837" s="41">
        <v>1.1545272289006148E-2</v>
      </c>
      <c r="F837" s="41">
        <v>5.6988174953696014E-3</v>
      </c>
      <c r="G837" s="41">
        <v>3.255867603128593E-3</v>
      </c>
      <c r="H837" s="14">
        <v>1.547627741368629E-3</v>
      </c>
      <c r="I837" s="14">
        <v>2.9681076829466413E-3</v>
      </c>
      <c r="J837" s="14">
        <v>1.8274227628347628E-3</v>
      </c>
      <c r="K837" s="14">
        <v>1.5599932867602639E-3</v>
      </c>
    </row>
    <row r="838" spans="2:11" x14ac:dyDescent="0.25">
      <c r="B838" s="29">
        <v>830</v>
      </c>
      <c r="C838" s="30">
        <v>0.60319767441860461</v>
      </c>
      <c r="D838" s="41">
        <v>-6.3720864331693484E-3</v>
      </c>
      <c r="E838" s="41">
        <v>3.5266173624017627E-2</v>
      </c>
      <c r="F838" s="41">
        <v>1.331494602691663E-3</v>
      </c>
      <c r="G838" s="41">
        <v>9.4018193707909436E-3</v>
      </c>
      <c r="H838" s="14">
        <v>1.5525631034041254E-3</v>
      </c>
      <c r="I838" s="14">
        <v>2.9825817227391305E-3</v>
      </c>
      <c r="J838" s="14">
        <v>1.8402649981597019E-3</v>
      </c>
      <c r="K838" s="14">
        <v>1.5692741443997346E-3</v>
      </c>
    </row>
    <row r="839" spans="2:11" x14ac:dyDescent="0.25">
      <c r="B839" s="29">
        <v>831</v>
      </c>
      <c r="C839" s="30">
        <v>0.60392441860465118</v>
      </c>
      <c r="D839" s="41">
        <v>1.8955825409789732E-3</v>
      </c>
      <c r="E839" s="41">
        <v>1.526325198891576E-2</v>
      </c>
      <c r="F839" s="41">
        <v>3.8057180914319311E-4</v>
      </c>
      <c r="G839" s="41">
        <v>2.327307318351849E-4</v>
      </c>
      <c r="H839" s="14">
        <v>1.554376152111514E-3</v>
      </c>
      <c r="I839" s="14">
        <v>3.0130780408581526E-3</v>
      </c>
      <c r="J839" s="14">
        <v>1.8558901313041609E-3</v>
      </c>
      <c r="K839" s="14">
        <v>1.5774812331332821E-3</v>
      </c>
    </row>
    <row r="840" spans="2:11" x14ac:dyDescent="0.25">
      <c r="B840" s="29">
        <v>832</v>
      </c>
      <c r="C840" s="30">
        <v>0.60465116279069764</v>
      </c>
      <c r="D840" s="41">
        <v>-8.1447769881392261E-3</v>
      </c>
      <c r="E840" s="41">
        <v>-6.4640150264504426E-3</v>
      </c>
      <c r="F840" s="41">
        <v>1.7155110793423134E-3</v>
      </c>
      <c r="G840" s="41">
        <v>-7.8264978011310937E-4</v>
      </c>
      <c r="H840" s="14">
        <v>1.5579289930585105E-3</v>
      </c>
      <c r="I840" s="14">
        <v>3.0461500537037889E-3</v>
      </c>
      <c r="J840" s="14">
        <v>1.8627755355478115E-3</v>
      </c>
      <c r="K840" s="14">
        <v>1.5792545917040714E-3</v>
      </c>
    </row>
    <row r="841" spans="2:11" x14ac:dyDescent="0.25">
      <c r="B841" s="29">
        <v>833</v>
      </c>
      <c r="C841" s="30">
        <v>0.60537790697674421</v>
      </c>
      <c r="D841" s="41">
        <v>-7.7855234218888612E-4</v>
      </c>
      <c r="E841" s="41">
        <v>-4.7115469825420586E-3</v>
      </c>
      <c r="F841" s="41">
        <v>0</v>
      </c>
      <c r="G841" s="41">
        <v>-3.6036270574796082E-3</v>
      </c>
      <c r="H841" s="14">
        <v>1.5745642011300021E-3</v>
      </c>
      <c r="I841" s="14">
        <v>3.0899305614506822E-3</v>
      </c>
      <c r="J841" s="14">
        <v>1.8645365283886939E-3</v>
      </c>
      <c r="K841" s="14">
        <v>1.5828579360582574E-3</v>
      </c>
    </row>
    <row r="842" spans="2:11" x14ac:dyDescent="0.25">
      <c r="B842" s="29">
        <v>834</v>
      </c>
      <c r="C842" s="30">
        <v>0.60610465116279066</v>
      </c>
      <c r="D842" s="41">
        <v>-4.2942285607329121E-3</v>
      </c>
      <c r="E842" s="41">
        <v>5.3348568715034794E-3</v>
      </c>
      <c r="F842" s="41">
        <v>1.1449835408616771E-3</v>
      </c>
      <c r="G842" s="41">
        <v>7.0291289634871767E-4</v>
      </c>
      <c r="H842" s="14">
        <v>1.5982556191849184E-3</v>
      </c>
      <c r="I842" s="14">
        <v>3.1639965526606417E-3</v>
      </c>
      <c r="J842" s="14">
        <v>1.8806812245324434E-3</v>
      </c>
      <c r="K842" s="14">
        <v>1.5884590561828561E-3</v>
      </c>
    </row>
    <row r="843" spans="2:11" x14ac:dyDescent="0.25">
      <c r="B843" s="29">
        <v>835</v>
      </c>
      <c r="C843" s="30">
        <v>0.60683139534883723</v>
      </c>
      <c r="D843" s="41">
        <v>-3.4502499620514804E-3</v>
      </c>
      <c r="E843" s="41">
        <v>5.6903308658011742E-3</v>
      </c>
      <c r="F843" s="41">
        <v>3.4467901766477294E-3</v>
      </c>
      <c r="G843" s="41">
        <v>9.8345857562698487E-5</v>
      </c>
      <c r="H843" s="14">
        <v>1.5994684901916578E-3</v>
      </c>
      <c r="I843" s="14">
        <v>3.1736304143228367E-3</v>
      </c>
      <c r="J843" s="14">
        <v>1.888719563004182E-3</v>
      </c>
      <c r="K843" s="14">
        <v>1.6003646921597615E-3</v>
      </c>
    </row>
    <row r="844" spans="2:11" x14ac:dyDescent="0.25">
      <c r="B844" s="29">
        <v>836</v>
      </c>
      <c r="C844" s="30">
        <v>0.60755813953488369</v>
      </c>
      <c r="D844" s="41">
        <v>1.3337066764489933E-2</v>
      </c>
      <c r="E844" s="41">
        <v>5.5700698643808E-3</v>
      </c>
      <c r="F844" s="41">
        <v>3.1695721077655836E-3</v>
      </c>
      <c r="G844" s="41">
        <v>8.471673505156211E-4</v>
      </c>
      <c r="H844" s="14">
        <v>1.6175787969399114E-3</v>
      </c>
      <c r="I844" s="14">
        <v>3.1817954655251057E-3</v>
      </c>
      <c r="J844" s="14">
        <v>1.8950360583249726E-3</v>
      </c>
      <c r="K844" s="14">
        <v>1.6213912683054723E-3</v>
      </c>
    </row>
    <row r="845" spans="2:11" x14ac:dyDescent="0.25">
      <c r="B845" s="29">
        <v>837</v>
      </c>
      <c r="C845" s="30">
        <v>0.60828488372093026</v>
      </c>
      <c r="D845" s="41">
        <v>8.953407925504215E-3</v>
      </c>
      <c r="E845" s="41">
        <v>4.9480744108651997E-3</v>
      </c>
      <c r="F845" s="41">
        <v>3.9535220095463508E-3</v>
      </c>
      <c r="G845" s="41">
        <v>3.3774265726002287E-3</v>
      </c>
      <c r="H845" s="14">
        <v>1.6300944917944094E-3</v>
      </c>
      <c r="I845" s="14">
        <v>3.1961522051124902E-3</v>
      </c>
      <c r="J845" s="14">
        <v>1.8978509628801987E-3</v>
      </c>
      <c r="K845" s="14">
        <v>1.6227228038301789E-3</v>
      </c>
    </row>
    <row r="846" spans="2:11" x14ac:dyDescent="0.25">
      <c r="B846" s="29">
        <v>838</v>
      </c>
      <c r="C846" s="30">
        <v>0.60901162790697672</v>
      </c>
      <c r="D846" s="41">
        <v>-6.2520202611168092E-3</v>
      </c>
      <c r="E846" s="41">
        <v>-8.5184566560881914E-3</v>
      </c>
      <c r="F846" s="41">
        <v>-3.2199154171471678E-3</v>
      </c>
      <c r="G846" s="41">
        <v>-2.6360329741713208E-3</v>
      </c>
      <c r="H846" s="14">
        <v>1.6362250022339264E-3</v>
      </c>
      <c r="I846" s="14">
        <v>3.1996414967510045E-3</v>
      </c>
      <c r="J846" s="14">
        <v>1.9127702914201183E-3</v>
      </c>
      <c r="K846" s="14">
        <v>1.6284261886823971E-3</v>
      </c>
    </row>
    <row r="847" spans="2:11" x14ac:dyDescent="0.25">
      <c r="B847" s="29">
        <v>839</v>
      </c>
      <c r="C847" s="30">
        <v>0.60973837209302328</v>
      </c>
      <c r="D847" s="41">
        <v>-7.7687677258689211E-5</v>
      </c>
      <c r="E847" s="41">
        <v>5.9914449783196044E-3</v>
      </c>
      <c r="F847" s="41">
        <v>-2.9229958311371984E-3</v>
      </c>
      <c r="G847" s="41">
        <v>3.4909580057585383E-3</v>
      </c>
      <c r="H847" s="14">
        <v>1.6497054097481811E-3</v>
      </c>
      <c r="I847" s="14">
        <v>3.2023399775584771E-3</v>
      </c>
      <c r="J847" s="14">
        <v>1.9139900711764302E-3</v>
      </c>
      <c r="K847" s="14">
        <v>1.6561823494291475E-3</v>
      </c>
    </row>
    <row r="848" spans="2:11" x14ac:dyDescent="0.25">
      <c r="B848" s="29">
        <v>840</v>
      </c>
      <c r="C848" s="30">
        <v>0.61046511627906974</v>
      </c>
      <c r="D848" s="41">
        <v>5.8118709136404682E-3</v>
      </c>
      <c r="E848" s="41">
        <v>5.8247054883286964E-3</v>
      </c>
      <c r="F848" s="41">
        <v>2.7869876507615743E-3</v>
      </c>
      <c r="G848" s="41">
        <v>3.2216719675837169E-3</v>
      </c>
      <c r="H848" s="14">
        <v>1.6590894400032585E-3</v>
      </c>
      <c r="I848" s="14">
        <v>3.2158427923174582E-3</v>
      </c>
      <c r="J848" s="14">
        <v>1.914306626879192E-3</v>
      </c>
      <c r="K848" s="14">
        <v>1.6571182889713934E-3</v>
      </c>
    </row>
    <row r="849" spans="2:11" x14ac:dyDescent="0.25">
      <c r="B849" s="29">
        <v>841</v>
      </c>
      <c r="C849" s="30">
        <v>0.61119186046511631</v>
      </c>
      <c r="D849" s="41">
        <v>-8.0376337896820532E-4</v>
      </c>
      <c r="E849" s="41">
        <v>1.0568528947634936E-2</v>
      </c>
      <c r="F849" s="41">
        <v>8.3825952127145609E-3</v>
      </c>
      <c r="G849" s="41">
        <v>2.1618658036884671E-3</v>
      </c>
      <c r="H849" s="14">
        <v>1.6625128981306858E-3</v>
      </c>
      <c r="I849" s="14">
        <v>3.2440238829134493E-3</v>
      </c>
      <c r="J849" s="14">
        <v>1.9323138077624868E-3</v>
      </c>
      <c r="K849" s="14">
        <v>1.6572283265632313E-3</v>
      </c>
    </row>
    <row r="850" spans="2:11" x14ac:dyDescent="0.25">
      <c r="B850" s="29">
        <v>842</v>
      </c>
      <c r="C850" s="30">
        <v>0.61191860465116277</v>
      </c>
      <c r="D850" s="41">
        <v>-5.4148162207805616E-3</v>
      </c>
      <c r="E850" s="41">
        <v>-1.1962236580088659E-3</v>
      </c>
      <c r="F850" s="41">
        <v>1.2128268568378786E-3</v>
      </c>
      <c r="G850" s="41">
        <v>-7.7555309689500982E-4</v>
      </c>
      <c r="H850" s="14">
        <v>1.6651344201710216E-3</v>
      </c>
      <c r="I850" s="14">
        <v>3.2515364811975811E-3</v>
      </c>
      <c r="J850" s="14">
        <v>1.9329422140976771E-3</v>
      </c>
      <c r="K850" s="14">
        <v>1.6773135125388364E-3</v>
      </c>
    </row>
    <row r="851" spans="2:11" x14ac:dyDescent="0.25">
      <c r="B851" s="29">
        <v>843</v>
      </c>
      <c r="C851" s="30">
        <v>0.61264534883720934</v>
      </c>
      <c r="D851" s="41">
        <v>-3.5371200094052604E-3</v>
      </c>
      <c r="E851" s="41">
        <v>1.8244537037700903E-2</v>
      </c>
      <c r="F851" s="41">
        <v>-9.7016735386867836E-5</v>
      </c>
      <c r="G851" s="41">
        <v>9.8451119070439141E-3</v>
      </c>
      <c r="H851" s="14">
        <v>1.6756615598885194E-3</v>
      </c>
      <c r="I851" s="14">
        <v>3.2639794601458938E-3</v>
      </c>
      <c r="J851" s="14">
        <v>1.9351433765320003E-3</v>
      </c>
      <c r="K851" s="14">
        <v>1.6900647258550896E-3</v>
      </c>
    </row>
    <row r="852" spans="2:11" x14ac:dyDescent="0.25">
      <c r="B852" s="29">
        <v>844</v>
      </c>
      <c r="C852" s="30">
        <v>0.61337209302325579</v>
      </c>
      <c r="D852" s="41">
        <v>-1.7252685955468312E-2</v>
      </c>
      <c r="E852" s="41">
        <v>-6.4233041983898786E-3</v>
      </c>
      <c r="F852" s="41">
        <v>-8.2266910420473183E-3</v>
      </c>
      <c r="G852" s="41">
        <v>9.5312534713387674E-4</v>
      </c>
      <c r="H852" s="14">
        <v>1.685270299846664E-3</v>
      </c>
      <c r="I852" s="14">
        <v>3.2798248505903072E-3</v>
      </c>
      <c r="J852" s="14">
        <v>1.9370271923826454E-3</v>
      </c>
      <c r="K852" s="14">
        <v>1.6921700875324409E-3</v>
      </c>
    </row>
    <row r="853" spans="2:11" x14ac:dyDescent="0.25">
      <c r="B853" s="29">
        <v>845</v>
      </c>
      <c r="C853" s="30">
        <v>0.61409883720930236</v>
      </c>
      <c r="D853" s="41">
        <v>4.9789801023190066E-3</v>
      </c>
      <c r="E853" s="41">
        <v>1.0087119252007781E-2</v>
      </c>
      <c r="F853" s="41">
        <v>7.3664825046038107E-3</v>
      </c>
      <c r="G853" s="41">
        <v>6.9658218561880593E-3</v>
      </c>
      <c r="H853" s="14">
        <v>1.6887881300968743E-3</v>
      </c>
      <c r="I853" s="14">
        <v>3.3080742845661426E-3</v>
      </c>
      <c r="J853" s="14">
        <v>1.9518239726916686E-3</v>
      </c>
      <c r="K853" s="14">
        <v>1.6932838297120333E-3</v>
      </c>
    </row>
    <row r="854" spans="2:11" x14ac:dyDescent="0.25">
      <c r="B854" s="29">
        <v>846</v>
      </c>
      <c r="C854" s="30">
        <v>0.61482558139534882</v>
      </c>
      <c r="D854" s="41">
        <v>-1.2064106827365891E-2</v>
      </c>
      <c r="E854" s="41">
        <v>-2.0632447682008559E-3</v>
      </c>
      <c r="F854" s="41">
        <v>2.3803740587806654E-3</v>
      </c>
      <c r="G854" s="41">
        <v>1.78916861564371E-4</v>
      </c>
      <c r="H854" s="14">
        <v>1.7133693404249861E-3</v>
      </c>
      <c r="I854" s="14">
        <v>3.3237747653804828E-3</v>
      </c>
      <c r="J854" s="14">
        <v>1.9673150835344266E-3</v>
      </c>
      <c r="K854" s="14">
        <v>1.698404689264521E-3</v>
      </c>
    </row>
    <row r="855" spans="2:11" x14ac:dyDescent="0.25">
      <c r="B855" s="29">
        <v>847</v>
      </c>
      <c r="C855" s="30">
        <v>0.61555232558139539</v>
      </c>
      <c r="D855" s="41">
        <v>-1.0779723080470613E-2</v>
      </c>
      <c r="E855" s="41">
        <v>-7.4542897327700697E-4</v>
      </c>
      <c r="F855" s="41">
        <v>-3.4372579395816061E-3</v>
      </c>
      <c r="G855" s="41">
        <v>4.6484657718202081E-4</v>
      </c>
      <c r="H855" s="14">
        <v>1.7168083714846905E-3</v>
      </c>
      <c r="I855" s="14">
        <v>3.3284023668638252E-3</v>
      </c>
      <c r="J855" s="14">
        <v>1.9684375869584159E-3</v>
      </c>
      <c r="K855" s="14">
        <v>1.7013623375769617E-3</v>
      </c>
    </row>
    <row r="856" spans="2:11" x14ac:dyDescent="0.25">
      <c r="B856" s="29">
        <v>848</v>
      </c>
      <c r="C856" s="30">
        <v>0.61627906976744184</v>
      </c>
      <c r="D856" s="41">
        <v>-8.1736503299139236E-3</v>
      </c>
      <c r="E856" s="41">
        <v>-1.147127957549221E-2</v>
      </c>
      <c r="F856" s="41">
        <v>3.4003691829396221E-3</v>
      </c>
      <c r="G856" s="41">
        <v>-4.4996680806512314E-3</v>
      </c>
      <c r="H856" s="14">
        <v>1.7369140577454534E-3</v>
      </c>
      <c r="I856" s="14">
        <v>3.3363599890194884E-3</v>
      </c>
      <c r="J856" s="14">
        <v>1.9806449946093707E-3</v>
      </c>
      <c r="K856" s="14">
        <v>1.7206269431814915E-3</v>
      </c>
    </row>
    <row r="857" spans="2:11" x14ac:dyDescent="0.25">
      <c r="B857" s="29">
        <v>849</v>
      </c>
      <c r="C857" s="30">
        <v>0.61700581395348841</v>
      </c>
      <c r="D857" s="41">
        <v>-2.6046127296268057E-2</v>
      </c>
      <c r="E857" s="41">
        <v>8.8563617724113364E-3</v>
      </c>
      <c r="F857" s="41">
        <v>9.4640317756093939E-3</v>
      </c>
      <c r="G857" s="41">
        <v>5.7642984325074753E-3</v>
      </c>
      <c r="H857" s="14">
        <v>1.7764659320500531E-3</v>
      </c>
      <c r="I857" s="14">
        <v>3.3459333345391418E-3</v>
      </c>
      <c r="J857" s="14">
        <v>2.003240674469442E-3</v>
      </c>
      <c r="K857" s="14">
        <v>1.7363838048617634E-3</v>
      </c>
    </row>
    <row r="858" spans="2:11" x14ac:dyDescent="0.25">
      <c r="B858" s="29">
        <v>850</v>
      </c>
      <c r="C858" s="30">
        <v>0.61773255813953487</v>
      </c>
      <c r="D858" s="41">
        <v>3.6990970750459856E-3</v>
      </c>
      <c r="E858" s="41">
        <v>0</v>
      </c>
      <c r="F858" s="41">
        <v>1.4713094654217329E-4</v>
      </c>
      <c r="G858" s="41">
        <v>2.942618930843466E-5</v>
      </c>
      <c r="H858" s="14">
        <v>1.7799939421694333E-3</v>
      </c>
      <c r="I858" s="14">
        <v>3.3991702646496424E-3</v>
      </c>
      <c r="J858" s="14">
        <v>2.0246043590170792E-3</v>
      </c>
      <c r="K858" s="14">
        <v>1.7421611001160466E-3</v>
      </c>
    </row>
    <row r="859" spans="2:11" x14ac:dyDescent="0.25">
      <c r="B859" s="29">
        <v>851</v>
      </c>
      <c r="C859" s="30">
        <v>0.61845930232558144</v>
      </c>
      <c r="D859" s="41">
        <v>4.4430744980978659E-3</v>
      </c>
      <c r="E859" s="41">
        <v>-3.246111722697842E-4</v>
      </c>
      <c r="F859" s="41">
        <v>7.7596006523996675E-3</v>
      </c>
      <c r="G859" s="41">
        <v>3.6570797700353989E-3</v>
      </c>
      <c r="H859" s="14">
        <v>1.7938601684013289E-3</v>
      </c>
      <c r="I859" s="14">
        <v>3.4342080219789128E-3</v>
      </c>
      <c r="J859" s="14">
        <v>2.0248471500501353E-3</v>
      </c>
      <c r="K859" s="14">
        <v>1.7597661037604523E-3</v>
      </c>
    </row>
    <row r="860" spans="2:11" x14ac:dyDescent="0.25">
      <c r="B860" s="29">
        <v>852</v>
      </c>
      <c r="C860" s="30">
        <v>0.6191860465116279</v>
      </c>
      <c r="D860" s="41">
        <v>-5.516938081240705E-3</v>
      </c>
      <c r="E860" s="41">
        <v>-6.204910279397402E-3</v>
      </c>
      <c r="F860" s="41">
        <v>5.1666749465943962E-3</v>
      </c>
      <c r="G860" s="41">
        <v>4.2385746690292159E-3</v>
      </c>
      <c r="H860" s="14">
        <v>1.8185238707970619E-3</v>
      </c>
      <c r="I860" s="14">
        <v>3.4349010801741908E-3</v>
      </c>
      <c r="J860" s="14">
        <v>2.0290765819084289E-3</v>
      </c>
      <c r="K860" s="14">
        <v>1.765518521435894E-3</v>
      </c>
    </row>
    <row r="861" spans="2:11" x14ac:dyDescent="0.25">
      <c r="B861" s="29">
        <v>853</v>
      </c>
      <c r="C861" s="30">
        <v>0.61991279069767447</v>
      </c>
      <c r="D861" s="41">
        <v>2.0620871619323099E-2</v>
      </c>
      <c r="E861" s="41">
        <v>-1.3439122621339061E-2</v>
      </c>
      <c r="F861" s="41">
        <v>-4.4691627768378428E-4</v>
      </c>
      <c r="G861" s="41">
        <v>-6.3029311116779459E-3</v>
      </c>
      <c r="H861" s="14">
        <v>1.8327021133894839E-3</v>
      </c>
      <c r="I861" s="14">
        <v>3.4524300418010689E-3</v>
      </c>
      <c r="J861" s="14">
        <v>2.0349692958201437E-3</v>
      </c>
      <c r="K861" s="14">
        <v>1.7817054332517793E-3</v>
      </c>
    </row>
    <row r="862" spans="2:11" x14ac:dyDescent="0.25">
      <c r="B862" s="29">
        <v>854</v>
      </c>
      <c r="C862" s="30">
        <v>0.62063953488372092</v>
      </c>
      <c r="D862" s="41">
        <v>1.1057552771158904E-2</v>
      </c>
      <c r="E862" s="41">
        <v>6.3431035848253714E-3</v>
      </c>
      <c r="F862" s="41">
        <v>-9.4260058540462932E-4</v>
      </c>
      <c r="G862" s="41">
        <v>3.2529680470285041E-3</v>
      </c>
      <c r="H862" s="14">
        <v>1.8692016968826497E-3</v>
      </c>
      <c r="I862" s="14">
        <v>3.471238311136382E-3</v>
      </c>
      <c r="J862" s="14">
        <v>2.0351203628328207E-3</v>
      </c>
      <c r="K862" s="14">
        <v>1.8080753072514224E-3</v>
      </c>
    </row>
    <row r="863" spans="2:11" x14ac:dyDescent="0.25">
      <c r="B863" s="29">
        <v>855</v>
      </c>
      <c r="C863" s="30">
        <v>0.62136627906976749</v>
      </c>
      <c r="D863" s="41">
        <v>-8.2189515100633114E-3</v>
      </c>
      <c r="E863" s="41">
        <v>8.0989039292562737E-3</v>
      </c>
      <c r="F863" s="41">
        <v>4.3848721909411914E-3</v>
      </c>
      <c r="G863" s="41">
        <v>5.792063639985745E-3</v>
      </c>
      <c r="H863" s="14">
        <v>1.8712676613692469E-3</v>
      </c>
      <c r="I863" s="14">
        <v>3.4928522559503072E-3</v>
      </c>
      <c r="J863" s="14">
        <v>2.0369425690442977E-3</v>
      </c>
      <c r="K863" s="14">
        <v>1.8271798597938819E-3</v>
      </c>
    </row>
    <row r="864" spans="2:11" x14ac:dyDescent="0.25">
      <c r="B864" s="29">
        <v>856</v>
      </c>
      <c r="C864" s="30">
        <v>0.62209302325581395</v>
      </c>
      <c r="D864" s="41">
        <v>-1.0089993570030837E-2</v>
      </c>
      <c r="E864" s="41">
        <v>1.7217396241412608E-2</v>
      </c>
      <c r="F864" s="41">
        <v>2.0971688220901008E-3</v>
      </c>
      <c r="G864" s="41">
        <v>3.0708716449073139E-3</v>
      </c>
      <c r="H864" s="14">
        <v>1.9226594288250798E-3</v>
      </c>
      <c r="I864" s="14">
        <v>3.5258996288525246E-3</v>
      </c>
      <c r="J864" s="14">
        <v>2.0427482437348488E-3</v>
      </c>
      <c r="K864" s="14">
        <v>1.8493779819670486E-3</v>
      </c>
    </row>
    <row r="865" spans="2:11" x14ac:dyDescent="0.25">
      <c r="B865" s="29">
        <v>857</v>
      </c>
      <c r="C865" s="30">
        <v>0.62281976744186052</v>
      </c>
      <c r="D865" s="41">
        <v>-7.9625758352880986E-3</v>
      </c>
      <c r="E865" s="41">
        <v>-6.9559757203656591E-3</v>
      </c>
      <c r="F865" s="41">
        <v>-2.0780363778603594E-2</v>
      </c>
      <c r="G865" s="41">
        <v>-8.6248583738491418E-3</v>
      </c>
      <c r="H865" s="14">
        <v>1.9536439348297741E-3</v>
      </c>
      <c r="I865" s="14">
        <v>3.5304369846791417E-3</v>
      </c>
      <c r="J865" s="14">
        <v>2.0550254281737068E-3</v>
      </c>
      <c r="K865" s="14">
        <v>1.8533334505676188E-3</v>
      </c>
    </row>
    <row r="866" spans="2:11" x14ac:dyDescent="0.25">
      <c r="B866" s="29">
        <v>858</v>
      </c>
      <c r="C866" s="30">
        <v>0.62354651162790697</v>
      </c>
      <c r="D866" s="41">
        <v>6.6090502603828182E-4</v>
      </c>
      <c r="E866" s="41">
        <v>-9.9485010503536087E-3</v>
      </c>
      <c r="F866" s="41">
        <v>-1.4666340747981899E-4</v>
      </c>
      <c r="G866" s="41">
        <v>-6.5490359839040831E-3</v>
      </c>
      <c r="H866" s="14">
        <v>1.9579821156749944E-3</v>
      </c>
      <c r="I866" s="14">
        <v>3.5646033531668841E-3</v>
      </c>
      <c r="J866" s="14">
        <v>2.0569077819680981E-3</v>
      </c>
      <c r="K866" s="14">
        <v>1.8599826132223998E-3</v>
      </c>
    </row>
    <row r="867" spans="2:11" x14ac:dyDescent="0.25">
      <c r="B867" s="29">
        <v>859</v>
      </c>
      <c r="C867" s="30">
        <v>0.62427325581395354</v>
      </c>
      <c r="D867" s="41">
        <v>1.3126924957132011E-2</v>
      </c>
      <c r="E867" s="41">
        <v>-3.753982840963066E-3</v>
      </c>
      <c r="F867" s="41">
        <v>-1.8542917093641309E-3</v>
      </c>
      <c r="G867" s="41">
        <v>4.2187824969988066E-4</v>
      </c>
      <c r="H867" s="14">
        <v>2.0451070336391375E-3</v>
      </c>
      <c r="I867" s="14">
        <v>3.5795277691317295E-3</v>
      </c>
      <c r="J867" s="14">
        <v>2.0971688220901008E-3</v>
      </c>
      <c r="K867" s="14">
        <v>1.8633772494749843E-3</v>
      </c>
    </row>
    <row r="868" spans="2:11" x14ac:dyDescent="0.25">
      <c r="B868" s="29">
        <v>860</v>
      </c>
      <c r="C868" s="30">
        <v>0.625</v>
      </c>
      <c r="D868" s="41">
        <v>1.8695691908720159E-2</v>
      </c>
      <c r="E868" s="41">
        <v>3.0130780408581526E-3</v>
      </c>
      <c r="F868" s="41">
        <v>6.7796610169492677E-3</v>
      </c>
      <c r="G868" s="41">
        <v>1.9745575862640586E-3</v>
      </c>
      <c r="H868" s="14">
        <v>2.0571812418657132E-3</v>
      </c>
      <c r="I868" s="14">
        <v>3.6339165545087315E-3</v>
      </c>
      <c r="J868" s="14">
        <v>2.1151887745840536E-3</v>
      </c>
      <c r="K868" s="14">
        <v>1.8661470789454349E-3</v>
      </c>
    </row>
    <row r="869" spans="2:11" x14ac:dyDescent="0.25">
      <c r="B869" s="29">
        <v>861</v>
      </c>
      <c r="C869" s="30">
        <v>0.62572674418604646</v>
      </c>
      <c r="D869" s="41">
        <v>-3.7331057501448256E-3</v>
      </c>
      <c r="E869" s="41">
        <v>6.3418340896663761E-3</v>
      </c>
      <c r="F869" s="41">
        <v>1.3774782309241562E-3</v>
      </c>
      <c r="G869" s="41">
        <v>-8.43123198366369E-4</v>
      </c>
      <c r="H869" s="14">
        <v>2.0572906461853169E-3</v>
      </c>
      <c r="I869" s="14">
        <v>3.6530456205929873E-3</v>
      </c>
      <c r="J869" s="14">
        <v>2.1343129309761011E-3</v>
      </c>
      <c r="K869" s="14">
        <v>1.8698860451254354E-3</v>
      </c>
    </row>
    <row r="870" spans="2:11" x14ac:dyDescent="0.25">
      <c r="B870" s="29">
        <v>862</v>
      </c>
      <c r="C870" s="30">
        <v>0.62645348837209303</v>
      </c>
      <c r="D870" s="41">
        <v>-1.1944997437317542E-2</v>
      </c>
      <c r="E870" s="41">
        <v>-1.2843674137638095E-3</v>
      </c>
      <c r="F870" s="41">
        <v>4.695531830763322E-3</v>
      </c>
      <c r="G870" s="41">
        <v>2.401643985627411E-3</v>
      </c>
      <c r="H870" s="14">
        <v>2.0633236169684821E-3</v>
      </c>
      <c r="I870" s="14">
        <v>3.662639655882316E-3</v>
      </c>
      <c r="J870" s="14">
        <v>2.1513680494262832E-3</v>
      </c>
      <c r="K870" s="14">
        <v>1.8862595595319446E-3</v>
      </c>
    </row>
    <row r="871" spans="2:11" x14ac:dyDescent="0.25">
      <c r="B871" s="29">
        <v>863</v>
      </c>
      <c r="C871" s="30">
        <v>0.62718023255813948</v>
      </c>
      <c r="D871" s="41">
        <v>3.0997148951333662E-3</v>
      </c>
      <c r="E871" s="41">
        <v>-8.5145772388744989E-3</v>
      </c>
      <c r="F871" s="41">
        <v>5.9665871121719061E-3</v>
      </c>
      <c r="G871" s="41">
        <v>5.2604462122336493E-3</v>
      </c>
      <c r="H871" s="14">
        <v>2.0834938957852156E-3</v>
      </c>
      <c r="I871" s="14">
        <v>3.6900958466452582E-3</v>
      </c>
      <c r="J871" s="14">
        <v>2.1807433848504143E-3</v>
      </c>
      <c r="K871" s="14">
        <v>1.9002377910300795E-3</v>
      </c>
    </row>
    <row r="872" spans="2:11" x14ac:dyDescent="0.25">
      <c r="B872" s="29">
        <v>864</v>
      </c>
      <c r="C872" s="30">
        <v>0.62790697674418605</v>
      </c>
      <c r="D872" s="41">
        <v>-1.4902299077508993E-2</v>
      </c>
      <c r="E872" s="41">
        <v>7.2336210152723623E-3</v>
      </c>
      <c r="F872" s="41">
        <v>2.0427482437348488E-3</v>
      </c>
      <c r="G872" s="41">
        <v>4.717699470557335E-3</v>
      </c>
      <c r="H872" s="14">
        <v>2.0842906846976206E-3</v>
      </c>
      <c r="I872" s="14">
        <v>3.7063221715192274E-3</v>
      </c>
      <c r="J872" s="14">
        <v>2.1994760050281226E-3</v>
      </c>
      <c r="K872" s="14">
        <v>1.9083753658935001E-3</v>
      </c>
    </row>
    <row r="873" spans="2:11" x14ac:dyDescent="0.25">
      <c r="B873" s="29">
        <v>865</v>
      </c>
      <c r="C873" s="30">
        <v>0.62863372093023251</v>
      </c>
      <c r="D873" s="41">
        <v>-5.4508615398852489E-3</v>
      </c>
      <c r="E873" s="41">
        <v>3.8632439928678597E-3</v>
      </c>
      <c r="F873" s="41">
        <v>-1.424291537743716E-2</v>
      </c>
      <c r="G873" s="41">
        <v>2.9288402029677522E-3</v>
      </c>
      <c r="H873" s="14">
        <v>2.1031460705989158E-3</v>
      </c>
      <c r="I873" s="14">
        <v>3.7251615053572884E-3</v>
      </c>
      <c r="J873" s="14">
        <v>2.2008004834392914E-3</v>
      </c>
      <c r="K873" s="14">
        <v>1.920183931891328E-3</v>
      </c>
    </row>
    <row r="874" spans="2:11" x14ac:dyDescent="0.25">
      <c r="B874" s="29">
        <v>866</v>
      </c>
      <c r="C874" s="30">
        <v>0.62936046511627908</v>
      </c>
      <c r="D874" s="41">
        <v>1.1884768325509854E-2</v>
      </c>
      <c r="E874" s="41">
        <v>1.5858695498949249E-3</v>
      </c>
      <c r="F874" s="41">
        <v>8.5194908118282342E-3</v>
      </c>
      <c r="G874" s="41">
        <v>1.5133728858769846E-3</v>
      </c>
      <c r="H874" s="14">
        <v>2.1179739192203062E-3</v>
      </c>
      <c r="I874" s="14">
        <v>3.7712371380713705E-3</v>
      </c>
      <c r="J874" s="14">
        <v>2.2022213711221372E-3</v>
      </c>
      <c r="K874" s="14">
        <v>1.9231889973170932E-3</v>
      </c>
    </row>
    <row r="875" spans="2:11" x14ac:dyDescent="0.25">
      <c r="B875" s="29">
        <v>867</v>
      </c>
      <c r="C875" s="30">
        <v>0.63008720930232553</v>
      </c>
      <c r="D875" s="41">
        <v>8.5122579849023512E-3</v>
      </c>
      <c r="E875" s="41">
        <v>-2.0689218383849184E-3</v>
      </c>
      <c r="F875" s="41">
        <v>9.9162080420445164E-4</v>
      </c>
      <c r="G875" s="41">
        <v>3.6308094709486486E-3</v>
      </c>
      <c r="H875" s="14">
        <v>2.1533175958776685E-3</v>
      </c>
      <c r="I875" s="14">
        <v>3.795866722901664E-3</v>
      </c>
      <c r="J875" s="14">
        <v>2.2056906588323599E-3</v>
      </c>
      <c r="K875" s="14">
        <v>1.9365974814848695E-3</v>
      </c>
    </row>
    <row r="876" spans="2:11" x14ac:dyDescent="0.25">
      <c r="B876" s="29">
        <v>868</v>
      </c>
      <c r="C876" s="30">
        <v>0.6308139534883721</v>
      </c>
      <c r="D876" s="41">
        <v>-1.0899526243742347E-2</v>
      </c>
      <c r="E876" s="41">
        <v>1.0817367021839441E-2</v>
      </c>
      <c r="F876" s="41">
        <v>-4.4603033006229698E-4</v>
      </c>
      <c r="G876" s="41">
        <v>5.3701723249819158E-3</v>
      </c>
      <c r="H876" s="14">
        <v>2.1659692695787935E-3</v>
      </c>
      <c r="I876" s="14">
        <v>3.8000019338433333E-3</v>
      </c>
      <c r="J876" s="14">
        <v>2.2087473290250959E-3</v>
      </c>
      <c r="K876" s="14">
        <v>1.9383110602262832E-3</v>
      </c>
    </row>
    <row r="877" spans="2:11" x14ac:dyDescent="0.25">
      <c r="B877" s="29">
        <v>869</v>
      </c>
      <c r="C877" s="30">
        <v>0.63154069767441856</v>
      </c>
      <c r="D877" s="41">
        <v>2.3657771701755632E-3</v>
      </c>
      <c r="E877" s="41">
        <v>1.8835938971557553E-3</v>
      </c>
      <c r="F877" s="41">
        <v>8.9285714285702866E-4</v>
      </c>
      <c r="G877" s="41">
        <v>9.3200898743370795E-4</v>
      </c>
      <c r="H877" s="14">
        <v>2.1676047966996403E-3</v>
      </c>
      <c r="I877" s="14">
        <v>3.8121402003303828E-3</v>
      </c>
      <c r="J877" s="14">
        <v>2.2167926618308353E-3</v>
      </c>
      <c r="K877" s="14">
        <v>1.9401051250803381E-3</v>
      </c>
    </row>
    <row r="878" spans="2:11" x14ac:dyDescent="0.25">
      <c r="B878" s="29">
        <v>870</v>
      </c>
      <c r="C878" s="30">
        <v>0.63226744186046513</v>
      </c>
      <c r="D878" s="41">
        <v>1.0750531606592903E-2</v>
      </c>
      <c r="E878" s="41">
        <v>1.5465173765605966E-2</v>
      </c>
      <c r="F878" s="41">
        <v>-7.3366487764044974E-3</v>
      </c>
      <c r="G878" s="41">
        <v>7.5418263256164632E-3</v>
      </c>
      <c r="H878" s="14">
        <v>2.1877829769290091E-3</v>
      </c>
      <c r="I878" s="14">
        <v>3.8620184421336301E-3</v>
      </c>
      <c r="J878" s="14">
        <v>2.2248348256637129E-3</v>
      </c>
      <c r="K878" s="14">
        <v>1.9498967326940125E-3</v>
      </c>
    </row>
    <row r="879" spans="2:11" x14ac:dyDescent="0.25">
      <c r="B879" s="29">
        <v>871</v>
      </c>
      <c r="C879" s="30">
        <v>0.63299418604651159</v>
      </c>
      <c r="D879" s="41">
        <v>-5.0781550869314247E-3</v>
      </c>
      <c r="E879" s="41">
        <v>0</v>
      </c>
      <c r="F879" s="41">
        <v>0</v>
      </c>
      <c r="G879" s="41">
        <v>0</v>
      </c>
      <c r="H879" s="14">
        <v>2.2020237033242296E-3</v>
      </c>
      <c r="I879" s="14">
        <v>3.8621134381922051E-3</v>
      </c>
      <c r="J879" s="14">
        <v>2.2329143618324832E-3</v>
      </c>
      <c r="K879" s="14">
        <v>1.9563630586050484E-3</v>
      </c>
    </row>
    <row r="880" spans="2:11" x14ac:dyDescent="0.25">
      <c r="B880" s="29">
        <v>872</v>
      </c>
      <c r="C880" s="30">
        <v>0.63372093023255816</v>
      </c>
      <c r="D880" s="41">
        <v>3.2650262039930597E-3</v>
      </c>
      <c r="E880" s="41">
        <v>-8.5028182728308366E-4</v>
      </c>
      <c r="F880" s="41">
        <v>3.3595178103849044E-3</v>
      </c>
      <c r="G880" s="41">
        <v>-1.0387122057463837E-3</v>
      </c>
      <c r="H880" s="14">
        <v>2.2402260333422852E-3</v>
      </c>
      <c r="I880" s="14">
        <v>3.8632439928678597E-3</v>
      </c>
      <c r="J880" s="14">
        <v>2.2444037564230968E-3</v>
      </c>
      <c r="K880" s="14">
        <v>1.9573549613136846E-3</v>
      </c>
    </row>
    <row r="881" spans="2:11" x14ac:dyDescent="0.25">
      <c r="B881" s="29">
        <v>873</v>
      </c>
      <c r="C881" s="30">
        <v>0.63444767441860461</v>
      </c>
      <c r="D881" s="41">
        <v>8.2832093001434706E-3</v>
      </c>
      <c r="E881" s="41">
        <v>3.8432502916774247E-4</v>
      </c>
      <c r="F881" s="41">
        <v>4.7155762930604084E-3</v>
      </c>
      <c r="G881" s="41">
        <v>2.2220210789992479E-3</v>
      </c>
      <c r="H881" s="14">
        <v>2.2606168254482029E-3</v>
      </c>
      <c r="I881" s="14">
        <v>3.8803530295650202E-3</v>
      </c>
      <c r="J881" s="14">
        <v>2.2535251434161463E-3</v>
      </c>
      <c r="K881" s="14">
        <v>1.9612326498573479E-3</v>
      </c>
    </row>
    <row r="882" spans="2:11" x14ac:dyDescent="0.25">
      <c r="B882" s="29">
        <v>874</v>
      </c>
      <c r="C882" s="30">
        <v>0.63517441860465118</v>
      </c>
      <c r="D882" s="41">
        <v>4.172941170910502E-4</v>
      </c>
      <c r="E882" s="41">
        <v>3.9789800090554994E-3</v>
      </c>
      <c r="F882" s="41">
        <v>2.6377345344148484E-3</v>
      </c>
      <c r="G882" s="41">
        <v>4.3610945748970861E-4</v>
      </c>
      <c r="H882" s="14">
        <v>2.2811238951363499E-3</v>
      </c>
      <c r="I882" s="14">
        <v>3.8875377699167935E-3</v>
      </c>
      <c r="J882" s="14">
        <v>2.2544993293152071E-3</v>
      </c>
      <c r="K882" s="14">
        <v>1.9712359660855718E-3</v>
      </c>
    </row>
    <row r="883" spans="2:11" x14ac:dyDescent="0.25">
      <c r="B883" s="29">
        <v>875</v>
      </c>
      <c r="C883" s="30">
        <v>0.63590116279069764</v>
      </c>
      <c r="D883" s="41">
        <v>1.0075201171601733E-2</v>
      </c>
      <c r="E883" s="41">
        <v>6.9014527216326726E-4</v>
      </c>
      <c r="F883" s="41">
        <v>0</v>
      </c>
      <c r="G883" s="41">
        <v>-1.1010936908216972E-3</v>
      </c>
      <c r="H883" s="14">
        <v>2.3479690068091141E-3</v>
      </c>
      <c r="I883" s="14">
        <v>3.8919037439018034E-3</v>
      </c>
      <c r="J883" s="14">
        <v>2.2578240986474984E-3</v>
      </c>
      <c r="K883" s="14">
        <v>1.9745575862640586E-3</v>
      </c>
    </row>
    <row r="884" spans="2:11" x14ac:dyDescent="0.25">
      <c r="B884" s="29">
        <v>876</v>
      </c>
      <c r="C884" s="30">
        <v>0.63662790697674421</v>
      </c>
      <c r="D884" s="41">
        <v>-3.3871973456621332E-3</v>
      </c>
      <c r="E884" s="41">
        <v>3.2639794601458938E-3</v>
      </c>
      <c r="F884" s="41">
        <v>2.2946076719709829E-3</v>
      </c>
      <c r="G884" s="41">
        <v>5.9730560320203629E-3</v>
      </c>
      <c r="H884" s="14">
        <v>2.3527566465377792E-3</v>
      </c>
      <c r="I884" s="14">
        <v>3.9510739355217428E-3</v>
      </c>
      <c r="J884" s="14">
        <v>2.2604210625432053E-3</v>
      </c>
      <c r="K884" s="14">
        <v>1.9773464862534733E-3</v>
      </c>
    </row>
    <row r="885" spans="2:11" x14ac:dyDescent="0.25">
      <c r="B885" s="29">
        <v>877</v>
      </c>
      <c r="C885" s="30">
        <v>0.63735465116279066</v>
      </c>
      <c r="D885" s="41">
        <v>1.8163838629142118E-2</v>
      </c>
      <c r="E885" s="41">
        <v>-9.5490896716011742E-3</v>
      </c>
      <c r="F885" s="41">
        <v>-1.2706229992612617E-2</v>
      </c>
      <c r="G885" s="41">
        <v>3.5225680162869191E-3</v>
      </c>
      <c r="H885" s="14">
        <v>2.3650285935834514E-3</v>
      </c>
      <c r="I885" s="14">
        <v>3.9518634464532632E-3</v>
      </c>
      <c r="J885" s="14">
        <v>2.2946076719709829E-3</v>
      </c>
      <c r="K885" s="14">
        <v>1.9825575096230176E-3</v>
      </c>
    </row>
    <row r="886" spans="2:11" x14ac:dyDescent="0.25">
      <c r="B886" s="29">
        <v>878</v>
      </c>
      <c r="C886" s="30">
        <v>0.63808139534883723</v>
      </c>
      <c r="D886" s="41">
        <v>1.4198150291805909E-2</v>
      </c>
      <c r="E886" s="41">
        <v>-3.8344717637195713E-2</v>
      </c>
      <c r="F886" s="41">
        <v>-1.4511745292176248E-2</v>
      </c>
      <c r="G886" s="41">
        <v>-2.4003050793325695E-2</v>
      </c>
      <c r="H886" s="14">
        <v>2.3668194454879998E-3</v>
      </c>
      <c r="I886" s="14">
        <v>3.9640439827950402E-3</v>
      </c>
      <c r="J886" s="14">
        <v>2.2980684672813112E-3</v>
      </c>
      <c r="K886" s="14">
        <v>1.990400545332038E-3</v>
      </c>
    </row>
    <row r="887" spans="2:11" x14ac:dyDescent="0.25">
      <c r="B887" s="29">
        <v>879</v>
      </c>
      <c r="C887" s="30">
        <v>0.63880813953488369</v>
      </c>
      <c r="D887" s="41">
        <v>2.4913967302147774E-3</v>
      </c>
      <c r="E887" s="41">
        <v>1.9222249217532017E-3</v>
      </c>
      <c r="F887" s="41">
        <v>-3.3858953274644721E-3</v>
      </c>
      <c r="G887" s="41">
        <v>6.2465039482923809E-3</v>
      </c>
      <c r="H887" s="14">
        <v>2.3687219111019342E-3</v>
      </c>
      <c r="I887" s="14">
        <v>3.9652337326756548E-3</v>
      </c>
      <c r="J887" s="14">
        <v>2.2985795956858013E-3</v>
      </c>
      <c r="K887" s="14">
        <v>2.0091723498220308E-3</v>
      </c>
    </row>
    <row r="888" spans="2:11" x14ac:dyDescent="0.25">
      <c r="B888" s="29">
        <v>880</v>
      </c>
      <c r="C888" s="30">
        <v>0.63953488372093026</v>
      </c>
      <c r="D888" s="41">
        <v>-1.5646408442677171E-4</v>
      </c>
      <c r="E888" s="41">
        <v>9.5570247698129052E-4</v>
      </c>
      <c r="F888" s="41">
        <v>-1.159532321963419E-3</v>
      </c>
      <c r="G888" s="41">
        <v>-3.4259249129091839E-3</v>
      </c>
      <c r="H888" s="14">
        <v>2.4217450517274308E-3</v>
      </c>
      <c r="I888" s="14">
        <v>3.9789800090554994E-3</v>
      </c>
      <c r="J888" s="14">
        <v>2.3164372654917997E-3</v>
      </c>
      <c r="K888" s="14">
        <v>2.0239496950882115E-3</v>
      </c>
    </row>
    <row r="889" spans="2:11" x14ac:dyDescent="0.25">
      <c r="B889" s="29">
        <v>881</v>
      </c>
      <c r="C889" s="30">
        <v>0.64026162790697672</v>
      </c>
      <c r="D889" s="41">
        <v>-1.3410465564870152E-2</v>
      </c>
      <c r="E889" s="41">
        <v>2.7090384409847124E-2</v>
      </c>
      <c r="F889" s="41">
        <v>5.831470502478453E-3</v>
      </c>
      <c r="G889" s="41">
        <v>1.0351071717645511E-2</v>
      </c>
      <c r="H889" s="14">
        <v>2.4439715368755888E-3</v>
      </c>
      <c r="I889" s="14">
        <v>3.9882009451284173E-3</v>
      </c>
      <c r="J889" s="14">
        <v>2.323274676502507E-3</v>
      </c>
      <c r="K889" s="14">
        <v>2.0290553592329005E-3</v>
      </c>
    </row>
    <row r="890" spans="2:11" x14ac:dyDescent="0.25">
      <c r="B890" s="29">
        <v>882</v>
      </c>
      <c r="C890" s="30">
        <v>0.64098837209302328</v>
      </c>
      <c r="D890" s="41">
        <v>-1.720431241347474E-2</v>
      </c>
      <c r="E890" s="41">
        <v>1.1189965798802604E-2</v>
      </c>
      <c r="F890" s="41">
        <v>2.3868673583709032E-3</v>
      </c>
      <c r="G890" s="41">
        <v>7.4714006325893763E-3</v>
      </c>
      <c r="H890" s="14">
        <v>2.465446442884156E-3</v>
      </c>
      <c r="I890" s="14">
        <v>3.9933373195524258E-3</v>
      </c>
      <c r="J890" s="14">
        <v>2.3243948069617826E-3</v>
      </c>
      <c r="K890" s="14">
        <v>2.0468994121905621E-3</v>
      </c>
    </row>
    <row r="891" spans="2:11" x14ac:dyDescent="0.25">
      <c r="B891" s="29">
        <v>883</v>
      </c>
      <c r="C891" s="30">
        <v>0.64171511627906974</v>
      </c>
      <c r="D891" s="41">
        <v>1.0065703100004566E-2</v>
      </c>
      <c r="E891" s="41">
        <v>-1.3062568605927583E-2</v>
      </c>
      <c r="F891" s="41">
        <v>-3.2530588463779431E-3</v>
      </c>
      <c r="G891" s="41">
        <v>5.3266106299476633E-4</v>
      </c>
      <c r="H891" s="14">
        <v>2.4660104124978321E-3</v>
      </c>
      <c r="I891" s="14">
        <v>4.0300080600161881E-3</v>
      </c>
      <c r="J891" s="14">
        <v>2.334889132143525E-3</v>
      </c>
      <c r="K891" s="14">
        <v>2.0490294905515238E-3</v>
      </c>
    </row>
    <row r="892" spans="2:11" x14ac:dyDescent="0.25">
      <c r="B892" s="29">
        <v>884</v>
      </c>
      <c r="C892" s="30">
        <v>0.64244186046511631</v>
      </c>
      <c r="D892" s="41">
        <v>-8.3027773643859597E-3</v>
      </c>
      <c r="E892" s="41">
        <v>-4.3863307752196601E-3</v>
      </c>
      <c r="F892" s="41">
        <v>2.4823558043320926E-3</v>
      </c>
      <c r="G892" s="41">
        <v>1.2648401873156081E-3</v>
      </c>
      <c r="H892" s="14">
        <v>2.544531390844984E-3</v>
      </c>
      <c r="I892" s="14">
        <v>4.0313069582931238E-3</v>
      </c>
      <c r="J892" s="14">
        <v>2.3394418760096514E-3</v>
      </c>
      <c r="K892" s="14">
        <v>2.0600702743659438E-3</v>
      </c>
    </row>
    <row r="893" spans="2:11" x14ac:dyDescent="0.25">
      <c r="B893" s="29">
        <v>885</v>
      </c>
      <c r="C893" s="30">
        <v>0.64316860465116277</v>
      </c>
      <c r="D893" s="41">
        <v>-6.1898730047181176E-3</v>
      </c>
      <c r="E893" s="41">
        <v>1.2169663117472584E-2</v>
      </c>
      <c r="F893" s="41">
        <v>9.7356763861133899E-5</v>
      </c>
      <c r="G893" s="41">
        <v>7.6854835920010572E-4</v>
      </c>
      <c r="H893" s="14">
        <v>2.560636182902698E-3</v>
      </c>
      <c r="I893" s="14">
        <v>4.0489799119618475E-3</v>
      </c>
      <c r="J893" s="14">
        <v>2.340689786949568E-3</v>
      </c>
      <c r="K893" s="14">
        <v>2.0618846818629025E-3</v>
      </c>
    </row>
    <row r="894" spans="2:11" x14ac:dyDescent="0.25">
      <c r="B894" s="29">
        <v>886</v>
      </c>
      <c r="C894" s="30">
        <v>0.64389534883720934</v>
      </c>
      <c r="D894" s="41">
        <v>-2.2367081187690829E-4</v>
      </c>
      <c r="E894" s="41">
        <v>1.0671320567297693E-2</v>
      </c>
      <c r="F894" s="41">
        <v>1.4619449795031381E-2</v>
      </c>
      <c r="G894" s="41">
        <v>1.0569981515237848E-2</v>
      </c>
      <c r="H894" s="14">
        <v>2.5633073145043817E-3</v>
      </c>
      <c r="I894" s="14">
        <v>4.0935512921977946E-3</v>
      </c>
      <c r="J894" s="14">
        <v>2.3418623056121746E-3</v>
      </c>
      <c r="K894" s="14">
        <v>2.0791916331686536E-3</v>
      </c>
    </row>
    <row r="895" spans="2:11" x14ac:dyDescent="0.25">
      <c r="B895" s="29">
        <v>887</v>
      </c>
      <c r="C895" s="30">
        <v>0.64462209302325579</v>
      </c>
      <c r="D895" s="41">
        <v>6.0810121376284245E-3</v>
      </c>
      <c r="E895" s="41">
        <v>0</v>
      </c>
      <c r="F895" s="41">
        <v>4.0166617078252198E-3</v>
      </c>
      <c r="G895" s="41">
        <v>8.0333234156504396E-4</v>
      </c>
      <c r="H895" s="14">
        <v>2.5981965459267453E-3</v>
      </c>
      <c r="I895" s="14">
        <v>4.0965055223609603E-3</v>
      </c>
      <c r="J895" s="14">
        <v>2.3570199651723467E-3</v>
      </c>
      <c r="K895" s="14">
        <v>2.0925069260395281E-3</v>
      </c>
    </row>
    <row r="896" spans="2:11" x14ac:dyDescent="0.25">
      <c r="B896" s="29">
        <v>888</v>
      </c>
      <c r="C896" s="30">
        <v>0.64534883720930236</v>
      </c>
      <c r="D896" s="41">
        <v>6.5184807198909282E-3</v>
      </c>
      <c r="E896" s="41">
        <v>-6.8320649762823038E-3</v>
      </c>
      <c r="F896" s="41">
        <v>-2.5226294702478391E-3</v>
      </c>
      <c r="G896" s="41">
        <v>6.5020792405006127E-4</v>
      </c>
      <c r="H896" s="14">
        <v>2.6288442081490171E-3</v>
      </c>
      <c r="I896" s="14">
        <v>4.1104101846829444E-3</v>
      </c>
      <c r="J896" s="14">
        <v>2.3633957269806327E-3</v>
      </c>
      <c r="K896" s="14">
        <v>2.0925983110797299E-3</v>
      </c>
    </row>
    <row r="897" spans="2:11" x14ac:dyDescent="0.25">
      <c r="B897" s="29">
        <v>889</v>
      </c>
      <c r="C897" s="30">
        <v>0.64607558139534882</v>
      </c>
      <c r="D897" s="41">
        <v>3.9459859746616152E-3</v>
      </c>
      <c r="E897" s="41">
        <v>5.2228651538688275E-4</v>
      </c>
      <c r="F897" s="41">
        <v>9.4068719675211021E-4</v>
      </c>
      <c r="G897" s="41">
        <v>-9.6530542524861937E-4</v>
      </c>
      <c r="H897" s="14">
        <v>2.6658382400939207E-3</v>
      </c>
      <c r="I897" s="14">
        <v>4.113900183068564E-3</v>
      </c>
      <c r="J897" s="14">
        <v>2.3643514806102051E-3</v>
      </c>
      <c r="K897" s="14">
        <v>2.0930197189215956E-3</v>
      </c>
    </row>
    <row r="898" spans="2:11" x14ac:dyDescent="0.25">
      <c r="B898" s="29">
        <v>890</v>
      </c>
      <c r="C898" s="30">
        <v>0.64680232558139539</v>
      </c>
      <c r="D898" s="41">
        <v>-4.4617627268241349E-3</v>
      </c>
      <c r="E898" s="41">
        <v>-7.0952675321108716E-3</v>
      </c>
      <c r="F898" s="41">
        <v>3.46689118914556E-4</v>
      </c>
      <c r="G898" s="41">
        <v>7.9735265343483508E-4</v>
      </c>
      <c r="H898" s="14">
        <v>2.7030481320702293E-3</v>
      </c>
      <c r="I898" s="14">
        <v>4.1233177436288404E-3</v>
      </c>
      <c r="J898" s="14">
        <v>2.3757885503667975E-3</v>
      </c>
      <c r="K898" s="14">
        <v>2.1042692192537963E-3</v>
      </c>
    </row>
    <row r="899" spans="2:11" x14ac:dyDescent="0.25">
      <c r="B899" s="29">
        <v>891</v>
      </c>
      <c r="C899" s="30">
        <v>0.64752906976744184</v>
      </c>
      <c r="D899" s="41">
        <v>-1.2295305937312722E-2</v>
      </c>
      <c r="E899" s="41">
        <v>-2.9123459950054498E-3</v>
      </c>
      <c r="F899" s="41">
        <v>2.5820547196979682E-3</v>
      </c>
      <c r="G899" s="41">
        <v>-1.7089103701156019E-3</v>
      </c>
      <c r="H899" s="14">
        <v>2.7309936190573758E-3</v>
      </c>
      <c r="I899" s="14">
        <v>4.1702424372451752E-3</v>
      </c>
      <c r="J899" s="14">
        <v>2.3783944489397246E-3</v>
      </c>
      <c r="K899" s="14">
        <v>2.1137586725354486E-3</v>
      </c>
    </row>
    <row r="900" spans="2:11" x14ac:dyDescent="0.25">
      <c r="B900" s="29">
        <v>892</v>
      </c>
      <c r="C900" s="30">
        <v>0.64825581395348841</v>
      </c>
      <c r="D900" s="41">
        <v>-2.2390177578726243E-3</v>
      </c>
      <c r="E900" s="41">
        <v>-2.7633623799744655E-2</v>
      </c>
      <c r="F900" s="41">
        <v>4.639329542053261E-3</v>
      </c>
      <c r="G900" s="41">
        <v>-1.5028123481540367E-2</v>
      </c>
      <c r="H900" s="14">
        <v>2.7462432552651794E-3</v>
      </c>
      <c r="I900" s="14">
        <v>4.1871807849813703E-3</v>
      </c>
      <c r="J900" s="14">
        <v>2.3803740587806654E-3</v>
      </c>
      <c r="K900" s="14">
        <v>2.116707973841803E-3</v>
      </c>
    </row>
    <row r="901" spans="2:11" x14ac:dyDescent="0.25">
      <c r="B901" s="29">
        <v>893</v>
      </c>
      <c r="C901" s="30">
        <v>0.64898255813953487</v>
      </c>
      <c r="D901" s="41">
        <v>-1.5643851972976645E-4</v>
      </c>
      <c r="E901" s="41">
        <v>6.0648006107610897E-3</v>
      </c>
      <c r="F901" s="41">
        <v>-4.1234040439168673E-3</v>
      </c>
      <c r="G901" s="41">
        <v>1.9002377910300795E-3</v>
      </c>
      <c r="H901" s="14">
        <v>2.7504187702713789E-3</v>
      </c>
      <c r="I901" s="14">
        <v>4.2059195475794287E-3</v>
      </c>
      <c r="J901" s="14">
        <v>2.3827654234729323E-3</v>
      </c>
      <c r="K901" s="14">
        <v>2.1336085219696883E-3</v>
      </c>
    </row>
    <row r="902" spans="2:11" x14ac:dyDescent="0.25">
      <c r="B902" s="29">
        <v>894</v>
      </c>
      <c r="C902" s="30">
        <v>0.64970930232558144</v>
      </c>
      <c r="D902" s="41">
        <v>9.3604639134182294E-4</v>
      </c>
      <c r="E902" s="41">
        <v>-4.2126763260356137E-3</v>
      </c>
      <c r="F902" s="41">
        <v>5.2437075509388364E-3</v>
      </c>
      <c r="G902" s="41">
        <v>-2.3094691457119952E-3</v>
      </c>
      <c r="H902" s="14">
        <v>2.7530364372470029E-3</v>
      </c>
      <c r="I902" s="14">
        <v>4.2213698975372971E-3</v>
      </c>
      <c r="J902" s="14">
        <v>2.3868673583709032E-3</v>
      </c>
      <c r="K902" s="14">
        <v>2.1578517859588862E-3</v>
      </c>
    </row>
    <row r="903" spans="2:11" x14ac:dyDescent="0.25">
      <c r="B903" s="29">
        <v>895</v>
      </c>
      <c r="C903" s="30">
        <v>0.6504360465116279</v>
      </c>
      <c r="D903" s="41">
        <v>1.2905281745280503E-2</v>
      </c>
      <c r="E903" s="41">
        <v>-3.938493971184176E-3</v>
      </c>
      <c r="F903" s="41">
        <v>1.3001467091617425E-2</v>
      </c>
      <c r="G903" s="41">
        <v>3.0050938496517967E-3</v>
      </c>
      <c r="H903" s="14">
        <v>2.7726611730489736E-3</v>
      </c>
      <c r="I903" s="14">
        <v>4.2230778785243839E-3</v>
      </c>
      <c r="J903" s="14">
        <v>2.3891381621117258E-3</v>
      </c>
      <c r="K903" s="14">
        <v>2.1618658036884671E-3</v>
      </c>
    </row>
    <row r="904" spans="2:11" x14ac:dyDescent="0.25">
      <c r="B904" s="29">
        <v>896</v>
      </c>
      <c r="C904" s="30">
        <v>0.65116279069767447</v>
      </c>
      <c r="D904" s="41">
        <v>2.9261032326679541E-3</v>
      </c>
      <c r="E904" s="41">
        <v>-2.7456812721656454E-2</v>
      </c>
      <c r="F904" s="41">
        <v>8.6233289111135036E-3</v>
      </c>
      <c r="G904" s="41">
        <v>-1.170618589249748E-2</v>
      </c>
      <c r="H904" s="14">
        <v>2.7832112768884087E-3</v>
      </c>
      <c r="I904" s="14">
        <v>4.2422416390479611E-3</v>
      </c>
      <c r="J904" s="14">
        <v>2.4242978909090329E-3</v>
      </c>
      <c r="K904" s="14">
        <v>2.1642098352897543E-3</v>
      </c>
    </row>
    <row r="905" spans="2:11" x14ac:dyDescent="0.25">
      <c r="B905" s="29">
        <v>897</v>
      </c>
      <c r="C905" s="30">
        <v>0.65188953488372092</v>
      </c>
      <c r="D905" s="41">
        <v>-1.2763085788318068E-3</v>
      </c>
      <c r="E905" s="41">
        <v>2.5217621456299133E-2</v>
      </c>
      <c r="F905" s="41">
        <v>1.5843000971020871E-3</v>
      </c>
      <c r="G905" s="41">
        <v>1.0644221008068033E-2</v>
      </c>
      <c r="H905" s="14">
        <v>2.7866632651059042E-3</v>
      </c>
      <c r="I905" s="14">
        <v>4.2858036663955268E-3</v>
      </c>
      <c r="J905" s="14">
        <v>2.4263813830376346E-3</v>
      </c>
      <c r="K905" s="14">
        <v>2.2024868204515435E-3</v>
      </c>
    </row>
    <row r="906" spans="2:11" x14ac:dyDescent="0.25">
      <c r="B906" s="29">
        <v>898</v>
      </c>
      <c r="C906" s="30">
        <v>0.65261627906976749</v>
      </c>
      <c r="D906" s="41">
        <v>-3.5327347876730059E-3</v>
      </c>
      <c r="E906" s="41">
        <v>1.0627769889419492E-2</v>
      </c>
      <c r="F906" s="41">
        <v>5.6534923163900075E-3</v>
      </c>
      <c r="G906" s="41">
        <v>3.2202933599044144E-3</v>
      </c>
      <c r="H906" s="14">
        <v>2.8094428430438523E-3</v>
      </c>
      <c r="I906" s="14">
        <v>4.3284871431983341E-3</v>
      </c>
      <c r="J906" s="14">
        <v>2.4346325069324326E-3</v>
      </c>
      <c r="K906" s="14">
        <v>2.2196829124100591E-3</v>
      </c>
    </row>
    <row r="907" spans="2:11" x14ac:dyDescent="0.25">
      <c r="B907" s="29">
        <v>899</v>
      </c>
      <c r="C907" s="30">
        <v>0.65334302325581395</v>
      </c>
      <c r="D907" s="41">
        <v>-7.8779852277976858E-3</v>
      </c>
      <c r="E907" s="41">
        <v>-1.1353315168038947E-4</v>
      </c>
      <c r="F907" s="41">
        <v>7.2005348968784411E-4</v>
      </c>
      <c r="G907" s="41">
        <v>-2.9801831241592419E-3</v>
      </c>
      <c r="H907" s="14">
        <v>2.8129395218001729E-3</v>
      </c>
      <c r="I907" s="14">
        <v>4.3564900707759868E-3</v>
      </c>
      <c r="J907" s="14">
        <v>2.4476150677572583E-3</v>
      </c>
      <c r="K907" s="14">
        <v>2.2220210789992479E-3</v>
      </c>
    </row>
    <row r="908" spans="2:11" x14ac:dyDescent="0.25">
      <c r="B908" s="29">
        <v>900</v>
      </c>
      <c r="C908" s="30">
        <v>0.65406976744186052</v>
      </c>
      <c r="D908" s="41">
        <v>1.4157669062055088E-2</v>
      </c>
      <c r="E908" s="41">
        <v>1.1248154876802641E-2</v>
      </c>
      <c r="F908" s="41">
        <v>-1.2193263222069817E-2</v>
      </c>
      <c r="G908" s="41">
        <v>-5.6656264351377496E-3</v>
      </c>
      <c r="H908" s="14">
        <v>2.8310789556464933E-3</v>
      </c>
      <c r="I908" s="14">
        <v>4.3784475596704286E-3</v>
      </c>
      <c r="J908" s="14">
        <v>2.4594453165880381E-3</v>
      </c>
      <c r="K908" s="14">
        <v>2.2362406646101009E-3</v>
      </c>
    </row>
    <row r="909" spans="2:11" x14ac:dyDescent="0.25">
      <c r="B909" s="29">
        <v>901</v>
      </c>
      <c r="C909" s="30">
        <v>0.65479651162790697</v>
      </c>
      <c r="D909" s="41">
        <v>1.4361701898394238E-2</v>
      </c>
      <c r="E909" s="41">
        <v>-4.2106149603160503E-4</v>
      </c>
      <c r="F909" s="41">
        <v>4.4909415667262476E-3</v>
      </c>
      <c r="G909" s="41">
        <v>7.5535850548829504E-3</v>
      </c>
      <c r="H909" s="14">
        <v>2.8408217154145543E-3</v>
      </c>
      <c r="I909" s="14">
        <v>4.3837873810304018E-3</v>
      </c>
      <c r="J909" s="14">
        <v>2.4600949711082176E-3</v>
      </c>
      <c r="K909" s="14">
        <v>2.2376042607990866E-3</v>
      </c>
    </row>
    <row r="910" spans="2:11" x14ac:dyDescent="0.25">
      <c r="B910" s="29">
        <v>902</v>
      </c>
      <c r="C910" s="30">
        <v>0.65552325581395354</v>
      </c>
      <c r="D910" s="41">
        <v>1.6078817639369202E-2</v>
      </c>
      <c r="E910" s="41">
        <v>-9.1268420424395202E-5</v>
      </c>
      <c r="F910" s="41">
        <v>1.5845430382335213E-3</v>
      </c>
      <c r="G910" s="41">
        <v>5.5868971223680839E-3</v>
      </c>
      <c r="H910" s="14">
        <v>2.8537854624812731E-3</v>
      </c>
      <c r="I910" s="14">
        <v>4.4843622240391401E-3</v>
      </c>
      <c r="J910" s="14">
        <v>2.481407555936066E-3</v>
      </c>
      <c r="K910" s="14">
        <v>2.2537636009872133E-3</v>
      </c>
    </row>
    <row r="911" spans="2:11" x14ac:dyDescent="0.25">
      <c r="B911" s="29">
        <v>903</v>
      </c>
      <c r="C911" s="30">
        <v>0.65625</v>
      </c>
      <c r="D911" s="41">
        <v>-9.9706385807344267E-4</v>
      </c>
      <c r="E911" s="41">
        <v>1.227321237993606E-2</v>
      </c>
      <c r="F911" s="41">
        <v>-8.3130575831306119E-3</v>
      </c>
      <c r="G911" s="41">
        <v>1.6213912683054723E-3</v>
      </c>
      <c r="H911" s="14">
        <v>2.8661953231481352E-3</v>
      </c>
      <c r="I911" s="14">
        <v>4.5167856532626338E-3</v>
      </c>
      <c r="J911" s="14">
        <v>2.4823558043320926E-3</v>
      </c>
      <c r="K911" s="14">
        <v>2.2619817891740722E-3</v>
      </c>
    </row>
    <row r="912" spans="2:11" x14ac:dyDescent="0.25">
      <c r="B912" s="29">
        <v>904</v>
      </c>
      <c r="C912" s="30">
        <v>0.65697674418604646</v>
      </c>
      <c r="D912" s="41">
        <v>-1.0186865599814481E-2</v>
      </c>
      <c r="E912" s="41">
        <v>-2.0822351080653667E-2</v>
      </c>
      <c r="F912" s="41">
        <v>-3.4853765722078212E-3</v>
      </c>
      <c r="G912" s="41">
        <v>-5.9435134801572266E-3</v>
      </c>
      <c r="H912" s="14">
        <v>2.8719756683266429E-3</v>
      </c>
      <c r="I912" s="14">
        <v>4.529017308570138E-3</v>
      </c>
      <c r="J912" s="14">
        <v>2.48635198230307E-3</v>
      </c>
      <c r="K912" s="14">
        <v>2.2710271711058995E-3</v>
      </c>
    </row>
    <row r="913" spans="2:11" x14ac:dyDescent="0.25">
      <c r="B913" s="29">
        <v>905</v>
      </c>
      <c r="C913" s="30">
        <v>0.65770348837209303</v>
      </c>
      <c r="D913" s="41">
        <v>1.3567804451886734E-2</v>
      </c>
      <c r="E913" s="41">
        <v>3.6339165545087315E-3</v>
      </c>
      <c r="F913" s="41">
        <v>4.5159326161963165E-3</v>
      </c>
      <c r="G913" s="41">
        <v>2.5966691744324422E-3</v>
      </c>
      <c r="H913" s="14">
        <v>2.9197915097438631E-3</v>
      </c>
      <c r="I913" s="14">
        <v>4.5318535080027811E-3</v>
      </c>
      <c r="J913" s="14">
        <v>2.4917214070427907E-3</v>
      </c>
      <c r="K913" s="14">
        <v>2.2759180135152324E-3</v>
      </c>
    </row>
    <row r="914" spans="2:11" x14ac:dyDescent="0.25">
      <c r="B914" s="29">
        <v>906</v>
      </c>
      <c r="C914" s="30">
        <v>0.65843023255813948</v>
      </c>
      <c r="D914" s="41">
        <v>1.9991899584881668E-2</v>
      </c>
      <c r="E914" s="41">
        <v>-2.0969347063515054E-2</v>
      </c>
      <c r="F914" s="41">
        <v>0</v>
      </c>
      <c r="G914" s="41">
        <v>-1.3063297045097323E-2</v>
      </c>
      <c r="H914" s="14">
        <v>2.9309141660851523E-3</v>
      </c>
      <c r="I914" s="14">
        <v>4.5493107104983554E-3</v>
      </c>
      <c r="J914" s="14">
        <v>2.4940482938442532E-3</v>
      </c>
      <c r="K914" s="14">
        <v>2.2869162661834476E-3</v>
      </c>
    </row>
    <row r="915" spans="2:11" x14ac:dyDescent="0.25">
      <c r="B915" s="29">
        <v>907</v>
      </c>
      <c r="C915" s="30">
        <v>0.65915697674418605</v>
      </c>
      <c r="D915" s="41">
        <v>2.1115601265126469E-3</v>
      </c>
      <c r="E915" s="41">
        <v>2.0329892150643403E-3</v>
      </c>
      <c r="F915" s="41">
        <v>5.4589051579001513E-3</v>
      </c>
      <c r="G915" s="41">
        <v>-2.17843600817291E-4</v>
      </c>
      <c r="H915" s="14">
        <v>2.9311955099302622E-3</v>
      </c>
      <c r="I915" s="14">
        <v>4.5606083308362688E-3</v>
      </c>
      <c r="J915" s="14">
        <v>2.4967433782023818E-3</v>
      </c>
      <c r="K915" s="14">
        <v>2.2956616377050485E-3</v>
      </c>
    </row>
    <row r="916" spans="2:11" x14ac:dyDescent="0.25">
      <c r="B916" s="29">
        <v>908</v>
      </c>
      <c r="C916" s="30">
        <v>0.65988372093023251</v>
      </c>
      <c r="D916" s="41">
        <v>-5.7335505391401167E-3</v>
      </c>
      <c r="E916" s="41">
        <v>8.7126062995523945E-3</v>
      </c>
      <c r="F916" s="41">
        <v>-3.5078800203356408E-3</v>
      </c>
      <c r="G916" s="41">
        <v>2.2956616377050485E-3</v>
      </c>
      <c r="H916" s="14">
        <v>2.9346147245581378E-3</v>
      </c>
      <c r="I916" s="14">
        <v>4.5721667764324625E-3</v>
      </c>
      <c r="J916" s="14">
        <v>2.5074352260905375E-3</v>
      </c>
      <c r="K916" s="14">
        <v>2.2958273772831772E-3</v>
      </c>
    </row>
    <row r="917" spans="2:11" x14ac:dyDescent="0.25">
      <c r="B917" s="29">
        <v>909</v>
      </c>
      <c r="C917" s="30">
        <v>0.66061046511627908</v>
      </c>
      <c r="D917" s="41">
        <v>8.0735486480523269E-3</v>
      </c>
      <c r="E917" s="41">
        <v>-1.025641025641022E-2</v>
      </c>
      <c r="F917" s="41">
        <v>-1.5249326488064874E-4</v>
      </c>
      <c r="G917" s="41">
        <v>-4.6825133049907212E-3</v>
      </c>
      <c r="H917" s="14">
        <v>2.9503160972697007E-3</v>
      </c>
      <c r="I917" s="14">
        <v>4.5872926037353601E-3</v>
      </c>
      <c r="J917" s="14">
        <v>2.5100657597723064E-3</v>
      </c>
      <c r="K917" s="14">
        <v>2.3065197338597572E-3</v>
      </c>
    </row>
    <row r="918" spans="2:11" x14ac:dyDescent="0.25">
      <c r="B918" s="29">
        <v>910</v>
      </c>
      <c r="C918" s="30">
        <v>0.66133720930232553</v>
      </c>
      <c r="D918" s="41">
        <v>-6.3013967983967852E-3</v>
      </c>
      <c r="E918" s="41">
        <v>4.2517313194045947E-4</v>
      </c>
      <c r="F918" s="41">
        <v>-2.383367139959458E-3</v>
      </c>
      <c r="G918" s="41">
        <v>7.3267444315499035E-4</v>
      </c>
      <c r="H918" s="14">
        <v>2.9827835413036574E-3</v>
      </c>
      <c r="I918" s="14">
        <v>4.6003353357992882E-3</v>
      </c>
      <c r="J918" s="14">
        <v>2.5224612512300126E-3</v>
      </c>
      <c r="K918" s="14">
        <v>2.3180160534205909E-3</v>
      </c>
    </row>
    <row r="919" spans="2:11" x14ac:dyDescent="0.25">
      <c r="B919" s="29">
        <v>911</v>
      </c>
      <c r="C919" s="30">
        <v>0.6620639534883721</v>
      </c>
      <c r="D919" s="41">
        <v>2.9625322721027986E-3</v>
      </c>
      <c r="E919" s="41">
        <v>-3.0376154322677373E-2</v>
      </c>
      <c r="F919" s="41">
        <v>9.1361283118462921E-4</v>
      </c>
      <c r="G919" s="41">
        <v>-1.6662861114053486E-2</v>
      </c>
      <c r="H919" s="14">
        <v>2.9903964982875841E-3</v>
      </c>
      <c r="I919" s="14">
        <v>4.6580447172293038E-3</v>
      </c>
      <c r="J919" s="14">
        <v>2.5347858914896992E-3</v>
      </c>
      <c r="K919" s="14">
        <v>2.3270181407016644E-3</v>
      </c>
    </row>
    <row r="920" spans="2:11" x14ac:dyDescent="0.25">
      <c r="B920" s="29">
        <v>912</v>
      </c>
      <c r="C920" s="30">
        <v>0.66279069767441856</v>
      </c>
      <c r="D920" s="41">
        <v>7.8530668879560478E-3</v>
      </c>
      <c r="E920" s="41">
        <v>0</v>
      </c>
      <c r="F920" s="41">
        <v>-1.9755838103440171E-3</v>
      </c>
      <c r="G920" s="41">
        <v>-3.9511676206880345E-4</v>
      </c>
      <c r="H920" s="14">
        <v>3.0157885400035056E-3</v>
      </c>
      <c r="I920" s="14">
        <v>4.6681962583832171E-3</v>
      </c>
      <c r="J920" s="14">
        <v>2.5429915346941723E-3</v>
      </c>
      <c r="K920" s="14">
        <v>2.3317615048036536E-3</v>
      </c>
    </row>
    <row r="921" spans="2:11" x14ac:dyDescent="0.25">
      <c r="B921" s="29">
        <v>913</v>
      </c>
      <c r="C921" s="30">
        <v>0.66351744186046513</v>
      </c>
      <c r="D921" s="41">
        <v>1.0336536829229566E-2</v>
      </c>
      <c r="E921" s="41">
        <v>4.5167856532626338E-3</v>
      </c>
      <c r="F921" s="41">
        <v>-1.981132075471681E-2</v>
      </c>
      <c r="G921" s="41">
        <v>-9.5595295286942782E-3</v>
      </c>
      <c r="H921" s="14">
        <v>3.0158486633369286E-3</v>
      </c>
      <c r="I921" s="14">
        <v>4.6924892405941776E-3</v>
      </c>
      <c r="J921" s="14">
        <v>2.5438256926395564E-3</v>
      </c>
      <c r="K921" s="14">
        <v>2.3345703805672802E-3</v>
      </c>
    </row>
    <row r="922" spans="2:11" x14ac:dyDescent="0.25">
      <c r="B922" s="29">
        <v>914</v>
      </c>
      <c r="C922" s="30">
        <v>0.66424418604651159</v>
      </c>
      <c r="D922" s="41">
        <v>-3.1477099258368044E-2</v>
      </c>
      <c r="E922" s="41">
        <v>6.3009828645805843E-3</v>
      </c>
      <c r="F922" s="41">
        <v>3.2378580323786377E-3</v>
      </c>
      <c r="G922" s="41">
        <v>6.8769070751116164E-3</v>
      </c>
      <c r="H922" s="14">
        <v>3.018635995512442E-3</v>
      </c>
      <c r="I922" s="14">
        <v>4.6958290946084169E-3</v>
      </c>
      <c r="J922" s="14">
        <v>2.5455963694680506E-3</v>
      </c>
      <c r="K922" s="14">
        <v>2.3442282605736333E-3</v>
      </c>
    </row>
    <row r="923" spans="2:11" x14ac:dyDescent="0.25">
      <c r="B923" s="29">
        <v>915</v>
      </c>
      <c r="C923" s="30">
        <v>0.66497093023255816</v>
      </c>
      <c r="D923" s="41">
        <v>-8.8890858888262432E-3</v>
      </c>
      <c r="E923" s="41">
        <v>-5.3355282981428775E-3</v>
      </c>
      <c r="F923" s="41">
        <v>7.7305356156818217E-3</v>
      </c>
      <c r="G923" s="41">
        <v>-4.0138282696180914E-3</v>
      </c>
      <c r="H923" s="14">
        <v>3.0502498852214011E-3</v>
      </c>
      <c r="I923" s="14">
        <v>4.724000519340521E-3</v>
      </c>
      <c r="J923" s="14">
        <v>2.563378177100839E-3</v>
      </c>
      <c r="K923" s="14">
        <v>2.3498188906886375E-3</v>
      </c>
    </row>
    <row r="924" spans="2:11" x14ac:dyDescent="0.25">
      <c r="B924" s="29">
        <v>916</v>
      </c>
      <c r="C924" s="30">
        <v>0.66569767441860461</v>
      </c>
      <c r="D924" s="41">
        <v>3.3193774998711699E-2</v>
      </c>
      <c r="E924" s="41">
        <v>-1.4828990047509039E-2</v>
      </c>
      <c r="F924" s="41">
        <v>1.7675606641123887E-2</v>
      </c>
      <c r="G924" s="41">
        <v>-4.2811927683664482E-3</v>
      </c>
      <c r="H924" s="14">
        <v>3.066461013765398E-3</v>
      </c>
      <c r="I924" s="14">
        <v>4.7504714404955628E-3</v>
      </c>
      <c r="J924" s="14">
        <v>2.5673940949937357E-3</v>
      </c>
      <c r="K924" s="14">
        <v>2.3596459952014205E-3</v>
      </c>
    </row>
    <row r="925" spans="2:11" x14ac:dyDescent="0.25">
      <c r="B925" s="29">
        <v>917</v>
      </c>
      <c r="C925" s="30">
        <v>0.66642441860465118</v>
      </c>
      <c r="D925" s="41">
        <v>-6.717517717279361E-3</v>
      </c>
      <c r="E925" s="41">
        <v>1.101727965440702E-2</v>
      </c>
      <c r="F925" s="41">
        <v>1.225566242631082E-2</v>
      </c>
      <c r="G925" s="41">
        <v>1.1970873761574463E-2</v>
      </c>
      <c r="H925" s="14">
        <v>3.0730908216340946E-3</v>
      </c>
      <c r="I925" s="14">
        <v>4.7581367261519958E-3</v>
      </c>
      <c r="J925" s="14">
        <v>2.5717130982676473E-3</v>
      </c>
      <c r="K925" s="14">
        <v>2.3751633091094074E-3</v>
      </c>
    </row>
    <row r="926" spans="2:11" x14ac:dyDescent="0.25">
      <c r="B926" s="29">
        <v>918</v>
      </c>
      <c r="C926" s="30">
        <v>0.66715116279069764</v>
      </c>
      <c r="D926" s="41">
        <v>5.7319030031998189E-3</v>
      </c>
      <c r="E926" s="41">
        <v>1.3627090983272305E-2</v>
      </c>
      <c r="F926" s="41">
        <v>4.3105686834588042E-3</v>
      </c>
      <c r="G926" s="41">
        <v>5.7520277242667731E-3</v>
      </c>
      <c r="H926" s="14">
        <v>3.0859494056689751E-3</v>
      </c>
      <c r="I926" s="14">
        <v>4.8267056955126897E-3</v>
      </c>
      <c r="J926" s="14">
        <v>2.5774241576490553E-3</v>
      </c>
      <c r="K926" s="14">
        <v>2.3967509203176806E-3</v>
      </c>
    </row>
    <row r="927" spans="2:11" x14ac:dyDescent="0.25">
      <c r="B927" s="29">
        <v>919</v>
      </c>
      <c r="C927" s="30">
        <v>0.66787790697674421</v>
      </c>
      <c r="D927" s="41">
        <v>-1.6248055337776835E-2</v>
      </c>
      <c r="E927" s="41">
        <v>9.345589203905158E-3</v>
      </c>
      <c r="F927" s="41">
        <v>-5.5262886065489125E-3</v>
      </c>
      <c r="G927" s="41">
        <v>1.0726721403116586E-3</v>
      </c>
      <c r="H927" s="14">
        <v>3.0996616832674739E-3</v>
      </c>
      <c r="I927" s="14">
        <v>4.9165468811513957E-3</v>
      </c>
      <c r="J927" s="14">
        <v>2.5820547196979682E-3</v>
      </c>
      <c r="K927" s="14">
        <v>2.401643985627411E-3</v>
      </c>
    </row>
    <row r="928" spans="2:11" x14ac:dyDescent="0.25">
      <c r="B928" s="29">
        <v>920</v>
      </c>
      <c r="C928" s="30">
        <v>0.66860465116279066</v>
      </c>
      <c r="D928" s="41">
        <v>-1.3978047839666653E-2</v>
      </c>
      <c r="E928" s="41">
        <v>1.8634125827476922E-3</v>
      </c>
      <c r="F928" s="41">
        <v>1.8627755355478115E-3</v>
      </c>
      <c r="G928" s="41">
        <v>1.3685467066245848E-3</v>
      </c>
      <c r="H928" s="14">
        <v>3.0997267506460702E-3</v>
      </c>
      <c r="I928" s="14">
        <v>4.9313349971307208E-3</v>
      </c>
      <c r="J928" s="14">
        <v>2.5832192846027002E-3</v>
      </c>
      <c r="K928" s="14">
        <v>2.4080061331562598E-3</v>
      </c>
    </row>
    <row r="929" spans="2:11" x14ac:dyDescent="0.25">
      <c r="B929" s="29">
        <v>921</v>
      </c>
      <c r="C929" s="30">
        <v>0.66933139534883723</v>
      </c>
      <c r="D929" s="41">
        <v>2.0531905381832239E-2</v>
      </c>
      <c r="E929" s="41">
        <v>1.9837019453450733E-2</v>
      </c>
      <c r="F929" s="41">
        <v>4.7309591889785896E-3</v>
      </c>
      <c r="G929" s="41">
        <v>8.3174429504221607E-3</v>
      </c>
      <c r="H929" s="14">
        <v>3.1080164053107762E-3</v>
      </c>
      <c r="I929" s="14">
        <v>4.9480744108651997E-3</v>
      </c>
      <c r="J929" s="14">
        <v>2.5887782092410827E-3</v>
      </c>
      <c r="K929" s="14">
        <v>2.4085488481158995E-3</v>
      </c>
    </row>
    <row r="930" spans="2:11" x14ac:dyDescent="0.25">
      <c r="B930" s="29">
        <v>922</v>
      </c>
      <c r="C930" s="30">
        <v>0.67005813953488369</v>
      </c>
      <c r="D930" s="41">
        <v>1.6646303125001344E-2</v>
      </c>
      <c r="E930" s="41">
        <v>-1.269541645081862E-2</v>
      </c>
      <c r="F930" s="41">
        <v>5.2015604681376892E-4</v>
      </c>
      <c r="G930" s="41">
        <v>-2.8421397603673793E-3</v>
      </c>
      <c r="H930" s="14">
        <v>3.1322187854820882E-3</v>
      </c>
      <c r="I930" s="14">
        <v>4.9528186231584392E-3</v>
      </c>
      <c r="J930" s="14">
        <v>2.6021861227285559E-3</v>
      </c>
      <c r="K930" s="14">
        <v>2.4201931379610468E-3</v>
      </c>
    </row>
    <row r="931" spans="2:11" x14ac:dyDescent="0.25">
      <c r="B931" s="29">
        <v>923</v>
      </c>
      <c r="C931" s="30">
        <v>0.67078488372093026</v>
      </c>
      <c r="D931" s="41">
        <v>-4.6885127757427814E-3</v>
      </c>
      <c r="E931" s="41">
        <v>-2.5631073543787131E-2</v>
      </c>
      <c r="F931" s="41">
        <v>3.9688756593034835E-3</v>
      </c>
      <c r="G931" s="41">
        <v>-1.2078333063137416E-2</v>
      </c>
      <c r="H931" s="14">
        <v>3.1405093157592656E-3</v>
      </c>
      <c r="I931" s="14">
        <v>4.9676775565099529E-3</v>
      </c>
      <c r="J931" s="14">
        <v>2.6289499973712882E-3</v>
      </c>
      <c r="K931" s="14">
        <v>2.4331510367013648E-3</v>
      </c>
    </row>
    <row r="932" spans="2:11" x14ac:dyDescent="0.25">
      <c r="B932" s="29">
        <v>924</v>
      </c>
      <c r="C932" s="30">
        <v>0.67151162790697672</v>
      </c>
      <c r="D932" s="41">
        <v>-2.1376168910982485E-2</v>
      </c>
      <c r="E932" s="41">
        <v>8.1733819211875502E-3</v>
      </c>
      <c r="F932" s="41">
        <v>3.1343049678755897E-4</v>
      </c>
      <c r="G932" s="41">
        <v>4.6505132046713365E-3</v>
      </c>
      <c r="H932" s="14">
        <v>3.223529860567842E-3</v>
      </c>
      <c r="I932" s="14">
        <v>4.9695470777908479E-3</v>
      </c>
      <c r="J932" s="14">
        <v>2.6377345344148484E-3</v>
      </c>
      <c r="K932" s="14">
        <v>2.4539547296549506E-3</v>
      </c>
    </row>
    <row r="933" spans="2:11" x14ac:dyDescent="0.25">
      <c r="B933" s="29">
        <v>925</v>
      </c>
      <c r="C933" s="30">
        <v>0.67223837209302328</v>
      </c>
      <c r="D933" s="41">
        <v>-5.267266529616569E-3</v>
      </c>
      <c r="E933" s="41">
        <v>2.5601814589887972E-2</v>
      </c>
      <c r="F933" s="41">
        <v>-1.2229102167182759E-2</v>
      </c>
      <c r="G933" s="41">
        <v>5.1040418230443151E-3</v>
      </c>
      <c r="H933" s="14">
        <v>3.2268608162440149E-3</v>
      </c>
      <c r="I933" s="14">
        <v>4.9758316747225972E-3</v>
      </c>
      <c r="J933" s="14">
        <v>2.6419797278018908E-3</v>
      </c>
      <c r="K933" s="14">
        <v>2.4707527187305626E-3</v>
      </c>
    </row>
    <row r="934" spans="2:11" x14ac:dyDescent="0.25">
      <c r="B934" s="29">
        <v>926</v>
      </c>
      <c r="C934" s="30">
        <v>0.67296511627906974</v>
      </c>
      <c r="D934" s="41">
        <v>-1.0539780921436854E-2</v>
      </c>
      <c r="E934" s="41">
        <v>-4.7228702494845898E-3</v>
      </c>
      <c r="F934" s="41">
        <v>4.7177147597075031E-3</v>
      </c>
      <c r="G934" s="41">
        <v>1.4484726596763141E-3</v>
      </c>
      <c r="H934" s="14">
        <v>3.2335833460890306E-3</v>
      </c>
      <c r="I934" s="14">
        <v>4.9803203977349941E-3</v>
      </c>
      <c r="J934" s="14">
        <v>2.6545540349220964E-3</v>
      </c>
      <c r="K934" s="14">
        <v>2.5167004764977464E-3</v>
      </c>
    </row>
    <row r="935" spans="2:11" x14ac:dyDescent="0.25">
      <c r="B935" s="29">
        <v>927</v>
      </c>
      <c r="C935" s="30">
        <v>0.67369186046511631</v>
      </c>
      <c r="D935" s="41">
        <v>1.9024575979262287E-3</v>
      </c>
      <c r="E935" s="41">
        <v>-8.2074734601131905E-3</v>
      </c>
      <c r="F935" s="41">
        <v>-2.3791052495476528E-3</v>
      </c>
      <c r="G935" s="41">
        <v>-4.8234730298526438E-3</v>
      </c>
      <c r="H935" s="14">
        <v>3.2400226956927902E-3</v>
      </c>
      <c r="I935" s="14">
        <v>5.0027793218454519E-3</v>
      </c>
      <c r="J935" s="14">
        <v>2.6745434159600734E-3</v>
      </c>
      <c r="K935" s="14">
        <v>2.5194217051225818E-3</v>
      </c>
    </row>
    <row r="936" spans="2:11" x14ac:dyDescent="0.25">
      <c r="B936" s="29">
        <v>928</v>
      </c>
      <c r="C936" s="30">
        <v>0.67441860465116277</v>
      </c>
      <c r="D936" s="41">
        <v>8.4722123487127859E-3</v>
      </c>
      <c r="E936" s="41">
        <v>-1.7685491681241783E-2</v>
      </c>
      <c r="F936" s="41">
        <v>4.1026173660159149E-3</v>
      </c>
      <c r="G936" s="41">
        <v>-1.1026043685949815E-2</v>
      </c>
      <c r="H936" s="14">
        <v>3.2456244953706914E-3</v>
      </c>
      <c r="I936" s="14">
        <v>5.0548094160520751E-3</v>
      </c>
      <c r="J936" s="14">
        <v>2.6870837526569158E-3</v>
      </c>
      <c r="K936" s="14">
        <v>2.5258836749910691E-3</v>
      </c>
    </row>
    <row r="937" spans="2:11" x14ac:dyDescent="0.25">
      <c r="B937" s="29">
        <v>929</v>
      </c>
      <c r="C937" s="30">
        <v>0.67514534883720934</v>
      </c>
      <c r="D937" s="41">
        <v>1.4056962590449029E-2</v>
      </c>
      <c r="E937" s="41">
        <v>2.4279880807857923E-2</v>
      </c>
      <c r="F937" s="41">
        <v>-6.3470767325454203E-3</v>
      </c>
      <c r="G937" s="41">
        <v>7.8705636687218528E-3</v>
      </c>
      <c r="H937" s="14">
        <v>3.2738300365291462E-3</v>
      </c>
      <c r="I937" s="14">
        <v>5.0809669911868749E-3</v>
      </c>
      <c r="J937" s="14">
        <v>2.701054648908352E-3</v>
      </c>
      <c r="K937" s="14">
        <v>2.5260997574035218E-3</v>
      </c>
    </row>
    <row r="938" spans="2:11" x14ac:dyDescent="0.25">
      <c r="B938" s="29">
        <v>930</v>
      </c>
      <c r="C938" s="30">
        <v>0.67587209302325579</v>
      </c>
      <c r="D938" s="41">
        <v>-7.4440212838279719E-3</v>
      </c>
      <c r="E938" s="41">
        <v>4.763854469705131E-2</v>
      </c>
      <c r="F938" s="41">
        <v>-4.3670365803535338E-3</v>
      </c>
      <c r="G938" s="41">
        <v>1.5763553919949456E-2</v>
      </c>
      <c r="H938" s="14">
        <v>3.2961858420970103E-3</v>
      </c>
      <c r="I938" s="14">
        <v>5.0988514404066709E-3</v>
      </c>
      <c r="J938" s="14">
        <v>2.733288577730919E-3</v>
      </c>
      <c r="K938" s="14">
        <v>2.527478290694685E-3</v>
      </c>
    </row>
    <row r="939" spans="2:11" x14ac:dyDescent="0.25">
      <c r="B939" s="29">
        <v>931</v>
      </c>
      <c r="C939" s="30">
        <v>0.67659883720930236</v>
      </c>
      <c r="D939" s="41">
        <v>-9.9486741385413583E-3</v>
      </c>
      <c r="E939" s="41">
        <v>4.113900183068564E-3</v>
      </c>
      <c r="F939" s="41">
        <v>4.956629491945419E-3</v>
      </c>
      <c r="G939" s="41">
        <v>-1.164356227487675E-4</v>
      </c>
      <c r="H939" s="14">
        <v>3.2977691561588696E-3</v>
      </c>
      <c r="I939" s="14">
        <v>5.1083947424781506E-3</v>
      </c>
      <c r="J939" s="14">
        <v>2.7353177795654826E-3</v>
      </c>
      <c r="K939" s="14">
        <v>2.5464194254076538E-3</v>
      </c>
    </row>
    <row r="940" spans="2:11" x14ac:dyDescent="0.25">
      <c r="B940" s="29">
        <v>932</v>
      </c>
      <c r="C940" s="30">
        <v>0.67732558139534882</v>
      </c>
      <c r="D940" s="41">
        <v>-9.8958342019047196E-3</v>
      </c>
      <c r="E940" s="41">
        <v>-5.3534725873524147E-3</v>
      </c>
      <c r="F940" s="41">
        <v>-1.1346054667354943E-3</v>
      </c>
      <c r="G940" s="41">
        <v>-3.1420045190037049E-3</v>
      </c>
      <c r="H940" s="14">
        <v>3.3231791747438955E-3</v>
      </c>
      <c r="I940" s="14">
        <v>5.1103681049644578E-3</v>
      </c>
      <c r="J940" s="14">
        <v>2.7353746922482713E-3</v>
      </c>
      <c r="K940" s="14">
        <v>2.5467590617222814E-3</v>
      </c>
    </row>
    <row r="941" spans="2:11" x14ac:dyDescent="0.25">
      <c r="B941" s="29">
        <v>933</v>
      </c>
      <c r="C941" s="30">
        <v>0.67805232558139539</v>
      </c>
      <c r="D941" s="41">
        <v>6.9419818400137138E-3</v>
      </c>
      <c r="E941" s="41">
        <v>2.5565860925560902E-2</v>
      </c>
      <c r="F941" s="41">
        <v>-1.8018018018017834E-3</v>
      </c>
      <c r="G941" s="41">
        <v>6.5714103664531462E-3</v>
      </c>
      <c r="H941" s="14">
        <v>3.3318340080297215E-3</v>
      </c>
      <c r="I941" s="14">
        <v>5.1761685831817061E-3</v>
      </c>
      <c r="J941" s="14">
        <v>2.7373823781009499E-3</v>
      </c>
      <c r="K941" s="14">
        <v>2.5472329141942749E-3</v>
      </c>
    </row>
    <row r="942" spans="2:11" x14ac:dyDescent="0.25">
      <c r="B942" s="29">
        <v>934</v>
      </c>
      <c r="C942" s="30">
        <v>0.67877906976744184</v>
      </c>
      <c r="D942" s="41">
        <v>7.7245607827256839E-3</v>
      </c>
      <c r="E942" s="41">
        <v>4.5318535080027811E-3</v>
      </c>
      <c r="F942" s="41">
        <v>1.0140405616224646E-2</v>
      </c>
      <c r="G942" s="41">
        <v>3.0591908703639704E-3</v>
      </c>
      <c r="H942" s="14">
        <v>3.365812098574672E-3</v>
      </c>
      <c r="I942" s="14">
        <v>5.2020486418362655E-3</v>
      </c>
      <c r="J942" s="14">
        <v>2.7387473207907131E-3</v>
      </c>
      <c r="K942" s="14">
        <v>2.5544778066950652E-3</v>
      </c>
    </row>
    <row r="943" spans="2:11" x14ac:dyDescent="0.25">
      <c r="B943" s="29">
        <v>935</v>
      </c>
      <c r="C943" s="30">
        <v>0.67950581395348841</v>
      </c>
      <c r="D943" s="41">
        <v>-1.8194016585640499E-3</v>
      </c>
      <c r="E943" s="41">
        <v>1.7799072395777715E-2</v>
      </c>
      <c r="F943" s="41">
        <v>-9.1204204668419164E-3</v>
      </c>
      <c r="G943" s="41">
        <v>2.5544778066950652E-3</v>
      </c>
      <c r="H943" s="14">
        <v>3.372738415188703E-3</v>
      </c>
      <c r="I943" s="14">
        <v>5.2273994064566676E-3</v>
      </c>
      <c r="J943" s="14">
        <v>2.7402622822469969E-3</v>
      </c>
      <c r="K943" s="14">
        <v>2.5820604624739348E-3</v>
      </c>
    </row>
    <row r="944" spans="2:11" x14ac:dyDescent="0.25">
      <c r="B944" s="29">
        <v>936</v>
      </c>
      <c r="C944" s="30">
        <v>0.68023255813953487</v>
      </c>
      <c r="D944" s="41">
        <v>-8.174090741247446E-4</v>
      </c>
      <c r="E944" s="41">
        <v>7.2020165646557999E-5</v>
      </c>
      <c r="F944" s="41">
        <v>-1.2351397251814111E-3</v>
      </c>
      <c r="G944" s="41">
        <v>6.6160170195301632E-3</v>
      </c>
      <c r="H944" s="14">
        <v>3.3730552437525319E-3</v>
      </c>
      <c r="I944" s="14">
        <v>5.2331907110865217E-3</v>
      </c>
      <c r="J944" s="14">
        <v>2.7733145714754492E-3</v>
      </c>
      <c r="K944" s="14">
        <v>2.5884988520826326E-3</v>
      </c>
    </row>
    <row r="945" spans="2:11" x14ac:dyDescent="0.25">
      <c r="B945" s="29">
        <v>937</v>
      </c>
      <c r="C945" s="30">
        <v>0.68095930232558144</v>
      </c>
      <c r="D945" s="41">
        <v>-7.6626666808084038E-3</v>
      </c>
      <c r="E945" s="41">
        <v>-2.3568538619670454E-3</v>
      </c>
      <c r="F945" s="41">
        <v>1.030343619597085E-3</v>
      </c>
      <c r="G945" s="41">
        <v>-9.9511249135679773E-4</v>
      </c>
      <c r="H945" s="14">
        <v>3.3804110985573566E-3</v>
      </c>
      <c r="I945" s="14">
        <v>5.2353273063650008E-3</v>
      </c>
      <c r="J945" s="14">
        <v>2.7794478164246961E-3</v>
      </c>
      <c r="K945" s="14">
        <v>2.5966691744324422E-3</v>
      </c>
    </row>
    <row r="946" spans="2:11" x14ac:dyDescent="0.25">
      <c r="B946" s="29">
        <v>938</v>
      </c>
      <c r="C946" s="30">
        <v>0.6816860465116279</v>
      </c>
      <c r="D946" s="41">
        <v>-1.7633996134303626E-2</v>
      </c>
      <c r="E946" s="41">
        <v>-1.0584961873137844E-2</v>
      </c>
      <c r="F946" s="41">
        <v>3.5154836374917675E-3</v>
      </c>
      <c r="G946" s="41">
        <v>-5.7290454486195854E-3</v>
      </c>
      <c r="H946" s="14">
        <v>3.4051546997004856E-3</v>
      </c>
      <c r="I946" s="14">
        <v>5.2383500740984523E-3</v>
      </c>
      <c r="J946" s="14">
        <v>2.7856857468711027E-3</v>
      </c>
      <c r="K946" s="14">
        <v>2.60641757737996E-3</v>
      </c>
    </row>
    <row r="947" spans="2:11" x14ac:dyDescent="0.25">
      <c r="B947" s="29">
        <v>939</v>
      </c>
      <c r="C947" s="30">
        <v>0.68241279069767447</v>
      </c>
      <c r="D947" s="41">
        <v>-1.2085137067555072E-2</v>
      </c>
      <c r="E947" s="41">
        <v>5.2396649267438811E-4</v>
      </c>
      <c r="F947" s="41">
        <v>1.4528480016783751E-2</v>
      </c>
      <c r="G947" s="41">
        <v>2.8552468455102622E-3</v>
      </c>
      <c r="H947" s="14">
        <v>3.4354469967809997E-3</v>
      </c>
      <c r="I947" s="14">
        <v>5.285688866560001E-3</v>
      </c>
      <c r="J947" s="14">
        <v>2.7868091035765374E-3</v>
      </c>
      <c r="K947" s="14">
        <v>2.6138187011698791E-3</v>
      </c>
    </row>
    <row r="948" spans="2:11" x14ac:dyDescent="0.25">
      <c r="B948" s="29">
        <v>940</v>
      </c>
      <c r="C948" s="30">
        <v>0.68313953488372092</v>
      </c>
      <c r="D948" s="41">
        <v>1.584916494729462E-2</v>
      </c>
      <c r="E948" s="41">
        <v>-1.3655768567867765E-2</v>
      </c>
      <c r="F948" s="41">
        <v>-2.4068647969861523E-3</v>
      </c>
      <c r="G948" s="41">
        <v>-1.251385439857886E-2</v>
      </c>
      <c r="H948" s="14">
        <v>3.4442340486249279E-3</v>
      </c>
      <c r="I948" s="14">
        <v>5.2964618107280703E-3</v>
      </c>
      <c r="J948" s="14">
        <v>2.7868366439371961E-3</v>
      </c>
      <c r="K948" s="14">
        <v>2.6394611726732629E-3</v>
      </c>
    </row>
    <row r="949" spans="2:11" x14ac:dyDescent="0.25">
      <c r="B949" s="29">
        <v>941</v>
      </c>
      <c r="C949" s="30">
        <v>0.68386627906976749</v>
      </c>
      <c r="D949" s="41">
        <v>4.3114044268552287E-3</v>
      </c>
      <c r="E949" s="41">
        <v>7.1643636754663564E-3</v>
      </c>
      <c r="F949" s="41">
        <v>-1.3585536628696326E-3</v>
      </c>
      <c r="G949" s="41">
        <v>-4.4829330471543019E-4</v>
      </c>
      <c r="H949" s="14">
        <v>3.4785489481530263E-3</v>
      </c>
      <c r="I949" s="14">
        <v>5.3348568715034794E-3</v>
      </c>
      <c r="J949" s="14">
        <v>2.7869876507615743E-3</v>
      </c>
      <c r="K949" s="14">
        <v>2.6543652886124921E-3</v>
      </c>
    </row>
    <row r="950" spans="2:11" x14ac:dyDescent="0.25">
      <c r="B950" s="29">
        <v>942</v>
      </c>
      <c r="C950" s="30">
        <v>0.68459302325581395</v>
      </c>
      <c r="D950" s="41">
        <v>-7.3829470177685973E-3</v>
      </c>
      <c r="E950" s="41">
        <v>4.9313349971307208E-3</v>
      </c>
      <c r="F950" s="41">
        <v>5.7510325717569089E-4</v>
      </c>
      <c r="G950" s="41">
        <v>-3.7829006813971927E-4</v>
      </c>
      <c r="H950" s="14">
        <v>3.4983281470457595E-3</v>
      </c>
      <c r="I950" s="14">
        <v>5.3660463417724014E-3</v>
      </c>
      <c r="J950" s="14">
        <v>2.7963602180507419E-3</v>
      </c>
      <c r="K950" s="14">
        <v>2.6848561981293257E-3</v>
      </c>
    </row>
    <row r="951" spans="2:11" x14ac:dyDescent="0.25">
      <c r="B951" s="29">
        <v>943</v>
      </c>
      <c r="C951" s="30">
        <v>0.68531976744186052</v>
      </c>
      <c r="D951" s="41">
        <v>-6.4479359880115902E-3</v>
      </c>
      <c r="E951" s="41">
        <v>-7.4636280935210797E-3</v>
      </c>
      <c r="F951" s="41">
        <v>1.7807573456241066E-3</v>
      </c>
      <c r="G951" s="41">
        <v>-7.8598110842937E-3</v>
      </c>
      <c r="H951" s="14">
        <v>3.5155715033743373E-3</v>
      </c>
      <c r="I951" s="14">
        <v>5.3871622000785102E-3</v>
      </c>
      <c r="J951" s="14">
        <v>2.8009608533090535E-3</v>
      </c>
      <c r="K951" s="14">
        <v>2.686501681168085E-3</v>
      </c>
    </row>
    <row r="952" spans="2:11" x14ac:dyDescent="0.25">
      <c r="B952" s="29">
        <v>944</v>
      </c>
      <c r="C952" s="30">
        <v>0.68604651162790697</v>
      </c>
      <c r="D952" s="41">
        <v>-6.4513495608517829E-3</v>
      </c>
      <c r="E952" s="41">
        <v>-4.9239662012537933E-3</v>
      </c>
      <c r="F952" s="41">
        <v>-1.1391290840366608E-2</v>
      </c>
      <c r="G952" s="41">
        <v>-5.4029321294648989E-3</v>
      </c>
      <c r="H952" s="14">
        <v>3.5278720861862123E-3</v>
      </c>
      <c r="I952" s="14">
        <v>5.4173326355395623E-3</v>
      </c>
      <c r="J952" s="14">
        <v>2.8170489695575895E-3</v>
      </c>
      <c r="K952" s="14">
        <v>2.6893589630353262E-3</v>
      </c>
    </row>
    <row r="953" spans="2:11" x14ac:dyDescent="0.25">
      <c r="B953" s="29">
        <v>945</v>
      </c>
      <c r="C953" s="30">
        <v>0.68677325581395354</v>
      </c>
      <c r="D953" s="41">
        <v>1.3364572926781983E-2</v>
      </c>
      <c r="E953" s="41">
        <v>9.3924174885873235E-3</v>
      </c>
      <c r="F953" s="41">
        <v>6.8818101246026497E-3</v>
      </c>
      <c r="G953" s="41">
        <v>8.7449133474423405E-3</v>
      </c>
      <c r="H953" s="14">
        <v>3.5307717068691069E-3</v>
      </c>
      <c r="I953" s="14">
        <v>5.4565640181729602E-3</v>
      </c>
      <c r="J953" s="14">
        <v>2.8229980239014019E-3</v>
      </c>
      <c r="K953" s="14">
        <v>2.6910975473007251E-3</v>
      </c>
    </row>
    <row r="954" spans="2:11" x14ac:dyDescent="0.25">
      <c r="B954" s="29">
        <v>946</v>
      </c>
      <c r="C954" s="30">
        <v>0.6875</v>
      </c>
      <c r="D954" s="41">
        <v>-9.3340271745627375E-3</v>
      </c>
      <c r="E954" s="41">
        <v>9.9977353564149052E-3</v>
      </c>
      <c r="F954" s="41">
        <v>4.6943459211346017E-4</v>
      </c>
      <c r="G954" s="41">
        <v>-1.1746198169448438E-3</v>
      </c>
      <c r="H954" s="14">
        <v>3.5383319292334736E-3</v>
      </c>
      <c r="I954" s="14">
        <v>5.4609845993025541E-3</v>
      </c>
      <c r="J954" s="14">
        <v>2.8308851261822365E-3</v>
      </c>
      <c r="K954" s="14">
        <v>2.7137968810820642E-3</v>
      </c>
    </row>
    <row r="955" spans="2:11" x14ac:dyDescent="0.25">
      <c r="B955" s="29">
        <v>947</v>
      </c>
      <c r="C955" s="30">
        <v>0.68822674418604646</v>
      </c>
      <c r="D955" s="41">
        <v>2.9683495509236827E-2</v>
      </c>
      <c r="E955" s="41">
        <v>-7.8411976126883109E-3</v>
      </c>
      <c r="F955" s="41">
        <v>-1.1461915181828486E-3</v>
      </c>
      <c r="G955" s="41">
        <v>-6.116786638703276E-3</v>
      </c>
      <c r="H955" s="14">
        <v>3.5392535392535507E-3</v>
      </c>
      <c r="I955" s="14">
        <v>5.4617203687028493E-3</v>
      </c>
      <c r="J955" s="14">
        <v>2.8353230349884573E-3</v>
      </c>
      <c r="K955" s="14">
        <v>2.7215210009489789E-3</v>
      </c>
    </row>
    <row r="956" spans="2:11" x14ac:dyDescent="0.25">
      <c r="B956" s="29">
        <v>948</v>
      </c>
      <c r="C956" s="30">
        <v>0.68895348837209303</v>
      </c>
      <c r="D956" s="41">
        <v>2.2326619202570425E-2</v>
      </c>
      <c r="E956" s="41">
        <v>-2.572351541416884E-3</v>
      </c>
      <c r="F956" s="41">
        <v>-3.2715376226826187E-3</v>
      </c>
      <c r="G956" s="41">
        <v>3.7398499845857631E-3</v>
      </c>
      <c r="H956" s="14">
        <v>3.5439725205821393E-3</v>
      </c>
      <c r="I956" s="14">
        <v>5.469433679209823E-3</v>
      </c>
      <c r="J956" s="14">
        <v>2.8456560475125237E-3</v>
      </c>
      <c r="K956" s="14">
        <v>2.7607485322834083E-3</v>
      </c>
    </row>
    <row r="957" spans="2:11" x14ac:dyDescent="0.25">
      <c r="B957" s="29">
        <v>949</v>
      </c>
      <c r="C957" s="30">
        <v>0.68968023255813948</v>
      </c>
      <c r="D957" s="41">
        <v>-1.8973974827441061E-2</v>
      </c>
      <c r="E957" s="41">
        <v>-2.2271239978941537E-2</v>
      </c>
      <c r="F957" s="41">
        <v>5.2200240121105246E-3</v>
      </c>
      <c r="G957" s="41">
        <v>-3.5269370122189333E-3</v>
      </c>
      <c r="H957" s="14">
        <v>3.5645328976681157E-3</v>
      </c>
      <c r="I957" s="14">
        <v>5.4808306926519279E-3</v>
      </c>
      <c r="J957" s="14">
        <v>2.8463301617907E-3</v>
      </c>
      <c r="K957" s="14">
        <v>2.7713579591481354E-3</v>
      </c>
    </row>
    <row r="958" spans="2:11" x14ac:dyDescent="0.25">
      <c r="B958" s="29">
        <v>950</v>
      </c>
      <c r="C958" s="30">
        <v>0.69040697674418605</v>
      </c>
      <c r="D958" s="41">
        <v>1.2951621620018675E-2</v>
      </c>
      <c r="E958" s="41">
        <v>-1.8171036757839931E-2</v>
      </c>
      <c r="F958" s="41">
        <v>2.4594453165880381E-3</v>
      </c>
      <c r="G958" s="41">
        <v>-7.8929986611894452E-3</v>
      </c>
      <c r="H958" s="14">
        <v>3.5668120464729114E-3</v>
      </c>
      <c r="I958" s="14">
        <v>5.5025973330478095E-3</v>
      </c>
      <c r="J958" s="14">
        <v>2.8513296261722942E-3</v>
      </c>
      <c r="K958" s="14">
        <v>2.7725639140499859E-3</v>
      </c>
    </row>
    <row r="959" spans="2:11" x14ac:dyDescent="0.25">
      <c r="B959" s="29">
        <v>951</v>
      </c>
      <c r="C959" s="30">
        <v>0.69113372093023251</v>
      </c>
      <c r="D959" s="41">
        <v>-2.6016314650393096E-2</v>
      </c>
      <c r="E959" s="41">
        <v>-5.827797099638321E-2</v>
      </c>
      <c r="F959" s="41">
        <v>-6.2754941951659315E-4</v>
      </c>
      <c r="G959" s="41">
        <v>-2.819161760058091E-2</v>
      </c>
      <c r="H959" s="14">
        <v>3.5775127768311599E-3</v>
      </c>
      <c r="I959" s="14">
        <v>5.510143992821348E-3</v>
      </c>
      <c r="J959" s="14">
        <v>2.8519156263451251E-3</v>
      </c>
      <c r="K959" s="14">
        <v>2.7789516023576598E-3</v>
      </c>
    </row>
    <row r="960" spans="2:11" x14ac:dyDescent="0.25">
      <c r="B960" s="29">
        <v>952</v>
      </c>
      <c r="C960" s="30">
        <v>0.69186046511627908</v>
      </c>
      <c r="D960" s="41">
        <v>4.3802913582263389E-3</v>
      </c>
      <c r="E960" s="41">
        <v>3.3083682255115932E-2</v>
      </c>
      <c r="F960" s="41">
        <v>1.2566760917371855E-3</v>
      </c>
      <c r="G960" s="41">
        <v>2.5914418031318352E-2</v>
      </c>
      <c r="H960" s="14">
        <v>3.5887466886221908E-3</v>
      </c>
      <c r="I960" s="14">
        <v>5.51044790676114E-3</v>
      </c>
      <c r="J960" s="14">
        <v>2.9082384676484274E-3</v>
      </c>
      <c r="K960" s="14">
        <v>2.7888825374386087E-3</v>
      </c>
    </row>
    <row r="961" spans="2:11" x14ac:dyDescent="0.25">
      <c r="B961" s="29">
        <v>953</v>
      </c>
      <c r="C961" s="30">
        <v>0.69258720930232553</v>
      </c>
      <c r="D961" s="41">
        <v>1.5044021007468928E-3</v>
      </c>
      <c r="E961" s="41">
        <v>2.866337481447645E-2</v>
      </c>
      <c r="F961" s="41">
        <v>6.0050568900125167E-3</v>
      </c>
      <c r="G961" s="41">
        <v>1.3076801037007216E-2</v>
      </c>
      <c r="H961" s="14">
        <v>3.6112943831454469E-3</v>
      </c>
      <c r="I961" s="14">
        <v>5.5326493431777646E-3</v>
      </c>
      <c r="J961" s="14">
        <v>2.9089664613277666E-3</v>
      </c>
      <c r="K961" s="14">
        <v>2.7958987684533641E-3</v>
      </c>
    </row>
    <row r="962" spans="2:11" x14ac:dyDescent="0.25">
      <c r="B962" s="29">
        <v>954</v>
      </c>
      <c r="C962" s="30">
        <v>0.6933139534883721</v>
      </c>
      <c r="D962" s="41">
        <v>-4.0910961902474027E-3</v>
      </c>
      <c r="E962" s="41">
        <v>-9.8084780211012967E-3</v>
      </c>
      <c r="F962" s="41">
        <v>9.1967465844453589E-3</v>
      </c>
      <c r="G962" s="41">
        <v>-5.4038732546993103E-3</v>
      </c>
      <c r="H962" s="14">
        <v>3.6184962291461176E-3</v>
      </c>
      <c r="I962" s="14">
        <v>5.5332302936630384E-3</v>
      </c>
      <c r="J962" s="14">
        <v>2.9343041895342203E-3</v>
      </c>
      <c r="K962" s="14">
        <v>2.8028047370217911E-3</v>
      </c>
    </row>
    <row r="963" spans="2:11" x14ac:dyDescent="0.25">
      <c r="B963" s="29">
        <v>955</v>
      </c>
      <c r="C963" s="30">
        <v>0.69404069767441856</v>
      </c>
      <c r="D963" s="41">
        <v>-4.9593487997803614E-3</v>
      </c>
      <c r="E963" s="41">
        <v>4.9528186231584392E-3</v>
      </c>
      <c r="F963" s="41">
        <v>1.1176157530601305E-3</v>
      </c>
      <c r="G963" s="41">
        <v>2.3180160534205909E-3</v>
      </c>
      <c r="H963" s="14">
        <v>3.6261743860228624E-3</v>
      </c>
      <c r="I963" s="14">
        <v>5.5700698643808E-3</v>
      </c>
      <c r="J963" s="14">
        <v>2.9496037855092361E-3</v>
      </c>
      <c r="K963" s="14">
        <v>2.839539117128087E-3</v>
      </c>
    </row>
    <row r="964" spans="2:11" x14ac:dyDescent="0.25">
      <c r="B964" s="29">
        <v>956</v>
      </c>
      <c r="C964" s="30">
        <v>0.69476744186046513</v>
      </c>
      <c r="D964" s="41">
        <v>4.2674499036677799E-3</v>
      </c>
      <c r="E964" s="41">
        <v>-9.7592259539536208E-5</v>
      </c>
      <c r="F964" s="41">
        <v>0</v>
      </c>
      <c r="G964" s="41">
        <v>-3.9036903815814485E-5</v>
      </c>
      <c r="H964" s="14">
        <v>3.6441941361604613E-3</v>
      </c>
      <c r="I964" s="14">
        <v>5.5706837578455293E-3</v>
      </c>
      <c r="J964" s="14">
        <v>2.9508568834410998E-3</v>
      </c>
      <c r="K964" s="14">
        <v>2.8552468455102622E-3</v>
      </c>
    </row>
    <row r="965" spans="2:11" x14ac:dyDescent="0.25">
      <c r="B965" s="29">
        <v>957</v>
      </c>
      <c r="C965" s="30">
        <v>0.69549418604651159</v>
      </c>
      <c r="D965" s="41">
        <v>-1.0932900843990038E-2</v>
      </c>
      <c r="E965" s="41">
        <v>-3.1650864472951845E-3</v>
      </c>
      <c r="F965" s="41">
        <v>-1.5963390624162965E-4</v>
      </c>
      <c r="G965" s="41">
        <v>2.2203863983361041E-4</v>
      </c>
      <c r="H965" s="14">
        <v>3.6496350364965124E-3</v>
      </c>
      <c r="I965" s="14">
        <v>5.5758868109385684E-3</v>
      </c>
      <c r="J965" s="14">
        <v>2.9592894442143081E-3</v>
      </c>
      <c r="K965" s="14">
        <v>2.8626316234301452E-3</v>
      </c>
    </row>
    <row r="966" spans="2:11" x14ac:dyDescent="0.25">
      <c r="B966" s="29">
        <v>958</v>
      </c>
      <c r="C966" s="30">
        <v>0.69622093023255816</v>
      </c>
      <c r="D966" s="41">
        <v>5.7211290283529928E-3</v>
      </c>
      <c r="E966" s="41">
        <v>3.3275985061474556E-2</v>
      </c>
      <c r="F966" s="41">
        <v>1.3208971317662188E-2</v>
      </c>
      <c r="G966" s="41">
        <v>2.3330816168842142E-2</v>
      </c>
      <c r="H966" s="14">
        <v>3.7061416908026334E-3</v>
      </c>
      <c r="I966" s="14">
        <v>5.5812112415887238E-3</v>
      </c>
      <c r="J966" s="14">
        <v>2.9714348262721568E-3</v>
      </c>
      <c r="K966" s="14">
        <v>2.8687895460074659E-3</v>
      </c>
    </row>
    <row r="967" spans="2:11" x14ac:dyDescent="0.25">
      <c r="B967" s="29">
        <v>959</v>
      </c>
      <c r="C967" s="30">
        <v>0.69694767441860461</v>
      </c>
      <c r="D967" s="41">
        <v>-1.7176106210974047E-3</v>
      </c>
      <c r="E967" s="41">
        <v>-1.1134123889971925E-2</v>
      </c>
      <c r="F967" s="41">
        <v>4.1686968761842635E-3</v>
      </c>
      <c r="G967" s="41">
        <v>-3.3525435787531864E-3</v>
      </c>
      <c r="H967" s="14">
        <v>3.7140415996772536E-3</v>
      </c>
      <c r="I967" s="14">
        <v>5.606070964654597E-3</v>
      </c>
      <c r="J967" s="14">
        <v>2.9940119760478723E-3</v>
      </c>
      <c r="K967" s="14">
        <v>2.8807192431429931E-3</v>
      </c>
    </row>
    <row r="968" spans="2:11" x14ac:dyDescent="0.25">
      <c r="B968" s="29">
        <v>960</v>
      </c>
      <c r="C968" s="30">
        <v>0.69767441860465118</v>
      </c>
      <c r="D968" s="41">
        <v>-1.9287652291052393E-2</v>
      </c>
      <c r="E968" s="41">
        <v>2.6899568101081961E-3</v>
      </c>
      <c r="F968" s="41">
        <v>1.3108819657744686E-2</v>
      </c>
      <c r="G968" s="41">
        <v>9.4911647070747857E-3</v>
      </c>
      <c r="H968" s="14">
        <v>3.7275499830564662E-3</v>
      </c>
      <c r="I968" s="14">
        <v>5.6300696474391732E-3</v>
      </c>
      <c r="J968" s="14">
        <v>3.0588262588233661E-3</v>
      </c>
      <c r="K968" s="14">
        <v>2.8881706400202714E-3</v>
      </c>
    </row>
    <row r="969" spans="2:11" x14ac:dyDescent="0.25">
      <c r="B969" s="29">
        <v>961</v>
      </c>
      <c r="C969" s="30">
        <v>0.69840116279069764</v>
      </c>
      <c r="D969" s="41">
        <v>-8.9012689233333286E-3</v>
      </c>
      <c r="E969" s="41">
        <v>-8.5260628566747876E-3</v>
      </c>
      <c r="F969" s="41">
        <v>3.8408779149512462E-4</v>
      </c>
      <c r="G969" s="41">
        <v>-3.8924731515070036E-3</v>
      </c>
      <c r="H969" s="14">
        <v>3.7353942290896391E-3</v>
      </c>
      <c r="I969" s="14">
        <v>5.6511614698699919E-3</v>
      </c>
      <c r="J969" s="14">
        <v>3.073245336680408E-3</v>
      </c>
      <c r="K969" s="14">
        <v>2.9035048126732966E-3</v>
      </c>
    </row>
    <row r="970" spans="2:11" x14ac:dyDescent="0.25">
      <c r="B970" s="29">
        <v>962</v>
      </c>
      <c r="C970" s="30">
        <v>0.69912790697674421</v>
      </c>
      <c r="D970" s="41">
        <v>1.733403925553632E-2</v>
      </c>
      <c r="E970" s="41">
        <v>1.0892091185117359E-2</v>
      </c>
      <c r="F970" s="41">
        <v>3.1373844121531658E-3</v>
      </c>
      <c r="G970" s="41">
        <v>9.4421950585778201E-3</v>
      </c>
      <c r="H970" s="14">
        <v>3.8000000000000256E-3</v>
      </c>
      <c r="I970" s="14">
        <v>5.6714586255259825E-3</v>
      </c>
      <c r="J970" s="14">
        <v>3.0802959023519261E-3</v>
      </c>
      <c r="K970" s="14">
        <v>2.9288402029677522E-3</v>
      </c>
    </row>
    <row r="971" spans="2:11" x14ac:dyDescent="0.25">
      <c r="B971" s="29">
        <v>963</v>
      </c>
      <c r="C971" s="30">
        <v>0.69985465116279066</v>
      </c>
      <c r="D971" s="41">
        <v>-8.8653072643897473E-3</v>
      </c>
      <c r="E971" s="41">
        <v>-1.4956580963732313E-2</v>
      </c>
      <c r="F971" s="41">
        <v>5.5072144509304977E-4</v>
      </c>
      <c r="G971" s="41">
        <v>-4.8482336233132365E-3</v>
      </c>
      <c r="H971" s="14">
        <v>3.8378378992223183E-3</v>
      </c>
      <c r="I971" s="14">
        <v>5.6776510457499096E-3</v>
      </c>
      <c r="J971" s="14">
        <v>3.0917555856624368E-3</v>
      </c>
      <c r="K971" s="14">
        <v>2.9437978298224813E-3</v>
      </c>
    </row>
    <row r="972" spans="2:11" x14ac:dyDescent="0.25">
      <c r="B972" s="29">
        <v>964</v>
      </c>
      <c r="C972" s="30">
        <v>0.70058139534883723</v>
      </c>
      <c r="D972" s="41">
        <v>2.9089562768950614E-2</v>
      </c>
      <c r="E972" s="41">
        <v>-2.1565522820457872E-2</v>
      </c>
      <c r="F972" s="41">
        <v>1.8281740690893056E-2</v>
      </c>
      <c r="G972" s="41">
        <v>1.0394035572382169E-3</v>
      </c>
      <c r="H972" s="14">
        <v>3.8526713862161444E-3</v>
      </c>
      <c r="I972" s="14">
        <v>5.6868593833179215E-3</v>
      </c>
      <c r="J972" s="14">
        <v>3.0936356344342109E-3</v>
      </c>
      <c r="K972" s="14">
        <v>2.947527150027707E-3</v>
      </c>
    </row>
    <row r="973" spans="2:11" x14ac:dyDescent="0.25">
      <c r="B973" s="29">
        <v>965</v>
      </c>
      <c r="C973" s="30">
        <v>0.70130813953488369</v>
      </c>
      <c r="D973" s="41">
        <v>6.8029317683072658E-3</v>
      </c>
      <c r="E973" s="41">
        <v>-4.0421171648645782E-3</v>
      </c>
      <c r="F973" s="41">
        <v>-6.164882587010867E-4</v>
      </c>
      <c r="G973" s="41">
        <v>1.6572110168211295E-5</v>
      </c>
      <c r="H973" s="14">
        <v>3.8631346578366088E-3</v>
      </c>
      <c r="I973" s="14">
        <v>5.6889237635173728E-3</v>
      </c>
      <c r="J973" s="14">
        <v>3.1149057630275312E-3</v>
      </c>
      <c r="K973" s="14">
        <v>2.9635182110286707E-3</v>
      </c>
    </row>
    <row r="974" spans="2:11" x14ac:dyDescent="0.25">
      <c r="B974" s="29">
        <v>966</v>
      </c>
      <c r="C974" s="30">
        <v>0.70203488372093026</v>
      </c>
      <c r="D974" s="41">
        <v>-2.4862311866963435E-3</v>
      </c>
      <c r="E974" s="41">
        <v>1.6496615533071246E-2</v>
      </c>
      <c r="F974" s="41">
        <v>-6.720806496779419E-4</v>
      </c>
      <c r="G974" s="41">
        <v>1.174868172029029E-2</v>
      </c>
      <c r="H974" s="14">
        <v>3.899887452718076E-3</v>
      </c>
      <c r="I974" s="14">
        <v>5.6903308658011742E-3</v>
      </c>
      <c r="J974" s="14">
        <v>3.118521487994963E-3</v>
      </c>
      <c r="K974" s="14">
        <v>3.0022674283542777E-3</v>
      </c>
    </row>
    <row r="975" spans="2:11" x14ac:dyDescent="0.25">
      <c r="B975" s="29">
        <v>967</v>
      </c>
      <c r="C975" s="30">
        <v>0.70276162790697672</v>
      </c>
      <c r="D975" s="41">
        <v>-1.6181078833432293E-2</v>
      </c>
      <c r="E975" s="41">
        <v>-5.9052232607162969E-3</v>
      </c>
      <c r="F975" s="41">
        <v>-1.1188811188812542E-3</v>
      </c>
      <c r="G975" s="41">
        <v>9.1573937418398799E-4</v>
      </c>
      <c r="H975" s="14">
        <v>3.9089591325527362E-3</v>
      </c>
      <c r="I975" s="14">
        <v>5.6920194124518986E-3</v>
      </c>
      <c r="J975" s="14">
        <v>3.1373844121531658E-3</v>
      </c>
      <c r="K975" s="14">
        <v>3.0050938496517967E-3</v>
      </c>
    </row>
    <row r="976" spans="2:11" x14ac:dyDescent="0.25">
      <c r="B976" s="29">
        <v>968</v>
      </c>
      <c r="C976" s="30">
        <v>0.70348837209302328</v>
      </c>
      <c r="D976" s="41">
        <v>-8.1157941953585323E-3</v>
      </c>
      <c r="E976" s="41">
        <v>-8.4470252849028205E-3</v>
      </c>
      <c r="F976" s="41">
        <v>-9.530669917437673E-3</v>
      </c>
      <c r="G976" s="41">
        <v>-7.9583908035978593E-3</v>
      </c>
      <c r="H976" s="14">
        <v>3.972359104895018E-3</v>
      </c>
      <c r="I976" s="14">
        <v>5.7108891504760173E-3</v>
      </c>
      <c r="J976" s="14">
        <v>3.1404860254882205E-3</v>
      </c>
      <c r="K976" s="14">
        <v>3.0088390950489432E-3</v>
      </c>
    </row>
    <row r="977" spans="2:11" x14ac:dyDescent="0.25">
      <c r="B977" s="29">
        <v>969</v>
      </c>
      <c r="C977" s="30">
        <v>0.70421511627906974</v>
      </c>
      <c r="D977" s="41">
        <v>3.8706896683424908E-3</v>
      </c>
      <c r="E977" s="41">
        <v>-2.0599940515812931E-2</v>
      </c>
      <c r="F977" s="41">
        <v>-9.7668038408778024E-3</v>
      </c>
      <c r="G977" s="41">
        <v>-1.5478114118759214E-2</v>
      </c>
      <c r="H977" s="14">
        <v>3.9946279141842567E-3</v>
      </c>
      <c r="I977" s="14">
        <v>5.7137526528139304E-3</v>
      </c>
      <c r="J977" s="14">
        <v>3.1449716111384696E-3</v>
      </c>
      <c r="K977" s="14">
        <v>3.0591908703639704E-3</v>
      </c>
    </row>
    <row r="978" spans="2:11" x14ac:dyDescent="0.25">
      <c r="B978" s="29">
        <v>970</v>
      </c>
      <c r="C978" s="30">
        <v>0.70494186046511631</v>
      </c>
      <c r="D978" s="41">
        <v>-1.4121440895183853E-2</v>
      </c>
      <c r="E978" s="41">
        <v>1.7902461950037862E-2</v>
      </c>
      <c r="F978" s="41">
        <v>8.4103358601228528E-3</v>
      </c>
      <c r="G978" s="41">
        <v>7.6998752877547091E-3</v>
      </c>
      <c r="H978" s="14">
        <v>4.0040382608099723E-3</v>
      </c>
      <c r="I978" s="14">
        <v>5.7330579764456324E-3</v>
      </c>
      <c r="J978" s="14">
        <v>3.1695721077655836E-3</v>
      </c>
      <c r="K978" s="14">
        <v>3.0658285263299059E-3</v>
      </c>
    </row>
    <row r="979" spans="2:11" x14ac:dyDescent="0.25">
      <c r="B979" s="29">
        <v>971</v>
      </c>
      <c r="C979" s="30">
        <v>0.70566860465116277</v>
      </c>
      <c r="D979" s="41">
        <v>6.1900098405981933E-3</v>
      </c>
      <c r="E979" s="41">
        <v>9.340749106768742E-3</v>
      </c>
      <c r="F979" s="41">
        <v>-3.3638469173925545E-3</v>
      </c>
      <c r="G979" s="41">
        <v>9.5870979716187622E-3</v>
      </c>
      <c r="H979" s="14">
        <v>4.0317086542207559E-3</v>
      </c>
      <c r="I979" s="14">
        <v>5.7669117361029976E-3</v>
      </c>
      <c r="J979" s="14">
        <v>3.1741113141723343E-3</v>
      </c>
      <c r="K979" s="14">
        <v>3.0708716449073139E-3</v>
      </c>
    </row>
    <row r="980" spans="2:11" x14ac:dyDescent="0.25">
      <c r="B980" s="29">
        <v>972</v>
      </c>
      <c r="C980" s="30">
        <v>0.70639534883720934</v>
      </c>
      <c r="D980" s="41">
        <v>2.742978085711167E-3</v>
      </c>
      <c r="E980" s="41">
        <v>2.2097736741357954E-2</v>
      </c>
      <c r="F980" s="41">
        <v>-1.0530910678234418E-2</v>
      </c>
      <c r="G980" s="41">
        <v>2.3065197338597572E-3</v>
      </c>
      <c r="H980" s="14">
        <v>4.0522049981133179E-3</v>
      </c>
      <c r="I980" s="14">
        <v>5.799664308835828E-3</v>
      </c>
      <c r="J980" s="14">
        <v>3.1795615551961642E-3</v>
      </c>
      <c r="K980" s="14">
        <v>3.0950179879132293E-3</v>
      </c>
    </row>
    <row r="981" spans="2:11" x14ac:dyDescent="0.25">
      <c r="B981" s="29">
        <v>973</v>
      </c>
      <c r="C981" s="30">
        <v>0.70712209302325579</v>
      </c>
      <c r="D981" s="41">
        <v>-1.55528548193968E-3</v>
      </c>
      <c r="E981" s="41">
        <v>9.4191522762951951E-3</v>
      </c>
      <c r="F981" s="41">
        <v>1.2429565793834918E-2</v>
      </c>
      <c r="G981" s="41">
        <v>4.6355463892330025E-3</v>
      </c>
      <c r="H981" s="14">
        <v>4.1114087158282686E-3</v>
      </c>
      <c r="I981" s="14">
        <v>5.8089403222147951E-3</v>
      </c>
      <c r="J981" s="14">
        <v>3.1800602549774126E-3</v>
      </c>
      <c r="K981" s="14">
        <v>3.1166099163125959E-3</v>
      </c>
    </row>
    <row r="982" spans="2:11" x14ac:dyDescent="0.25">
      <c r="B982" s="29">
        <v>974</v>
      </c>
      <c r="C982" s="30">
        <v>0.70784883720930236</v>
      </c>
      <c r="D982" s="41">
        <v>-1.2692525649436523E-2</v>
      </c>
      <c r="E982" s="41">
        <v>-1.244167962674958E-2</v>
      </c>
      <c r="F982" s="41">
        <v>1.5881923789213603E-2</v>
      </c>
      <c r="G982" s="41">
        <v>2.1336085219696883E-3</v>
      </c>
      <c r="H982" s="14">
        <v>4.1235661783112221E-3</v>
      </c>
      <c r="I982" s="14">
        <v>5.8247054883286964E-3</v>
      </c>
      <c r="J982" s="14">
        <v>3.183223852884387E-3</v>
      </c>
      <c r="K982" s="14">
        <v>3.1291044048054498E-3</v>
      </c>
    </row>
    <row r="983" spans="2:11" x14ac:dyDescent="0.25">
      <c r="B983" s="29">
        <v>975</v>
      </c>
      <c r="C983" s="30">
        <v>0.70857558139534882</v>
      </c>
      <c r="D983" s="41">
        <v>-1.5164992365690338E-2</v>
      </c>
      <c r="E983" s="41">
        <v>-7.3145462080397294E-3</v>
      </c>
      <c r="F983" s="41">
        <v>-3.0213170704415093E-3</v>
      </c>
      <c r="G983" s="41">
        <v>-2.8787152346378977E-4</v>
      </c>
      <c r="H983" s="14">
        <v>4.1526414543695545E-3</v>
      </c>
      <c r="I983" s="14">
        <v>5.8507017600726297E-3</v>
      </c>
      <c r="J983" s="14">
        <v>3.203588018580783E-3</v>
      </c>
      <c r="K983" s="14">
        <v>3.1340342639298857E-3</v>
      </c>
    </row>
    <row r="984" spans="2:11" x14ac:dyDescent="0.25">
      <c r="B984" s="29">
        <v>976</v>
      </c>
      <c r="C984" s="30">
        <v>0.70930232558139539</v>
      </c>
      <c r="D984" s="41">
        <v>-8.8631773188410853E-3</v>
      </c>
      <c r="E984" s="41">
        <v>-2.1054682335914676E-2</v>
      </c>
      <c r="F984" s="41">
        <v>1.0081209745169684E-3</v>
      </c>
      <c r="G984" s="41">
        <v>-1.0898328837291874E-2</v>
      </c>
      <c r="H984" s="14">
        <v>4.1618978254085448E-3</v>
      </c>
      <c r="I984" s="14">
        <v>5.8719151015371729E-3</v>
      </c>
      <c r="J984" s="14">
        <v>3.2257459700131275E-3</v>
      </c>
      <c r="K984" s="14">
        <v>3.1477561012729144E-3</v>
      </c>
    </row>
    <row r="985" spans="2:11" x14ac:dyDescent="0.25">
      <c r="B985" s="29">
        <v>977</v>
      </c>
      <c r="C985" s="30">
        <v>0.71002906976744184</v>
      </c>
      <c r="D985" s="41">
        <v>-3.7694185390988312E-4</v>
      </c>
      <c r="E985" s="41">
        <v>-4.4280180532357827E-3</v>
      </c>
      <c r="F985" s="41">
        <v>-1.2390065822224683E-2</v>
      </c>
      <c r="G985" s="41">
        <v>-7.2100403051015057E-3</v>
      </c>
      <c r="H985" s="14">
        <v>4.1622459805761292E-3</v>
      </c>
      <c r="I985" s="14">
        <v>5.8829882988298277E-3</v>
      </c>
      <c r="J985" s="14">
        <v>3.2378580323786377E-3</v>
      </c>
      <c r="K985" s="14">
        <v>3.153869982362046E-3</v>
      </c>
    </row>
    <row r="986" spans="2:11" x14ac:dyDescent="0.25">
      <c r="B986" s="29">
        <v>978</v>
      </c>
      <c r="C986" s="30">
        <v>0.71075581395348841</v>
      </c>
      <c r="D986" s="41">
        <v>1.1140499672913544E-2</v>
      </c>
      <c r="E986" s="41">
        <v>-1.917585241875619E-2</v>
      </c>
      <c r="F986" s="41">
        <v>-5.2819807427784138E-3</v>
      </c>
      <c r="G986" s="41">
        <v>-1.0078654140600385E-2</v>
      </c>
      <c r="H986" s="14">
        <v>4.1666991200608461E-3</v>
      </c>
      <c r="I986" s="14">
        <v>5.9004392386530213E-3</v>
      </c>
      <c r="J986" s="14">
        <v>3.2474446337309448E-3</v>
      </c>
      <c r="K986" s="14">
        <v>3.1703567814749035E-3</v>
      </c>
    </row>
    <row r="987" spans="2:11" x14ac:dyDescent="0.25">
      <c r="B987" s="29">
        <v>979</v>
      </c>
      <c r="C987" s="30">
        <v>0.71148255813953487</v>
      </c>
      <c r="D987" s="41">
        <v>8.7694166611270181E-3</v>
      </c>
      <c r="E987" s="41">
        <v>1.8335201548920654E-2</v>
      </c>
      <c r="F987" s="41">
        <v>1.4877672470794412E-3</v>
      </c>
      <c r="G987" s="41">
        <v>1.0755321513565131E-2</v>
      </c>
      <c r="H987" s="14">
        <v>4.1785057663381586E-3</v>
      </c>
      <c r="I987" s="14">
        <v>5.9914449783196044E-3</v>
      </c>
      <c r="J987" s="14">
        <v>3.261926946131144E-3</v>
      </c>
      <c r="K987" s="14">
        <v>3.2004653824773133E-3</v>
      </c>
    </row>
    <row r="988" spans="2:11" x14ac:dyDescent="0.25">
      <c r="B988" s="29">
        <v>980</v>
      </c>
      <c r="C988" s="30">
        <v>0.71220930232558144</v>
      </c>
      <c r="D988" s="41">
        <v>6.6228525935236055E-3</v>
      </c>
      <c r="E988" s="41">
        <v>-1.2529931024623853E-2</v>
      </c>
      <c r="F988" s="41">
        <v>6.064950102000477E-4</v>
      </c>
      <c r="G988" s="41">
        <v>-9.8733082769922216E-3</v>
      </c>
      <c r="H988" s="14">
        <v>4.1887740854511524E-3</v>
      </c>
      <c r="I988" s="14">
        <v>5.9991861060426643E-3</v>
      </c>
      <c r="J988" s="14">
        <v>3.3019923886277169E-3</v>
      </c>
      <c r="K988" s="14">
        <v>3.2105468451684156E-3</v>
      </c>
    </row>
    <row r="989" spans="2:11" x14ac:dyDescent="0.25">
      <c r="B989" s="29">
        <v>981</v>
      </c>
      <c r="C989" s="30">
        <v>0.7129360465116279</v>
      </c>
      <c r="D989" s="41">
        <v>6.1358741679106319E-3</v>
      </c>
      <c r="E989" s="41">
        <v>-2.5334414268342043E-3</v>
      </c>
      <c r="F989" s="41">
        <v>-2.0574576088130403E-2</v>
      </c>
      <c r="G989" s="41">
        <v>-9.5360569576367731E-3</v>
      </c>
      <c r="H989" s="14">
        <v>4.1888190752374932E-3</v>
      </c>
      <c r="I989" s="14">
        <v>6.0100093974693181E-3</v>
      </c>
      <c r="J989" s="14">
        <v>3.3141685568625068E-3</v>
      </c>
      <c r="K989" s="14">
        <v>3.2202933599044144E-3</v>
      </c>
    </row>
    <row r="990" spans="2:11" x14ac:dyDescent="0.25">
      <c r="B990" s="29">
        <v>982</v>
      </c>
      <c r="C990" s="30">
        <v>0.71366279069767447</v>
      </c>
      <c r="D990" s="41">
        <v>-5.4801471460247707E-3</v>
      </c>
      <c r="E990" s="41">
        <v>0</v>
      </c>
      <c r="F990" s="41">
        <v>-1.9402824188853307E-3</v>
      </c>
      <c r="G990" s="41">
        <v>-3.8805648377706616E-4</v>
      </c>
      <c r="H990" s="14">
        <v>4.1974479516453389E-3</v>
      </c>
      <c r="I990" s="14">
        <v>6.0527775707743814E-3</v>
      </c>
      <c r="J990" s="14">
        <v>3.3187436871724429E-3</v>
      </c>
      <c r="K990" s="14">
        <v>3.2216719675837169E-3</v>
      </c>
    </row>
    <row r="991" spans="2:11" x14ac:dyDescent="0.25">
      <c r="B991" s="29">
        <v>983</v>
      </c>
      <c r="C991" s="30">
        <v>0.71438953488372092</v>
      </c>
      <c r="D991" s="41">
        <v>-1.253478714316752E-2</v>
      </c>
      <c r="E991" s="41">
        <v>3.2220141942787439E-2</v>
      </c>
      <c r="F991" s="41">
        <v>-5.1474530831099319E-3</v>
      </c>
      <c r="G991" s="41">
        <v>1.5209126431066578E-2</v>
      </c>
      <c r="H991" s="14">
        <v>4.2301154445527622E-3</v>
      </c>
      <c r="I991" s="14">
        <v>6.0648006107610897E-3</v>
      </c>
      <c r="J991" s="14">
        <v>3.343038930227582E-3</v>
      </c>
      <c r="K991" s="14">
        <v>3.2262562211856417E-3</v>
      </c>
    </row>
    <row r="992" spans="2:11" x14ac:dyDescent="0.25">
      <c r="B992" s="29">
        <v>984</v>
      </c>
      <c r="C992" s="30">
        <v>0.71511627906976749</v>
      </c>
      <c r="D992" s="41">
        <v>-3.6067229413588296E-3</v>
      </c>
      <c r="E992" s="41">
        <v>-1.2513884787896945E-3</v>
      </c>
      <c r="F992" s="41">
        <v>5.4992452016391358E-3</v>
      </c>
      <c r="G992" s="41">
        <v>-5.3628084467008293E-3</v>
      </c>
      <c r="H992" s="14">
        <v>4.2338524876393002E-3</v>
      </c>
      <c r="I992" s="14">
        <v>6.0809454149097775E-3</v>
      </c>
      <c r="J992" s="14">
        <v>3.3595178103849044E-3</v>
      </c>
      <c r="K992" s="14">
        <v>3.2372350740265121E-3</v>
      </c>
    </row>
    <row r="993" spans="2:11" x14ac:dyDescent="0.25">
      <c r="B993" s="29">
        <v>985</v>
      </c>
      <c r="C993" s="30">
        <v>0.71584302325581395</v>
      </c>
      <c r="D993" s="41">
        <v>-3.747412940178131E-3</v>
      </c>
      <c r="E993" s="41">
        <v>1.9829091113864106E-2</v>
      </c>
      <c r="F993" s="41">
        <v>-3.9203050319532862E-3</v>
      </c>
      <c r="G993" s="41">
        <v>9.2979398430872453E-4</v>
      </c>
      <c r="H993" s="14">
        <v>4.2416791537243093E-3</v>
      </c>
      <c r="I993" s="14">
        <v>6.0930484977057553E-3</v>
      </c>
      <c r="J993" s="14">
        <v>3.3648306061304645E-3</v>
      </c>
      <c r="K993" s="14">
        <v>3.2408451653405117E-3</v>
      </c>
    </row>
    <row r="994" spans="2:11" x14ac:dyDescent="0.25">
      <c r="B994" s="29">
        <v>986</v>
      </c>
      <c r="C994" s="30">
        <v>0.71656976744186052</v>
      </c>
      <c r="D994" s="41">
        <v>-3.7725935472347027E-3</v>
      </c>
      <c r="E994" s="41">
        <v>1.9636805378207001E-2</v>
      </c>
      <c r="F994" s="41">
        <v>-1.3874913943758949E-2</v>
      </c>
      <c r="G994" s="41">
        <v>3.8967090595006804E-3</v>
      </c>
      <c r="H994" s="14">
        <v>4.2462526562241365E-3</v>
      </c>
      <c r="I994" s="14">
        <v>6.1126748729152247E-3</v>
      </c>
      <c r="J994" s="14">
        <v>3.3857166687660811E-3</v>
      </c>
      <c r="K994" s="14">
        <v>3.2529680470285041E-3</v>
      </c>
    </row>
    <row r="995" spans="2:11" x14ac:dyDescent="0.25">
      <c r="B995" s="29">
        <v>987</v>
      </c>
      <c r="C995" s="30">
        <v>0.71729651162790697</v>
      </c>
      <c r="D995" s="41">
        <v>7.7836077286300336E-3</v>
      </c>
      <c r="E995" s="41">
        <v>-6.5188253929571172E-3</v>
      </c>
      <c r="F995" s="41">
        <v>-3.7056643726818272E-4</v>
      </c>
      <c r="G995" s="41">
        <v>-6.1310372071988976E-3</v>
      </c>
      <c r="H995" s="14">
        <v>4.2589437819420262E-3</v>
      </c>
      <c r="I995" s="14">
        <v>6.1547020880783343E-3</v>
      </c>
      <c r="J995" s="14">
        <v>3.4003691829396221E-3</v>
      </c>
      <c r="K995" s="14">
        <v>3.255867603128593E-3</v>
      </c>
    </row>
    <row r="996" spans="2:11" x14ac:dyDescent="0.25">
      <c r="B996" s="29">
        <v>988</v>
      </c>
      <c r="C996" s="30">
        <v>0.71802325581395354</v>
      </c>
      <c r="D996" s="41">
        <v>1.9258495960135197E-3</v>
      </c>
      <c r="E996" s="41">
        <v>-6.6706186164089409E-3</v>
      </c>
      <c r="F996" s="41">
        <v>-1.501720721660238E-2</v>
      </c>
      <c r="G996" s="41">
        <v>-4.9849655412901768E-3</v>
      </c>
      <c r="H996" s="14">
        <v>4.2673708155605006E-3</v>
      </c>
      <c r="I996" s="14">
        <v>6.1601642710471527E-3</v>
      </c>
      <c r="J996" s="14">
        <v>3.404062180869305E-3</v>
      </c>
      <c r="K996" s="14">
        <v>3.2693874073151719E-3</v>
      </c>
    </row>
    <row r="997" spans="2:11" x14ac:dyDescent="0.25">
      <c r="B997" s="29">
        <v>989</v>
      </c>
      <c r="C997" s="30">
        <v>0.71875</v>
      </c>
      <c r="D997" s="41">
        <v>-1.9641585245284022E-5</v>
      </c>
      <c r="E997" s="41">
        <v>9.2739944026778431E-3</v>
      </c>
      <c r="F997" s="41">
        <v>1.8806812245324434E-3</v>
      </c>
      <c r="G997" s="41">
        <v>5.7506323982080779E-3</v>
      </c>
      <c r="H997" s="14">
        <v>4.2715947831921675E-3</v>
      </c>
      <c r="I997" s="14">
        <v>6.1890956838619449E-3</v>
      </c>
      <c r="J997" s="14">
        <v>3.4078395336096801E-3</v>
      </c>
      <c r="K997" s="14">
        <v>3.2718986360685603E-3</v>
      </c>
    </row>
    <row r="998" spans="2:11" x14ac:dyDescent="0.25">
      <c r="B998" s="29">
        <v>990</v>
      </c>
      <c r="C998" s="30">
        <v>0.71947674418604646</v>
      </c>
      <c r="D998" s="41">
        <v>-9.9329611899154832E-3</v>
      </c>
      <c r="E998" s="41">
        <v>-6.585743801652777E-3</v>
      </c>
      <c r="F998" s="41">
        <v>3.8282028423093362E-3</v>
      </c>
      <c r="G998" s="41">
        <v>-3.2600743774267916E-3</v>
      </c>
      <c r="H998" s="14">
        <v>4.2910617015226027E-3</v>
      </c>
      <c r="I998" s="14">
        <v>6.2015255432343874E-3</v>
      </c>
      <c r="J998" s="14">
        <v>3.4106404924278966E-3</v>
      </c>
      <c r="K998" s="14">
        <v>3.2760530858154447E-3</v>
      </c>
    </row>
    <row r="999" spans="2:11" x14ac:dyDescent="0.25">
      <c r="B999" s="29">
        <v>991</v>
      </c>
      <c r="C999" s="30">
        <v>0.72020348837209303</v>
      </c>
      <c r="D999" s="41">
        <v>1.506020474289901E-2</v>
      </c>
      <c r="E999" s="41">
        <v>-3.2291830577353409E-3</v>
      </c>
      <c r="F999" s="41">
        <v>2.6289499973712882E-3</v>
      </c>
      <c r="G999" s="41">
        <v>-1.0529676851734229E-3</v>
      </c>
      <c r="H999" s="14">
        <v>4.295583187294616E-3</v>
      </c>
      <c r="I999" s="14">
        <v>6.2259389563263934E-3</v>
      </c>
      <c r="J999" s="14">
        <v>3.4467901766477294E-3</v>
      </c>
      <c r="K999" s="14">
        <v>3.2895862302382731E-3</v>
      </c>
    </row>
    <row r="1000" spans="2:11" x14ac:dyDescent="0.25">
      <c r="B1000" s="29">
        <v>992</v>
      </c>
      <c r="C1000" s="30">
        <v>0.72093023255813948</v>
      </c>
      <c r="D1000" s="41">
        <v>5.4508265432221138E-3</v>
      </c>
      <c r="E1000" s="41">
        <v>-7.5157006074333399E-3</v>
      </c>
      <c r="F1000" s="41">
        <v>-3.0403103213293425E-3</v>
      </c>
      <c r="G1000" s="41">
        <v>-6.6700701646386085E-3</v>
      </c>
      <c r="H1000" s="14">
        <v>4.3306940262444193E-3</v>
      </c>
      <c r="I1000" s="14">
        <v>6.2348409188186515E-3</v>
      </c>
      <c r="J1000" s="14">
        <v>3.4488354178967562E-3</v>
      </c>
      <c r="K1000" s="14">
        <v>3.3071958744789859E-3</v>
      </c>
    </row>
    <row r="1001" spans="2:11" x14ac:dyDescent="0.25">
      <c r="B1001" s="29">
        <v>993</v>
      </c>
      <c r="C1001" s="30">
        <v>0.72165697674418605</v>
      </c>
      <c r="D1001" s="41">
        <v>3.4990213868031778E-3</v>
      </c>
      <c r="E1001" s="41">
        <v>1.6237897648686106E-2</v>
      </c>
      <c r="F1001" s="41">
        <v>-7.0785405714882677E-3</v>
      </c>
      <c r="G1001" s="41">
        <v>7.3099342165522828E-3</v>
      </c>
      <c r="H1001" s="14">
        <v>4.372452908417257E-3</v>
      </c>
      <c r="I1001" s="14">
        <v>6.2363180095039716E-3</v>
      </c>
      <c r="J1001" s="14">
        <v>3.4670916070791424E-3</v>
      </c>
      <c r="K1001" s="14">
        <v>3.3167008330574179E-3</v>
      </c>
    </row>
    <row r="1002" spans="2:11" x14ac:dyDescent="0.25">
      <c r="B1002" s="29">
        <v>994</v>
      </c>
      <c r="C1002" s="30">
        <v>0.72238372093023251</v>
      </c>
      <c r="D1002" s="41">
        <v>1.4424929046540759E-2</v>
      </c>
      <c r="E1002" s="41">
        <v>7.4856411791923705E-4</v>
      </c>
      <c r="F1002" s="41">
        <v>1.7727723030400711E-3</v>
      </c>
      <c r="G1002" s="41">
        <v>-3.5139815495942805E-3</v>
      </c>
      <c r="H1002" s="14">
        <v>4.3917915696356502E-3</v>
      </c>
      <c r="I1002" s="14">
        <v>6.2409985597695616E-3</v>
      </c>
      <c r="J1002" s="14">
        <v>3.4906044563383087E-3</v>
      </c>
      <c r="K1002" s="14">
        <v>3.331978632162968E-3</v>
      </c>
    </row>
    <row r="1003" spans="2:11" x14ac:dyDescent="0.25">
      <c r="B1003" s="29">
        <v>995</v>
      </c>
      <c r="C1003" s="30">
        <v>0.72311046511627908</v>
      </c>
      <c r="D1003" s="41">
        <v>9.4430362730495219E-4</v>
      </c>
      <c r="E1003" s="41">
        <v>5.4808306926519279E-3</v>
      </c>
      <c r="F1003" s="41">
        <v>6.6659668276294326E-3</v>
      </c>
      <c r="G1003" s="41">
        <v>3.5321376499920735E-3</v>
      </c>
      <c r="H1003" s="14">
        <v>4.3950576333031677E-3</v>
      </c>
      <c r="I1003" s="14">
        <v>6.3009828645805843E-3</v>
      </c>
      <c r="J1003" s="14">
        <v>3.497661804505281E-3</v>
      </c>
      <c r="K1003" s="14">
        <v>3.3395728560299937E-3</v>
      </c>
    </row>
    <row r="1004" spans="2:11" x14ac:dyDescent="0.25">
      <c r="B1004" s="29">
        <v>996</v>
      </c>
      <c r="C1004" s="30">
        <v>0.72383720930232553</v>
      </c>
      <c r="D1004" s="41">
        <v>7.7804561400212123E-3</v>
      </c>
      <c r="E1004" s="41">
        <v>-9.589893415571149E-3</v>
      </c>
      <c r="F1004" s="41">
        <v>-8.5345545378850973E-3</v>
      </c>
      <c r="G1004" s="41">
        <v>-1.0177808849371205E-2</v>
      </c>
      <c r="H1004" s="14">
        <v>4.4247787610618428E-3</v>
      </c>
      <c r="I1004" s="14">
        <v>6.3147682674076222E-3</v>
      </c>
      <c r="J1004" s="14">
        <v>3.5029585798815877E-3</v>
      </c>
      <c r="K1004" s="14">
        <v>3.3531859338650433E-3</v>
      </c>
    </row>
    <row r="1005" spans="2:11" x14ac:dyDescent="0.25">
      <c r="B1005" s="29">
        <v>997</v>
      </c>
      <c r="C1005" s="30">
        <v>0.7245639534883721</v>
      </c>
      <c r="D1005" s="41">
        <v>-1.9532157066194491E-3</v>
      </c>
      <c r="E1005" s="41">
        <v>1.4667522499760999E-2</v>
      </c>
      <c r="F1005" s="41">
        <v>5.7276750846124713E-4</v>
      </c>
      <c r="G1005" s="41">
        <v>7.5268163647312925E-3</v>
      </c>
      <c r="H1005" s="14">
        <v>4.4322874149080871E-3</v>
      </c>
      <c r="I1005" s="14">
        <v>6.3418340896663761E-3</v>
      </c>
      <c r="J1005" s="14">
        <v>3.5154836374917675E-3</v>
      </c>
      <c r="K1005" s="14">
        <v>3.3587889413712272E-3</v>
      </c>
    </row>
    <row r="1006" spans="2:11" x14ac:dyDescent="0.25">
      <c r="B1006" s="29">
        <v>998</v>
      </c>
      <c r="C1006" s="30">
        <v>0.72529069767441856</v>
      </c>
      <c r="D1006" s="41">
        <v>1.5142109204829647E-2</v>
      </c>
      <c r="E1006" s="41">
        <v>-6.5345841689435913E-3</v>
      </c>
      <c r="F1006" s="41">
        <v>5.0764077873142188E-3</v>
      </c>
      <c r="G1006" s="41">
        <v>-2.658185069027044E-4</v>
      </c>
      <c r="H1006" s="14">
        <v>4.4990523749897093E-3</v>
      </c>
      <c r="I1006" s="14">
        <v>6.3431035848253714E-3</v>
      </c>
      <c r="J1006" s="14">
        <v>3.575401897353947E-3</v>
      </c>
      <c r="K1006" s="14">
        <v>3.3670947166890121E-3</v>
      </c>
    </row>
    <row r="1007" spans="2:11" x14ac:dyDescent="0.25">
      <c r="B1007" s="29">
        <v>999</v>
      </c>
      <c r="C1007" s="30">
        <v>0.72601744186046513</v>
      </c>
      <c r="D1007" s="41">
        <v>6.6414306926381042E-3</v>
      </c>
      <c r="E1007" s="41">
        <v>1.9238194590274205E-3</v>
      </c>
      <c r="F1007" s="41">
        <v>9.7764625059451049E-3</v>
      </c>
      <c r="G1007" s="41">
        <v>8.5627335130863194E-3</v>
      </c>
      <c r="H1007" s="14">
        <v>4.5099005394417802E-3</v>
      </c>
      <c r="I1007" s="14">
        <v>6.3538962435993884E-3</v>
      </c>
      <c r="J1007" s="14">
        <v>3.5906486402570437E-3</v>
      </c>
      <c r="K1007" s="14">
        <v>3.3703247387655956E-3</v>
      </c>
    </row>
    <row r="1008" spans="2:11" x14ac:dyDescent="0.25">
      <c r="B1008" s="29">
        <v>1000</v>
      </c>
      <c r="C1008" s="30">
        <v>0.72674418604651159</v>
      </c>
      <c r="D1008" s="41">
        <v>-1.3583563314308947E-2</v>
      </c>
      <c r="E1008" s="41">
        <v>-1.8180343053405101E-2</v>
      </c>
      <c r="F1008" s="41">
        <v>7.1318324551601364E-3</v>
      </c>
      <c r="G1008" s="41">
        <v>-6.0552427952663473E-3</v>
      </c>
      <c r="H1008" s="14">
        <v>4.5396739323617652E-3</v>
      </c>
      <c r="I1008" s="14">
        <v>6.3779076734618023E-3</v>
      </c>
      <c r="J1008" s="14">
        <v>3.6038505738926752E-3</v>
      </c>
      <c r="K1008" s="14">
        <v>3.3774265726002287E-3</v>
      </c>
    </row>
    <row r="1009" spans="2:11" x14ac:dyDescent="0.25">
      <c r="B1009" s="29">
        <v>1001</v>
      </c>
      <c r="C1009" s="30">
        <v>0.72747093023255816</v>
      </c>
      <c r="D1009" s="41">
        <v>-1.8783950529464959E-2</v>
      </c>
      <c r="E1009" s="41">
        <v>-7.3682325882467037E-3</v>
      </c>
      <c r="F1009" s="41">
        <v>3.203588018580783E-3</v>
      </c>
      <c r="G1009" s="41">
        <v>2.7888825374386087E-3</v>
      </c>
      <c r="H1009" s="14">
        <v>4.5502632531766452E-3</v>
      </c>
      <c r="I1009" s="14">
        <v>6.3815619103992915E-3</v>
      </c>
      <c r="J1009" s="14">
        <v>3.6046012540629224E-3</v>
      </c>
      <c r="K1009" s="14">
        <v>3.3986756467870864E-3</v>
      </c>
    </row>
    <row r="1010" spans="2:11" x14ac:dyDescent="0.25">
      <c r="B1010" s="29">
        <v>1002</v>
      </c>
      <c r="C1010" s="30">
        <v>0.72819767441860461</v>
      </c>
      <c r="D1010" s="41">
        <v>1.8604974328405217E-3</v>
      </c>
      <c r="E1010" s="41">
        <v>9.5943058523184632E-3</v>
      </c>
      <c r="F1010" s="41">
        <v>-6.4030734752695828E-4</v>
      </c>
      <c r="G1010" s="41">
        <v>-1.8261342524220408E-3</v>
      </c>
      <c r="H1010" s="14">
        <v>4.608370856319155E-3</v>
      </c>
      <c r="I1010" s="14">
        <v>6.4198325327695649E-3</v>
      </c>
      <c r="J1010" s="14">
        <v>3.6135707716615784E-3</v>
      </c>
      <c r="K1010" s="14">
        <v>3.4026572135034796E-3</v>
      </c>
    </row>
    <row r="1011" spans="2:11" x14ac:dyDescent="0.25">
      <c r="B1011" s="29">
        <v>1003</v>
      </c>
      <c r="C1011" s="30">
        <v>0.72892441860465118</v>
      </c>
      <c r="D1011" s="41">
        <v>1.3096262945695372E-2</v>
      </c>
      <c r="E1011" s="41">
        <v>-3.270780795844197E-3</v>
      </c>
      <c r="F1011" s="41">
        <v>-6.6256758189334741E-3</v>
      </c>
      <c r="G1011" s="41">
        <v>-3.0531471345605302E-3</v>
      </c>
      <c r="H1011" s="14">
        <v>4.6223748393388053E-3</v>
      </c>
      <c r="I1011" s="14">
        <v>6.432429152254393E-3</v>
      </c>
      <c r="J1011" s="14">
        <v>3.6216459504476717E-3</v>
      </c>
      <c r="K1011" s="14">
        <v>3.4063743829432893E-3</v>
      </c>
    </row>
    <row r="1012" spans="2:11" x14ac:dyDescent="0.25">
      <c r="B1012" s="29">
        <v>1004</v>
      </c>
      <c r="C1012" s="30">
        <v>0.72965116279069764</v>
      </c>
      <c r="D1012" s="41">
        <v>1.4324412202729302E-2</v>
      </c>
      <c r="E1012" s="41">
        <v>2.94371100617008E-3</v>
      </c>
      <c r="F1012" s="41">
        <v>-2.7487049370968908E-3</v>
      </c>
      <c r="G1012" s="41">
        <v>1.461459688927702E-3</v>
      </c>
      <c r="H1012" s="14">
        <v>4.623616696398436E-3</v>
      </c>
      <c r="I1012" s="14">
        <v>6.4611334902084927E-3</v>
      </c>
      <c r="J1012" s="14">
        <v>3.6280521285161349E-3</v>
      </c>
      <c r="K1012" s="14">
        <v>3.4244463220125978E-3</v>
      </c>
    </row>
    <row r="1013" spans="2:11" x14ac:dyDescent="0.25">
      <c r="B1013" s="29">
        <v>1005</v>
      </c>
      <c r="C1013" s="30">
        <v>0.73037790697674421</v>
      </c>
      <c r="D1013" s="41">
        <v>-3.4523491513431433E-3</v>
      </c>
      <c r="E1013" s="41">
        <v>-8.5440123176748761E-3</v>
      </c>
      <c r="F1013" s="41">
        <v>-6.9291338582677664E-3</v>
      </c>
      <c r="G1013" s="41">
        <v>-9.4022623379413257E-3</v>
      </c>
      <c r="H1013" s="14">
        <v>4.6475422830092317E-3</v>
      </c>
      <c r="I1013" s="14">
        <v>6.4967926360566253E-3</v>
      </c>
      <c r="J1013" s="14">
        <v>3.6324166054055862E-3</v>
      </c>
      <c r="K1013" s="14">
        <v>3.4548778819633252E-3</v>
      </c>
    </row>
    <row r="1014" spans="2:11" x14ac:dyDescent="0.25">
      <c r="B1014" s="29">
        <v>1006</v>
      </c>
      <c r="C1014" s="30">
        <v>0.73110465116279066</v>
      </c>
      <c r="D1014" s="41">
        <v>1.5721394864577472E-2</v>
      </c>
      <c r="E1014" s="41">
        <v>8.4651169239939872E-3</v>
      </c>
      <c r="F1014" s="41">
        <v>-6.3116165040947303E-3</v>
      </c>
      <c r="G1014" s="41">
        <v>1.5471540567800757E-3</v>
      </c>
      <c r="H1014" s="14">
        <v>4.6669907632475027E-3</v>
      </c>
      <c r="I1014" s="14">
        <v>6.4982051900512872E-3</v>
      </c>
      <c r="J1014" s="14">
        <v>3.6532388432721774E-3</v>
      </c>
      <c r="K1014" s="14">
        <v>3.4681987807811511E-3</v>
      </c>
    </row>
    <row r="1015" spans="2:11" x14ac:dyDescent="0.25">
      <c r="B1015" s="29">
        <v>1007</v>
      </c>
      <c r="C1015" s="30">
        <v>0.73183139534883723</v>
      </c>
      <c r="D1015" s="41">
        <v>-6.8497553557168691E-3</v>
      </c>
      <c r="E1015" s="41">
        <v>1.0119620514230654E-2</v>
      </c>
      <c r="F1015" s="41">
        <v>7.356418475119364E-3</v>
      </c>
      <c r="G1015" s="41">
        <v>3.1166099163125959E-3</v>
      </c>
      <c r="H1015" s="14">
        <v>4.6758307176100189E-3</v>
      </c>
      <c r="I1015" s="14">
        <v>6.6543145717061769E-3</v>
      </c>
      <c r="J1015" s="14">
        <v>3.6568377060599566E-3</v>
      </c>
      <c r="K1015" s="14">
        <v>3.481756643816203E-3</v>
      </c>
    </row>
    <row r="1016" spans="2:11" x14ac:dyDescent="0.25">
      <c r="B1016" s="29">
        <v>1008</v>
      </c>
      <c r="C1016" s="30">
        <v>0.73255813953488369</v>
      </c>
      <c r="D1016" s="41">
        <v>-4.5564072851843711E-3</v>
      </c>
      <c r="E1016" s="41">
        <v>1.4972912639854563E-4</v>
      </c>
      <c r="F1016" s="41">
        <v>1.7897562773070419E-3</v>
      </c>
      <c r="G1016" s="41">
        <v>4.1784290602082664E-4</v>
      </c>
      <c r="H1016" s="14">
        <v>4.739101717305072E-3</v>
      </c>
      <c r="I1016" s="14">
        <v>6.7787216354198154E-3</v>
      </c>
      <c r="J1016" s="14">
        <v>3.6662486642700109E-3</v>
      </c>
      <c r="K1016" s="14">
        <v>3.4909580057585383E-3</v>
      </c>
    </row>
    <row r="1017" spans="2:11" x14ac:dyDescent="0.25">
      <c r="B1017" s="29">
        <v>1009</v>
      </c>
      <c r="C1017" s="30">
        <v>0.73328488372093026</v>
      </c>
      <c r="D1017" s="41">
        <v>-7.6636823167738023E-3</v>
      </c>
      <c r="E1017" s="41">
        <v>-1.6440518801801862E-2</v>
      </c>
      <c r="F1017" s="41">
        <v>-6.9524307370621985E-3</v>
      </c>
      <c r="G1017" s="41">
        <v>-8.3940155617033378E-3</v>
      </c>
      <c r="H1017" s="14">
        <v>4.7632562064381379E-3</v>
      </c>
      <c r="I1017" s="14">
        <v>6.8046791394515971E-3</v>
      </c>
      <c r="J1017" s="14">
        <v>3.6825458476590356E-3</v>
      </c>
      <c r="K1017" s="14">
        <v>3.504411689101072E-3</v>
      </c>
    </row>
    <row r="1018" spans="2:11" x14ac:dyDescent="0.25">
      <c r="B1018" s="29">
        <v>1010</v>
      </c>
      <c r="C1018" s="30">
        <v>0.73401162790697672</v>
      </c>
      <c r="D1018" s="41">
        <v>-3.8620865161042104E-3</v>
      </c>
      <c r="E1018" s="41">
        <v>7.8110946602276687E-3</v>
      </c>
      <c r="F1018" s="41">
        <v>8.3708276655847236E-4</v>
      </c>
      <c r="G1018" s="41">
        <v>7.2488091664168145E-3</v>
      </c>
      <c r="H1018" s="14">
        <v>4.7784433929281001E-3</v>
      </c>
      <c r="I1018" s="14">
        <v>6.8221495279581212E-3</v>
      </c>
      <c r="J1018" s="14">
        <v>3.7123185195044872E-3</v>
      </c>
      <c r="K1018" s="14">
        <v>3.5180110884750928E-3</v>
      </c>
    </row>
    <row r="1019" spans="2:11" x14ac:dyDescent="0.25">
      <c r="B1019" s="29">
        <v>1011</v>
      </c>
      <c r="C1019" s="30">
        <v>0.73473837209302328</v>
      </c>
      <c r="D1019" s="41">
        <v>2.6284095398463499E-3</v>
      </c>
      <c r="E1019" s="41">
        <v>1.5260834643398891E-2</v>
      </c>
      <c r="F1019" s="41">
        <v>6.8478718921196613E-3</v>
      </c>
      <c r="G1019" s="41">
        <v>5.5677595826628679E-3</v>
      </c>
      <c r="H1019" s="14">
        <v>4.8348106365834198E-3</v>
      </c>
      <c r="I1019" s="14">
        <v>6.8290980279082092E-3</v>
      </c>
      <c r="J1019" s="14">
        <v>3.7847491760707452E-3</v>
      </c>
      <c r="K1019" s="14">
        <v>3.5225680162869191E-3</v>
      </c>
    </row>
    <row r="1020" spans="2:11" x14ac:dyDescent="0.25">
      <c r="B1020" s="29">
        <v>1012</v>
      </c>
      <c r="C1020" s="30">
        <v>0.73546511627906974</v>
      </c>
      <c r="D1020" s="41">
        <v>-6.4175806349137691E-3</v>
      </c>
      <c r="E1020" s="41">
        <v>-2.2178646291163284E-3</v>
      </c>
      <c r="F1020" s="41">
        <v>-3.6737692872886862E-3</v>
      </c>
      <c r="G1020" s="41">
        <v>-6.4431109435403322E-4</v>
      </c>
      <c r="H1020" s="14">
        <v>4.8788420881444861E-3</v>
      </c>
      <c r="I1020" s="14">
        <v>6.8755235382811364E-3</v>
      </c>
      <c r="J1020" s="14">
        <v>3.7898664800886106E-3</v>
      </c>
      <c r="K1020" s="14">
        <v>3.5321376499920735E-3</v>
      </c>
    </row>
    <row r="1021" spans="2:11" x14ac:dyDescent="0.25">
      <c r="B1021" s="29">
        <v>1013</v>
      </c>
      <c r="C1021" s="30">
        <v>0.73619186046511631</v>
      </c>
      <c r="D1021" s="41">
        <v>2.7084378163294907E-3</v>
      </c>
      <c r="E1021" s="41">
        <v>3.5646033531668841E-3</v>
      </c>
      <c r="F1021" s="41">
        <v>1.8402649981597019E-3</v>
      </c>
      <c r="G1021" s="41">
        <v>3.5519173942199613E-3</v>
      </c>
      <c r="H1021" s="14">
        <v>4.8935206162210587E-3</v>
      </c>
      <c r="I1021" s="14">
        <v>6.8757299953721152E-3</v>
      </c>
      <c r="J1021" s="14">
        <v>3.7985368598760783E-3</v>
      </c>
      <c r="K1021" s="14">
        <v>3.5450022081647383E-3</v>
      </c>
    </row>
    <row r="1022" spans="2:11" x14ac:dyDescent="0.25">
      <c r="B1022" s="29">
        <v>1014</v>
      </c>
      <c r="C1022" s="30">
        <v>0.73691860465116277</v>
      </c>
      <c r="D1022" s="41">
        <v>-1.9440471016203102E-2</v>
      </c>
      <c r="E1022" s="41">
        <v>8.1303009021662653E-3</v>
      </c>
      <c r="F1022" s="41">
        <v>6.988934187536211E-3</v>
      </c>
      <c r="G1022" s="41">
        <v>6.5455478852957773E-3</v>
      </c>
      <c r="H1022" s="14">
        <v>4.9407114624506754E-3</v>
      </c>
      <c r="I1022" s="14">
        <v>6.8789423731092647E-3</v>
      </c>
      <c r="J1022" s="14">
        <v>3.8037702075293112E-3</v>
      </c>
      <c r="K1022" s="14">
        <v>3.5496568535874134E-3</v>
      </c>
    </row>
    <row r="1023" spans="2:11" x14ac:dyDescent="0.25">
      <c r="B1023" s="29">
        <v>1015</v>
      </c>
      <c r="C1023" s="30">
        <v>0.73764534883720934</v>
      </c>
      <c r="D1023" s="41">
        <v>1.5313452026806238E-2</v>
      </c>
      <c r="E1023" s="41">
        <v>1.9558985076224555E-3</v>
      </c>
      <c r="F1023" s="41">
        <v>9.8379939047212872E-3</v>
      </c>
      <c r="G1023" s="41">
        <v>-2.5682990842368805E-3</v>
      </c>
      <c r="H1023" s="14">
        <v>4.9504950495049549E-3</v>
      </c>
      <c r="I1023" s="14">
        <v>6.9052977268226901E-3</v>
      </c>
      <c r="J1023" s="14">
        <v>3.8107681419783379E-3</v>
      </c>
      <c r="K1023" s="14">
        <v>3.5519173942199613E-3</v>
      </c>
    </row>
    <row r="1024" spans="2:11" x14ac:dyDescent="0.25">
      <c r="B1024" s="29">
        <v>1016</v>
      </c>
      <c r="C1024" s="30">
        <v>0.73837209302325579</v>
      </c>
      <c r="D1024" s="41">
        <v>-2.9363908170828359E-2</v>
      </c>
      <c r="E1024" s="41">
        <v>9.4528826612472194E-3</v>
      </c>
      <c r="F1024" s="41">
        <v>-2.187366623986442E-3</v>
      </c>
      <c r="G1024" s="41">
        <v>9.7862661016723251E-3</v>
      </c>
      <c r="H1024" s="14">
        <v>4.9866841687722374E-3</v>
      </c>
      <c r="I1024" s="14">
        <v>6.9410014873574344E-3</v>
      </c>
      <c r="J1024" s="14">
        <v>3.8282028423093362E-3</v>
      </c>
      <c r="K1024" s="14">
        <v>3.5838389316692702E-3</v>
      </c>
    </row>
    <row r="1025" spans="2:11" x14ac:dyDescent="0.25">
      <c r="B1025" s="29">
        <v>1017</v>
      </c>
      <c r="C1025" s="30">
        <v>0.73909883720930236</v>
      </c>
      <c r="D1025" s="41">
        <v>-6.8812496182433574E-3</v>
      </c>
      <c r="E1025" s="41">
        <v>3.3775281791803557E-4</v>
      </c>
      <c r="F1025" s="41">
        <v>2.5673940949937357E-3</v>
      </c>
      <c r="G1025" s="41">
        <v>4.0253523418712243E-3</v>
      </c>
      <c r="H1025" s="14">
        <v>5.0102489717025467E-3</v>
      </c>
      <c r="I1025" s="14">
        <v>6.952174774122577E-3</v>
      </c>
      <c r="J1025" s="14">
        <v>3.8289559234723214E-3</v>
      </c>
      <c r="K1025" s="14">
        <v>3.6028863527749703E-3</v>
      </c>
    </row>
    <row r="1026" spans="2:11" x14ac:dyDescent="0.25">
      <c r="B1026" s="29">
        <v>1018</v>
      </c>
      <c r="C1026" s="30">
        <v>0.73982558139534882</v>
      </c>
      <c r="D1026" s="41">
        <v>6.7427251995381045E-3</v>
      </c>
      <c r="E1026" s="41">
        <v>-1.1089116776675123E-2</v>
      </c>
      <c r="F1026" s="41">
        <v>2.7353177795654826E-3</v>
      </c>
      <c r="G1026" s="41">
        <v>-4.3112099427933259E-3</v>
      </c>
      <c r="H1026" s="14">
        <v>5.0295342077688598E-3</v>
      </c>
      <c r="I1026" s="14">
        <v>6.9560859271036168E-3</v>
      </c>
      <c r="J1026" s="14">
        <v>3.8317157686986736E-3</v>
      </c>
      <c r="K1026" s="14">
        <v>3.6156624383924425E-3</v>
      </c>
    </row>
    <row r="1027" spans="2:11" x14ac:dyDescent="0.25">
      <c r="B1027" s="29">
        <v>1019</v>
      </c>
      <c r="C1027" s="30">
        <v>0.74055232558139539</v>
      </c>
      <c r="D1027" s="41">
        <v>-2.7513100507075804E-3</v>
      </c>
      <c r="E1027" s="41">
        <v>-7.8862452635666269E-3</v>
      </c>
      <c r="F1027" s="41">
        <v>8.6556667568298273E-3</v>
      </c>
      <c r="G1027" s="41">
        <v>-1.6716102775697888E-4</v>
      </c>
      <c r="H1027" s="14">
        <v>5.0407940549808128E-3</v>
      </c>
      <c r="I1027" s="14">
        <v>6.9740305554801818E-3</v>
      </c>
      <c r="J1027" s="14">
        <v>3.8530105238945289E-3</v>
      </c>
      <c r="K1027" s="14">
        <v>3.6308094709486486E-3</v>
      </c>
    </row>
    <row r="1028" spans="2:11" x14ac:dyDescent="0.25">
      <c r="B1028" s="29">
        <v>1020</v>
      </c>
      <c r="C1028" s="30">
        <v>0.74127906976744184</v>
      </c>
      <c r="D1028" s="41">
        <v>-7.0275241532083543E-3</v>
      </c>
      <c r="E1028" s="41">
        <v>9.183783637884968E-3</v>
      </c>
      <c r="F1028" s="41">
        <v>-2.1634485369670386E-4</v>
      </c>
      <c r="G1028" s="41">
        <v>-6.2322003637555589E-3</v>
      </c>
      <c r="H1028" s="14">
        <v>5.0562714076007875E-3</v>
      </c>
      <c r="I1028" s="14">
        <v>6.9853117075737714E-3</v>
      </c>
      <c r="J1028" s="14">
        <v>3.8787804162954131E-3</v>
      </c>
      <c r="K1028" s="14">
        <v>3.6472654464682732E-3</v>
      </c>
    </row>
    <row r="1029" spans="2:11" x14ac:dyDescent="0.25">
      <c r="B1029" s="29">
        <v>1021</v>
      </c>
      <c r="C1029" s="30">
        <v>0.74200581395348841</v>
      </c>
      <c r="D1029" s="41">
        <v>1.1160596462947236E-2</v>
      </c>
      <c r="E1029" s="41">
        <v>-1.0283704540743566E-2</v>
      </c>
      <c r="F1029" s="41">
        <v>-8.5795485012601924E-3</v>
      </c>
      <c r="G1029" s="41">
        <v>-6.8339151993594754E-3</v>
      </c>
      <c r="H1029" s="14">
        <v>5.0763162407820861E-3</v>
      </c>
      <c r="I1029" s="14">
        <v>7.0182251934864937E-3</v>
      </c>
      <c r="J1029" s="14">
        <v>3.8838230327591372E-3</v>
      </c>
      <c r="K1029" s="14">
        <v>3.6570797700353989E-3</v>
      </c>
    </row>
    <row r="1030" spans="2:11" x14ac:dyDescent="0.25">
      <c r="B1030" s="29">
        <v>1022</v>
      </c>
      <c r="C1030" s="30">
        <v>0.74273255813953487</v>
      </c>
      <c r="D1030" s="41">
        <v>1.6396824599067855E-2</v>
      </c>
      <c r="E1030" s="41">
        <v>-1.0741864220134012E-2</v>
      </c>
      <c r="F1030" s="41">
        <v>-6.4305235517925219E-4</v>
      </c>
      <c r="G1030" s="41">
        <v>-2.2311817255566079E-3</v>
      </c>
      <c r="H1030" s="14">
        <v>5.0795800880460984E-3</v>
      </c>
      <c r="I1030" s="14">
        <v>7.0299052491031855E-3</v>
      </c>
      <c r="J1030" s="14">
        <v>3.8919986550260965E-3</v>
      </c>
      <c r="K1030" s="14">
        <v>3.683991524237617E-3</v>
      </c>
    </row>
    <row r="1031" spans="2:11" x14ac:dyDescent="0.25">
      <c r="B1031" s="29">
        <v>1023</v>
      </c>
      <c r="C1031" s="30">
        <v>0.74345930232558144</v>
      </c>
      <c r="D1031" s="41">
        <v>-1.1417657874987009E-2</v>
      </c>
      <c r="E1031" s="41">
        <v>6.952174774122577E-3</v>
      </c>
      <c r="F1031" s="41">
        <v>-8.7118193891102536E-3</v>
      </c>
      <c r="G1031" s="41">
        <v>9.3901344402476145E-4</v>
      </c>
      <c r="H1031" s="14">
        <v>5.1135800721076041E-3</v>
      </c>
      <c r="I1031" s="14">
        <v>7.0487198876527657E-3</v>
      </c>
      <c r="J1031" s="14">
        <v>3.8930554760405744E-3</v>
      </c>
      <c r="K1031" s="14">
        <v>3.6877090077980677E-3</v>
      </c>
    </row>
    <row r="1032" spans="2:11" x14ac:dyDescent="0.25">
      <c r="B1032" s="29">
        <v>1024</v>
      </c>
      <c r="C1032" s="30">
        <v>0.7441860465116279</v>
      </c>
      <c r="D1032" s="41">
        <v>7.4941481981033236E-3</v>
      </c>
      <c r="E1032" s="41">
        <v>-1.4954526033083004E-2</v>
      </c>
      <c r="F1032" s="41">
        <v>-1.0612894667020312E-3</v>
      </c>
      <c r="G1032" s="41">
        <v>-6.240509732325328E-3</v>
      </c>
      <c r="H1032" s="14">
        <v>5.1467252869954461E-3</v>
      </c>
      <c r="I1032" s="14">
        <v>7.0598865211299877E-3</v>
      </c>
      <c r="J1032" s="14">
        <v>3.8948959423321661E-3</v>
      </c>
      <c r="K1032" s="14">
        <v>3.7068143842343029E-3</v>
      </c>
    </row>
    <row r="1033" spans="2:11" x14ac:dyDescent="0.25">
      <c r="B1033" s="29">
        <v>1025</v>
      </c>
      <c r="C1033" s="30">
        <v>0.74491279069767447</v>
      </c>
      <c r="D1033" s="41">
        <v>6.1943343311351949E-3</v>
      </c>
      <c r="E1033" s="41">
        <v>-1.9278170226244562E-3</v>
      </c>
      <c r="F1033" s="41">
        <v>3.2474446337309448E-3</v>
      </c>
      <c r="G1033" s="41">
        <v>-1.7539117858269559E-3</v>
      </c>
      <c r="H1033" s="14">
        <v>5.1627779876199931E-3</v>
      </c>
      <c r="I1033" s="14">
        <v>7.1036627988254608E-3</v>
      </c>
      <c r="J1033" s="14">
        <v>3.90255439924303E-3</v>
      </c>
      <c r="K1033" s="14">
        <v>3.7169847179021609E-3</v>
      </c>
    </row>
    <row r="1034" spans="2:11" x14ac:dyDescent="0.25">
      <c r="B1034" s="29">
        <v>1026</v>
      </c>
      <c r="C1034" s="30">
        <v>0.74563953488372092</v>
      </c>
      <c r="D1034" s="41">
        <v>-1.9623125351847813E-2</v>
      </c>
      <c r="E1034" s="41">
        <v>-2.0508823001890053E-2</v>
      </c>
      <c r="F1034" s="41">
        <v>1.305145076043579E-2</v>
      </c>
      <c r="G1034" s="41">
        <v>-3.4745808655182852E-3</v>
      </c>
      <c r="H1034" s="14">
        <v>5.1760196308370254E-3</v>
      </c>
      <c r="I1034" s="14">
        <v>7.1331394081524113E-3</v>
      </c>
      <c r="J1034" s="14">
        <v>3.903458134037141E-3</v>
      </c>
      <c r="K1034" s="14">
        <v>3.7199022973988696E-3</v>
      </c>
    </row>
    <row r="1035" spans="2:11" x14ac:dyDescent="0.25">
      <c r="B1035" s="29">
        <v>1027</v>
      </c>
      <c r="C1035" s="30">
        <v>0.74636627906976749</v>
      </c>
      <c r="D1035" s="41">
        <v>4.8641201455099405E-3</v>
      </c>
      <c r="E1035" s="41">
        <v>7.704822204536832E-3</v>
      </c>
      <c r="F1035" s="41">
        <v>5.3960716598311365E-4</v>
      </c>
      <c r="G1035" s="41">
        <v>3.4681987807811511E-3</v>
      </c>
      <c r="H1035" s="14">
        <v>5.1813151746147312E-3</v>
      </c>
      <c r="I1035" s="14">
        <v>7.1391198986616722E-3</v>
      </c>
      <c r="J1035" s="14">
        <v>3.906797805520057E-3</v>
      </c>
      <c r="K1035" s="14">
        <v>3.7209775755224538E-3</v>
      </c>
    </row>
    <row r="1036" spans="2:11" x14ac:dyDescent="0.25">
      <c r="B1036" s="29">
        <v>1028</v>
      </c>
      <c r="C1036" s="30">
        <v>0.74709302325581395</v>
      </c>
      <c r="D1036" s="41">
        <v>2.9310193501317465E-3</v>
      </c>
      <c r="E1036" s="41">
        <v>5.0809669911868749E-3</v>
      </c>
      <c r="F1036" s="41">
        <v>1.1344605909997529E-3</v>
      </c>
      <c r="G1036" s="41">
        <v>-9.9248438874588452E-4</v>
      </c>
      <c r="H1036" s="14">
        <v>5.1849094398941364E-3</v>
      </c>
      <c r="I1036" s="14">
        <v>7.154466825332273E-3</v>
      </c>
      <c r="J1036" s="14">
        <v>3.9146750928478191E-3</v>
      </c>
      <c r="K1036" s="14">
        <v>3.7253413296115308E-3</v>
      </c>
    </row>
    <row r="1037" spans="2:11" x14ac:dyDescent="0.25">
      <c r="B1037" s="29">
        <v>1029</v>
      </c>
      <c r="C1037" s="30">
        <v>0.74781976744186052</v>
      </c>
      <c r="D1037" s="41">
        <v>-3.7540614729204445E-3</v>
      </c>
      <c r="E1037" s="41">
        <v>4.1721716153264587E-4</v>
      </c>
      <c r="F1037" s="41">
        <v>1.2802976418449408E-2</v>
      </c>
      <c r="G1037" s="41">
        <v>1.8661470789454349E-3</v>
      </c>
      <c r="H1037" s="14">
        <v>5.219840027853806E-3</v>
      </c>
      <c r="I1037" s="14">
        <v>7.1643636754663564E-3</v>
      </c>
      <c r="J1037" s="14">
        <v>3.9535220095463508E-3</v>
      </c>
      <c r="K1037" s="14">
        <v>3.7398499845857631E-3</v>
      </c>
    </row>
    <row r="1038" spans="2:11" x14ac:dyDescent="0.25">
      <c r="B1038" s="29">
        <v>1030</v>
      </c>
      <c r="C1038" s="30">
        <v>0.74854651162790697</v>
      </c>
      <c r="D1038" s="41">
        <v>-2.0324417932123004E-3</v>
      </c>
      <c r="E1038" s="41">
        <v>9.6336970876484962E-3</v>
      </c>
      <c r="F1038" s="41">
        <v>1.0504782440426741E-2</v>
      </c>
      <c r="G1038" s="41">
        <v>4.5291618111503512E-3</v>
      </c>
      <c r="H1038" s="14">
        <v>5.2329507089803329E-3</v>
      </c>
      <c r="I1038" s="14">
        <v>7.1743974403970512E-3</v>
      </c>
      <c r="J1038" s="14">
        <v>3.9657267931303419E-3</v>
      </c>
      <c r="K1038" s="14">
        <v>3.7567665653340135E-3</v>
      </c>
    </row>
    <row r="1039" spans="2:11" x14ac:dyDescent="0.25">
      <c r="B1039" s="29">
        <v>1031</v>
      </c>
      <c r="C1039" s="30">
        <v>0.74927325581395354</v>
      </c>
      <c r="D1039" s="41">
        <v>3.9966797264272503E-3</v>
      </c>
      <c r="E1039" s="41">
        <v>7.1391198986616722E-3</v>
      </c>
      <c r="F1039" s="41">
        <v>-4.6775258639665251E-3</v>
      </c>
      <c r="G1039" s="41">
        <v>-1.5046872309564694E-3</v>
      </c>
      <c r="H1039" s="14">
        <v>5.2409849041148426E-3</v>
      </c>
      <c r="I1039" s="14">
        <v>7.18044288533215E-3</v>
      </c>
      <c r="J1039" s="14">
        <v>3.9688756593034835E-3</v>
      </c>
      <c r="K1039" s="14">
        <v>3.7580571428462496E-3</v>
      </c>
    </row>
    <row r="1040" spans="2:11" x14ac:dyDescent="0.25">
      <c r="B1040" s="29">
        <v>1032</v>
      </c>
      <c r="C1040" s="30">
        <v>0.75</v>
      </c>
      <c r="D1040" s="41">
        <v>-3.8807309484141582E-4</v>
      </c>
      <c r="E1040" s="41">
        <v>1.1203543573513386E-2</v>
      </c>
      <c r="F1040" s="41">
        <v>2.7522430781101725E-4</v>
      </c>
      <c r="G1040" s="41">
        <v>8.4040433594630773E-3</v>
      </c>
      <c r="H1040" s="14">
        <v>5.2594670406731492E-3</v>
      </c>
      <c r="I1040" s="14">
        <v>7.1844608075584127E-3</v>
      </c>
      <c r="J1040" s="14">
        <v>3.9749078841122554E-3</v>
      </c>
      <c r="K1040" s="14">
        <v>3.7717923559145382E-3</v>
      </c>
    </row>
    <row r="1041" spans="2:11" x14ac:dyDescent="0.25">
      <c r="B1041" s="29">
        <v>1033</v>
      </c>
      <c r="C1041" s="30">
        <v>0.75072674418604646</v>
      </c>
      <c r="D1041" s="41">
        <v>1.9182506488038764E-2</v>
      </c>
      <c r="E1041" s="41">
        <v>2.3524321985777252E-3</v>
      </c>
      <c r="F1041" s="41">
        <v>9.5582106140592593E-3</v>
      </c>
      <c r="G1041" s="41">
        <v>1.4238792009759718E-4</v>
      </c>
      <c r="H1041" s="14">
        <v>5.2664307708962799E-3</v>
      </c>
      <c r="I1041" s="14">
        <v>7.2336210152723623E-3</v>
      </c>
      <c r="J1041" s="14">
        <v>3.9796874952020556E-3</v>
      </c>
      <c r="K1041" s="14">
        <v>3.7829319635696466E-3</v>
      </c>
    </row>
    <row r="1042" spans="2:11" x14ac:dyDescent="0.25">
      <c r="B1042" s="29">
        <v>1034</v>
      </c>
      <c r="C1042" s="30">
        <v>0.75145348837209303</v>
      </c>
      <c r="D1042" s="41">
        <v>6.1704944998830806E-3</v>
      </c>
      <c r="E1042" s="41">
        <v>-6.6967898570272633E-3</v>
      </c>
      <c r="F1042" s="41">
        <v>2.3394418760096514E-3</v>
      </c>
      <c r="G1042" s="41">
        <v>-2.5012601771122081E-3</v>
      </c>
      <c r="H1042" s="14">
        <v>5.2844570774637223E-3</v>
      </c>
      <c r="I1042" s="14">
        <v>7.3089841357021346E-3</v>
      </c>
      <c r="J1042" s="14">
        <v>4.0001601042751744E-3</v>
      </c>
      <c r="K1042" s="14">
        <v>3.7948128400035145E-3</v>
      </c>
    </row>
    <row r="1043" spans="2:11" x14ac:dyDescent="0.25">
      <c r="B1043" s="29">
        <v>1035</v>
      </c>
      <c r="C1043" s="30">
        <v>0.75218023255813948</v>
      </c>
      <c r="D1043" s="41">
        <v>-5.468565151781778E-3</v>
      </c>
      <c r="E1043" s="41">
        <v>-8.568305417314459E-3</v>
      </c>
      <c r="F1043" s="41">
        <v>-1.2323265665401317E-2</v>
      </c>
      <c r="G1043" s="41">
        <v>-1.6118575952264447E-2</v>
      </c>
      <c r="H1043" s="14">
        <v>5.2926396141195209E-3</v>
      </c>
      <c r="I1043" s="14">
        <v>7.4296141814389483E-3</v>
      </c>
      <c r="J1043" s="14">
        <v>4.0085351794627577E-3</v>
      </c>
      <c r="K1043" s="14">
        <v>3.8215567524364502E-3</v>
      </c>
    </row>
    <row r="1044" spans="2:11" x14ac:dyDescent="0.25">
      <c r="B1044" s="29">
        <v>1036</v>
      </c>
      <c r="C1044" s="30">
        <v>0.75290697674418605</v>
      </c>
      <c r="D1044" s="41">
        <v>-7.3825082030656115E-3</v>
      </c>
      <c r="E1044" s="41">
        <v>7.9369970895393216E-3</v>
      </c>
      <c r="F1044" s="41">
        <v>4.4761273209550367E-3</v>
      </c>
      <c r="G1044" s="41">
        <v>5.7347834301701541E-3</v>
      </c>
      <c r="H1044" s="14">
        <v>5.2966454578764477E-3</v>
      </c>
      <c r="I1044" s="14">
        <v>7.4515081700463615E-3</v>
      </c>
      <c r="J1044" s="14">
        <v>4.0166617078252198E-3</v>
      </c>
      <c r="K1044" s="14">
        <v>3.8368250081151078E-3</v>
      </c>
    </row>
    <row r="1045" spans="2:11" x14ac:dyDescent="0.25">
      <c r="B1045" s="29">
        <v>1037</v>
      </c>
      <c r="C1045" s="30">
        <v>0.75363372093023251</v>
      </c>
      <c r="D1045" s="41">
        <v>-1.084038646742371E-2</v>
      </c>
      <c r="E1045" s="41">
        <v>1.3398195456027828E-2</v>
      </c>
      <c r="F1045" s="41">
        <v>8.2960013273591926E-4</v>
      </c>
      <c r="G1045" s="41">
        <v>4.3025269831785899E-3</v>
      </c>
      <c r="H1045" s="14">
        <v>5.3083830070392857E-3</v>
      </c>
      <c r="I1045" s="14">
        <v>7.4633852738581474E-3</v>
      </c>
      <c r="J1045" s="14">
        <v>4.0321612688012376E-3</v>
      </c>
      <c r="K1045" s="14">
        <v>3.8530101494733239E-3</v>
      </c>
    </row>
    <row r="1046" spans="2:11" x14ac:dyDescent="0.25">
      <c r="B1046" s="29">
        <v>1038</v>
      </c>
      <c r="C1046" s="30">
        <v>0.75436046511627908</v>
      </c>
      <c r="D1046" s="41">
        <v>1.8556260749028032E-2</v>
      </c>
      <c r="E1046" s="41">
        <v>-4.7802300946658827E-3</v>
      </c>
      <c r="F1046" s="41">
        <v>-1.0019710906701729E-2</v>
      </c>
      <c r="G1046" s="41">
        <v>-1.8997165972143735E-3</v>
      </c>
      <c r="H1046" s="14">
        <v>5.3230871560323578E-3</v>
      </c>
      <c r="I1046" s="14">
        <v>7.4985140139911532E-3</v>
      </c>
      <c r="J1046" s="14">
        <v>4.0327729923756994E-3</v>
      </c>
      <c r="K1046" s="14">
        <v>3.8611859507753812E-3</v>
      </c>
    </row>
    <row r="1047" spans="2:11" x14ac:dyDescent="0.25">
      <c r="B1047" s="29">
        <v>1039</v>
      </c>
      <c r="C1047" s="30">
        <v>0.75508720930232553</v>
      </c>
      <c r="D1047" s="41">
        <v>6.1152744843389504E-3</v>
      </c>
      <c r="E1047" s="41">
        <v>-3.0853593635268295E-3</v>
      </c>
      <c r="F1047" s="41">
        <v>1.6452780519908838E-3</v>
      </c>
      <c r="G1047" s="41">
        <v>1.5423437850150992E-3</v>
      </c>
      <c r="H1047" s="14">
        <v>5.329989026493287E-3</v>
      </c>
      <c r="I1047" s="14">
        <v>7.5167681751600046E-3</v>
      </c>
      <c r="J1047" s="14">
        <v>4.0673693858845894E-3</v>
      </c>
      <c r="K1047" s="14">
        <v>3.863418606781677E-3</v>
      </c>
    </row>
    <row r="1048" spans="2:11" x14ac:dyDescent="0.25">
      <c r="B1048" s="29">
        <v>1040</v>
      </c>
      <c r="C1048" s="30">
        <v>0.7558139534883721</v>
      </c>
      <c r="D1048" s="41">
        <v>2.8674055846949233E-2</v>
      </c>
      <c r="E1048" s="41">
        <v>1.0960570328073738E-2</v>
      </c>
      <c r="F1048" s="41">
        <v>-3.1707850426415662E-3</v>
      </c>
      <c r="G1048" s="41">
        <v>1.8862595595319446E-3</v>
      </c>
      <c r="H1048" s="14">
        <v>5.3857263187662152E-3</v>
      </c>
      <c r="I1048" s="14">
        <v>7.5753402016418558E-3</v>
      </c>
      <c r="J1048" s="14">
        <v>4.0946825218757255E-3</v>
      </c>
      <c r="K1048" s="14">
        <v>3.8748033936526934E-3</v>
      </c>
    </row>
    <row r="1049" spans="2:11" x14ac:dyDescent="0.25">
      <c r="B1049" s="29">
        <v>1041</v>
      </c>
      <c r="C1049" s="30">
        <v>0.75654069767441856</v>
      </c>
      <c r="D1049" s="41">
        <v>-1.3430545512405656E-3</v>
      </c>
      <c r="E1049" s="41">
        <v>-2.9076179590526996E-3</v>
      </c>
      <c r="F1049" s="41">
        <v>6.3820422535210142E-3</v>
      </c>
      <c r="G1049" s="41">
        <v>-2.1860036538331245E-3</v>
      </c>
      <c r="H1049" s="14">
        <v>5.441825023559721E-3</v>
      </c>
      <c r="I1049" s="14">
        <v>7.5825527311059737E-3</v>
      </c>
      <c r="J1049" s="14">
        <v>4.1026173660159149E-3</v>
      </c>
      <c r="K1049" s="14">
        <v>3.8792752553107775E-3</v>
      </c>
    </row>
    <row r="1050" spans="2:11" x14ac:dyDescent="0.25">
      <c r="B1050" s="29">
        <v>1042</v>
      </c>
      <c r="C1050" s="30">
        <v>0.75726744186046513</v>
      </c>
      <c r="D1050" s="41">
        <v>-1.180157189402983E-2</v>
      </c>
      <c r="E1050" s="41">
        <v>5.2020486418362655E-3</v>
      </c>
      <c r="F1050" s="41">
        <v>5.5878284923926991E-3</v>
      </c>
      <c r="G1050" s="41">
        <v>3.8215567524364502E-3</v>
      </c>
      <c r="H1050" s="14">
        <v>5.461813257167325E-3</v>
      </c>
      <c r="I1050" s="14">
        <v>7.631549671821336E-3</v>
      </c>
      <c r="J1050" s="14">
        <v>4.1103934233703843E-3</v>
      </c>
      <c r="K1050" s="14">
        <v>3.8860065399975779E-3</v>
      </c>
    </row>
    <row r="1051" spans="2:11" x14ac:dyDescent="0.25">
      <c r="B1051" s="29">
        <v>1043</v>
      </c>
      <c r="C1051" s="30">
        <v>0.75799418604651159</v>
      </c>
      <c r="D1051" s="41">
        <v>-1.0569913943815366E-2</v>
      </c>
      <c r="E1051" s="41">
        <v>-9.003121081974097E-4</v>
      </c>
      <c r="F1051" s="41">
        <v>6.2350386906420141E-3</v>
      </c>
      <c r="G1051" s="41">
        <v>4.0294781128422672E-4</v>
      </c>
      <c r="H1051" s="14">
        <v>5.4854360838321181E-3</v>
      </c>
      <c r="I1051" s="14">
        <v>7.704822204536832E-3</v>
      </c>
      <c r="J1051" s="14">
        <v>4.1337129100946779E-3</v>
      </c>
      <c r="K1051" s="14">
        <v>3.8922210854157148E-3</v>
      </c>
    </row>
    <row r="1052" spans="2:11" x14ac:dyDescent="0.25">
      <c r="B1052" s="29">
        <v>1044</v>
      </c>
      <c r="C1052" s="30">
        <v>0.75872093023255816</v>
      </c>
      <c r="D1052" s="41">
        <v>-1.8044696025334435E-2</v>
      </c>
      <c r="E1052" s="41">
        <v>5.2331907110865217E-3</v>
      </c>
      <c r="F1052" s="41">
        <v>4.7544468061304634E-3</v>
      </c>
      <c r="G1052" s="41">
        <v>-5.5513525935588746E-4</v>
      </c>
      <c r="H1052" s="14">
        <v>5.490368994111039E-3</v>
      </c>
      <c r="I1052" s="14">
        <v>7.7302567688304347E-3</v>
      </c>
      <c r="J1052" s="14">
        <v>4.1504823761167042E-3</v>
      </c>
      <c r="K1052" s="14">
        <v>3.8956614171635987E-3</v>
      </c>
    </row>
    <row r="1053" spans="2:11" x14ac:dyDescent="0.25">
      <c r="B1053" s="29">
        <v>1045</v>
      </c>
      <c r="C1053" s="30">
        <v>0.75944767441860461</v>
      </c>
      <c r="D1053" s="41">
        <v>1.4704849864871639E-3</v>
      </c>
      <c r="E1053" s="41">
        <v>1.5538158130639079E-3</v>
      </c>
      <c r="F1053" s="41">
        <v>-9.8033785654942918E-3</v>
      </c>
      <c r="G1053" s="41">
        <v>-1.7791780246575683E-3</v>
      </c>
      <c r="H1053" s="14">
        <v>5.4968219003213026E-3</v>
      </c>
      <c r="I1053" s="14">
        <v>7.7507403115746332E-3</v>
      </c>
      <c r="J1053" s="14">
        <v>4.1631023666950373E-3</v>
      </c>
      <c r="K1053" s="14">
        <v>3.8960235690292948E-3</v>
      </c>
    </row>
    <row r="1054" spans="2:11" x14ac:dyDescent="0.25">
      <c r="B1054" s="29">
        <v>1046</v>
      </c>
      <c r="C1054" s="30">
        <v>0.76017441860465118</v>
      </c>
      <c r="D1054" s="41">
        <v>-6.2971171996190145E-3</v>
      </c>
      <c r="E1054" s="41">
        <v>-1.2331682479065353E-3</v>
      </c>
      <c r="F1054" s="41">
        <v>-2.3759531439937476E-3</v>
      </c>
      <c r="G1054" s="41">
        <v>-1.0141600928150753E-4</v>
      </c>
      <c r="H1054" s="14">
        <v>5.5062414379150049E-3</v>
      </c>
      <c r="I1054" s="14">
        <v>7.7939247902252262E-3</v>
      </c>
      <c r="J1054" s="14">
        <v>4.1686968761842635E-3</v>
      </c>
      <c r="K1054" s="14">
        <v>3.8967090595006804E-3</v>
      </c>
    </row>
    <row r="1055" spans="2:11" x14ac:dyDescent="0.25">
      <c r="B1055" s="29">
        <v>1047</v>
      </c>
      <c r="C1055" s="30">
        <v>0.76090116279069764</v>
      </c>
      <c r="D1055" s="41">
        <v>3.792884977477198E-3</v>
      </c>
      <c r="E1055" s="41">
        <v>1.4271963888612405E-3</v>
      </c>
      <c r="F1055" s="41">
        <v>6.3389679715302183E-3</v>
      </c>
      <c r="G1055" s="41">
        <v>4.5946463343961687E-3</v>
      </c>
      <c r="H1055" s="14">
        <v>5.5160176666859684E-3</v>
      </c>
      <c r="I1055" s="14">
        <v>7.8110946602276687E-3</v>
      </c>
      <c r="J1055" s="14">
        <v>4.1747685939486079E-3</v>
      </c>
      <c r="K1055" s="14">
        <v>3.9124425245721023E-3</v>
      </c>
    </row>
    <row r="1056" spans="2:11" x14ac:dyDescent="0.25">
      <c r="B1056" s="29">
        <v>1048</v>
      </c>
      <c r="C1056" s="30">
        <v>0.76162790697674421</v>
      </c>
      <c r="D1056" s="41">
        <v>2.4689786380717024E-3</v>
      </c>
      <c r="E1056" s="41">
        <v>8.2195412965657688E-4</v>
      </c>
      <c r="F1056" s="41">
        <v>3.1795615551961642E-3</v>
      </c>
      <c r="G1056" s="41">
        <v>3.8611859507753812E-3</v>
      </c>
      <c r="H1056" s="14">
        <v>5.5402201453245148E-3</v>
      </c>
      <c r="I1056" s="14">
        <v>7.8140295026429829E-3</v>
      </c>
      <c r="J1056" s="14">
        <v>4.1931137996957801E-3</v>
      </c>
      <c r="K1056" s="14">
        <v>3.9179062504274935E-3</v>
      </c>
    </row>
    <row r="1057" spans="2:11" x14ac:dyDescent="0.25">
      <c r="B1057" s="29">
        <v>1049</v>
      </c>
      <c r="C1057" s="30">
        <v>0.76235465116279066</v>
      </c>
      <c r="D1057" s="41">
        <v>9.1382007583004528E-3</v>
      </c>
      <c r="E1057" s="41">
        <v>-5.6562284745402813E-3</v>
      </c>
      <c r="F1057" s="41">
        <v>3.3019923886277169E-3</v>
      </c>
      <c r="G1057" s="41">
        <v>-2.89545582766082E-3</v>
      </c>
      <c r="H1057" s="14">
        <v>5.5565303854476777E-3</v>
      </c>
      <c r="I1057" s="14">
        <v>7.9369970895393216E-3</v>
      </c>
      <c r="J1057" s="14">
        <v>4.2023022122485987E-3</v>
      </c>
      <c r="K1057" s="14">
        <v>3.9597467574262529E-3</v>
      </c>
    </row>
    <row r="1058" spans="2:11" x14ac:dyDescent="0.25">
      <c r="B1058" s="29">
        <v>1050</v>
      </c>
      <c r="C1058" s="30">
        <v>0.76308139534883723</v>
      </c>
      <c r="D1058" s="41">
        <v>1.0488094888105592E-2</v>
      </c>
      <c r="E1058" s="41">
        <v>1.0910544195031013E-2</v>
      </c>
      <c r="F1058" s="41">
        <v>4.892863168550754E-3</v>
      </c>
      <c r="G1058" s="41">
        <v>7.3231666837858533E-4</v>
      </c>
      <c r="H1058" s="14">
        <v>5.5761863989718385E-3</v>
      </c>
      <c r="I1058" s="14">
        <v>7.937577070143087E-3</v>
      </c>
      <c r="J1058" s="14">
        <v>4.2034442072855782E-3</v>
      </c>
      <c r="K1058" s="14">
        <v>3.9631096205727358E-3</v>
      </c>
    </row>
    <row r="1059" spans="2:11" x14ac:dyDescent="0.25">
      <c r="B1059" s="29">
        <v>1051</v>
      </c>
      <c r="C1059" s="30">
        <v>0.76380813953488369</v>
      </c>
      <c r="D1059" s="41">
        <v>-3.1234498503974386E-3</v>
      </c>
      <c r="E1059" s="41">
        <v>2.036002319329544E-3</v>
      </c>
      <c r="F1059" s="41">
        <v>-1.2111783987999392E-2</v>
      </c>
      <c r="G1059" s="41">
        <v>-4.6592589578286613E-3</v>
      </c>
      <c r="H1059" s="14">
        <v>5.5762081784387352E-3</v>
      </c>
      <c r="I1059" s="14">
        <v>7.9873850030507398E-3</v>
      </c>
      <c r="J1059" s="14">
        <v>4.2069410120786355E-3</v>
      </c>
      <c r="K1059" s="14">
        <v>3.9655374368204217E-3</v>
      </c>
    </row>
    <row r="1060" spans="2:11" x14ac:dyDescent="0.25">
      <c r="B1060" s="29">
        <v>1052</v>
      </c>
      <c r="C1060" s="30">
        <v>0.76453488372093026</v>
      </c>
      <c r="D1060" s="41">
        <v>3.7797458693478109E-3</v>
      </c>
      <c r="E1060" s="41">
        <v>0</v>
      </c>
      <c r="F1060" s="41">
        <v>2.7787040124493956E-4</v>
      </c>
      <c r="G1060" s="41">
        <v>5.5574080248987916E-5</v>
      </c>
      <c r="H1060" s="14">
        <v>5.5875102711584468E-3</v>
      </c>
      <c r="I1060" s="14">
        <v>8.0005981755644218E-3</v>
      </c>
      <c r="J1060" s="14">
        <v>4.2642742426757252E-3</v>
      </c>
      <c r="K1060" s="14">
        <v>3.9702503480566701E-3</v>
      </c>
    </row>
    <row r="1061" spans="2:11" x14ac:dyDescent="0.25">
      <c r="B1061" s="29">
        <v>1053</v>
      </c>
      <c r="C1061" s="30">
        <v>0.76526162790697672</v>
      </c>
      <c r="D1061" s="41">
        <v>1.3379670373478619E-2</v>
      </c>
      <c r="E1061" s="41">
        <v>-9.0020187142040298E-3</v>
      </c>
      <c r="F1061" s="41">
        <v>1.5290864977712593E-2</v>
      </c>
      <c r="G1061" s="41">
        <v>-2.5415603807221743E-4</v>
      </c>
      <c r="H1061" s="14">
        <v>5.6071698927324665E-3</v>
      </c>
      <c r="I1061" s="14">
        <v>8.0016446067965319E-3</v>
      </c>
      <c r="J1061" s="14">
        <v>4.2903880690448037E-3</v>
      </c>
      <c r="K1061" s="14">
        <v>3.9720410105100312E-3</v>
      </c>
    </row>
    <row r="1062" spans="2:11" x14ac:dyDescent="0.25">
      <c r="B1062" s="29">
        <v>1054</v>
      </c>
      <c r="C1062" s="30">
        <v>0.76598837209302328</v>
      </c>
      <c r="D1062" s="41">
        <v>1.4203537148015602E-2</v>
      </c>
      <c r="E1062" s="41">
        <v>-9.8402208243755229E-3</v>
      </c>
      <c r="F1062" s="41">
        <v>9.1675207835097972E-3</v>
      </c>
      <c r="G1062" s="41">
        <v>7.4496640612942123E-4</v>
      </c>
      <c r="H1062" s="14">
        <v>5.6202572738708323E-3</v>
      </c>
      <c r="I1062" s="14">
        <v>8.0269485073132252E-3</v>
      </c>
      <c r="J1062" s="14">
        <v>4.3105686834588042E-3</v>
      </c>
      <c r="K1062" s="14">
        <v>3.9943393162270805E-3</v>
      </c>
    </row>
    <row r="1063" spans="2:11" x14ac:dyDescent="0.25">
      <c r="B1063" s="29">
        <v>1055</v>
      </c>
      <c r="C1063" s="30">
        <v>0.76671511627906974</v>
      </c>
      <c r="D1063" s="41">
        <v>-5.8006220987637559E-3</v>
      </c>
      <c r="E1063" s="41">
        <v>6.8755235382811364E-3</v>
      </c>
      <c r="F1063" s="41">
        <v>8.1515499425945936E-3</v>
      </c>
      <c r="G1063" s="41">
        <v>6.0560290380118342E-3</v>
      </c>
      <c r="H1063" s="14">
        <v>5.6652291300085533E-3</v>
      </c>
      <c r="I1063" s="14">
        <v>8.0358892833032325E-3</v>
      </c>
      <c r="J1063" s="14">
        <v>4.3133063317237763E-3</v>
      </c>
      <c r="K1063" s="14">
        <v>4.0046539816598788E-3</v>
      </c>
    </row>
    <row r="1064" spans="2:11" x14ac:dyDescent="0.25">
      <c r="B1064" s="29">
        <v>1056</v>
      </c>
      <c r="C1064" s="30">
        <v>0.76744186046511631</v>
      </c>
      <c r="D1064" s="41">
        <v>5.2588480609975395E-3</v>
      </c>
      <c r="E1064" s="41">
        <v>-5.3310793272590695E-3</v>
      </c>
      <c r="F1064" s="41">
        <v>5.3093259464451759E-3</v>
      </c>
      <c r="G1064" s="41">
        <v>-2.2385309465089431E-3</v>
      </c>
      <c r="H1064" s="14">
        <v>5.6819411512958329E-3</v>
      </c>
      <c r="I1064" s="14">
        <v>8.051161225176795E-3</v>
      </c>
      <c r="J1064" s="14">
        <v>4.3247493611164867E-3</v>
      </c>
      <c r="K1064" s="14">
        <v>4.0050073105970087E-3</v>
      </c>
    </row>
    <row r="1065" spans="2:11" x14ac:dyDescent="0.25">
      <c r="B1065" s="29">
        <v>1057</v>
      </c>
      <c r="C1065" s="30">
        <v>0.76816860465116277</v>
      </c>
      <c r="D1065" s="41">
        <v>-1.1499107164667994E-2</v>
      </c>
      <c r="E1065" s="41">
        <v>-3.5061893609903416E-3</v>
      </c>
      <c r="F1065" s="41">
        <v>5.3376653515895267E-3</v>
      </c>
      <c r="G1065" s="41">
        <v>2.4331510367013648E-3</v>
      </c>
      <c r="H1065" s="14">
        <v>5.694883643753812E-3</v>
      </c>
      <c r="I1065" s="14">
        <v>8.0707236215371569E-3</v>
      </c>
      <c r="J1065" s="14">
        <v>4.328438558781178E-3</v>
      </c>
      <c r="K1065" s="14">
        <v>4.0161370651740531E-3</v>
      </c>
    </row>
    <row r="1066" spans="2:11" x14ac:dyDescent="0.25">
      <c r="B1066" s="29">
        <v>1058</v>
      </c>
      <c r="C1066" s="30">
        <v>0.76889534883720934</v>
      </c>
      <c r="D1066" s="41">
        <v>6.7764975906514239E-3</v>
      </c>
      <c r="E1066" s="41">
        <v>-4.8816190591299824E-3</v>
      </c>
      <c r="F1066" s="41">
        <v>1.2780295108631989E-3</v>
      </c>
      <c r="G1066" s="41">
        <v>-1.5516249466157371E-3</v>
      </c>
      <c r="H1066" s="14">
        <v>5.7358243198948333E-3</v>
      </c>
      <c r="I1066" s="14">
        <v>8.0732499753863873E-3</v>
      </c>
      <c r="J1066" s="14">
        <v>4.346614655893033E-3</v>
      </c>
      <c r="K1066" s="14">
        <v>4.0196675466804615E-3</v>
      </c>
    </row>
    <row r="1067" spans="2:11" x14ac:dyDescent="0.25">
      <c r="B1067" s="29">
        <v>1059</v>
      </c>
      <c r="C1067" s="30">
        <v>0.76962209302325579</v>
      </c>
      <c r="D1067" s="41">
        <v>2.461534879010726E-2</v>
      </c>
      <c r="E1067" s="41">
        <v>1.9703236863946039E-3</v>
      </c>
      <c r="F1067" s="41">
        <v>-4.4531837372043803E-3</v>
      </c>
      <c r="G1067" s="41">
        <v>-3.4320334556954268E-3</v>
      </c>
      <c r="H1067" s="14">
        <v>5.7560833696985725E-3</v>
      </c>
      <c r="I1067" s="14">
        <v>8.0989039292562737E-3</v>
      </c>
      <c r="J1067" s="14">
        <v>4.3473264023443647E-3</v>
      </c>
      <c r="K1067" s="14">
        <v>4.019682300751227E-3</v>
      </c>
    </row>
    <row r="1068" spans="2:11" x14ac:dyDescent="0.25">
      <c r="B1068" s="29">
        <v>1060</v>
      </c>
      <c r="C1068" s="30">
        <v>0.77034883720930236</v>
      </c>
      <c r="D1068" s="41">
        <v>8.5012508319040631E-3</v>
      </c>
      <c r="E1068" s="41">
        <v>-2.7207036116668748E-3</v>
      </c>
      <c r="F1068" s="41">
        <v>3.6568377060599566E-3</v>
      </c>
      <c r="G1068" s="41">
        <v>4.0196675466804615E-3</v>
      </c>
      <c r="H1068" s="14">
        <v>5.7655242140430829E-3</v>
      </c>
      <c r="I1068" s="14">
        <v>8.114938498845925E-3</v>
      </c>
      <c r="J1068" s="14">
        <v>4.3523899556379142E-3</v>
      </c>
      <c r="K1068" s="14">
        <v>4.0253523418712243E-3</v>
      </c>
    </row>
    <row r="1069" spans="2:11" x14ac:dyDescent="0.25">
      <c r="B1069" s="29">
        <v>1061</v>
      </c>
      <c r="C1069" s="30">
        <v>0.77107558139534882</v>
      </c>
      <c r="D1069" s="41">
        <v>-7.3249938562517589E-3</v>
      </c>
      <c r="E1069" s="41">
        <v>-1.0169697542660727E-2</v>
      </c>
      <c r="F1069" s="41">
        <v>-1.9118243438964733E-3</v>
      </c>
      <c r="G1069" s="41">
        <v>-1.4052946349976999E-3</v>
      </c>
      <c r="H1069" s="14">
        <v>5.7715834135030342E-3</v>
      </c>
      <c r="I1069" s="14">
        <v>8.1174729491415576E-3</v>
      </c>
      <c r="J1069" s="14">
        <v>4.3529032160192216E-3</v>
      </c>
      <c r="K1069" s="14">
        <v>4.0322235397820096E-3</v>
      </c>
    </row>
    <row r="1070" spans="2:11" x14ac:dyDescent="0.25">
      <c r="B1070" s="29">
        <v>1062</v>
      </c>
      <c r="C1070" s="30">
        <v>0.77180232558139539</v>
      </c>
      <c r="D1070" s="41">
        <v>-4.3574636980679964E-3</v>
      </c>
      <c r="E1070" s="41">
        <v>-1.453121482320352E-2</v>
      </c>
      <c r="F1070" s="41">
        <v>1.0124063670411854E-2</v>
      </c>
      <c r="G1070" s="41">
        <v>-1.4715338842162138E-3</v>
      </c>
      <c r="H1070" s="14">
        <v>5.7831361517208801E-3</v>
      </c>
      <c r="I1070" s="14">
        <v>8.1241340137869766E-3</v>
      </c>
      <c r="J1070" s="14">
        <v>4.3714950110058659E-3</v>
      </c>
      <c r="K1070" s="14">
        <v>4.0368002267052285E-3</v>
      </c>
    </row>
    <row r="1071" spans="2:11" x14ac:dyDescent="0.25">
      <c r="B1071" s="29">
        <v>1063</v>
      </c>
      <c r="C1071" s="30">
        <v>0.77252906976744184</v>
      </c>
      <c r="D1071" s="41">
        <v>-1.2426941494933104E-2</v>
      </c>
      <c r="E1071" s="41">
        <v>1.0654131850939219E-2</v>
      </c>
      <c r="F1071" s="41">
        <v>9.3720712277423068E-4</v>
      </c>
      <c r="G1071" s="41">
        <v>3.5838389316692702E-3</v>
      </c>
      <c r="H1071" s="14">
        <v>5.790348277457058E-3</v>
      </c>
      <c r="I1071" s="14">
        <v>8.1244584961011057E-3</v>
      </c>
      <c r="J1071" s="14">
        <v>4.378273384848308E-3</v>
      </c>
      <c r="K1071" s="14">
        <v>4.0471003161140825E-3</v>
      </c>
    </row>
    <row r="1072" spans="2:11" x14ac:dyDescent="0.25">
      <c r="B1072" s="29">
        <v>1064</v>
      </c>
      <c r="C1072" s="30">
        <v>0.77325581395348841</v>
      </c>
      <c r="D1072" s="41">
        <v>-1.5315353127895968E-3</v>
      </c>
      <c r="E1072" s="41">
        <v>-5.8634153024180735E-3</v>
      </c>
      <c r="F1072" s="41">
        <v>7.1976401179942862E-3</v>
      </c>
      <c r="G1072" s="41">
        <v>2.2759180135152324E-3</v>
      </c>
      <c r="H1072" s="14">
        <v>5.8014537760637808E-3</v>
      </c>
      <c r="I1072" s="14">
        <v>8.1303009021662653E-3</v>
      </c>
      <c r="J1072" s="14">
        <v>4.3848721909411914E-3</v>
      </c>
      <c r="K1072" s="14">
        <v>4.0482826097117735E-3</v>
      </c>
    </row>
    <row r="1073" spans="2:11" x14ac:dyDescent="0.25">
      <c r="B1073" s="29">
        <v>1065</v>
      </c>
      <c r="C1073" s="30">
        <v>0.77398255813953487</v>
      </c>
      <c r="D1073" s="41">
        <v>-1.6073195239746405E-2</v>
      </c>
      <c r="E1073" s="41">
        <v>-1.577852191767537E-3</v>
      </c>
      <c r="F1073" s="41">
        <v>-6.3313401336615449E-3</v>
      </c>
      <c r="G1073" s="41">
        <v>-6.3004571676222648E-3</v>
      </c>
      <c r="H1073" s="14">
        <v>5.8258944653579725E-3</v>
      </c>
      <c r="I1073" s="14">
        <v>8.1733819211875502E-3</v>
      </c>
      <c r="J1073" s="14">
        <v>4.3977293228822933E-3</v>
      </c>
      <c r="K1073" s="14">
        <v>4.0497100601181828E-3</v>
      </c>
    </row>
    <row r="1074" spans="2:11" x14ac:dyDescent="0.25">
      <c r="B1074" s="29">
        <v>1066</v>
      </c>
      <c r="C1074" s="30">
        <v>0.77470930232558144</v>
      </c>
      <c r="D1074" s="41">
        <v>1.2472320685152477E-2</v>
      </c>
      <c r="E1074" s="41">
        <v>-2.2773541285669996E-4</v>
      </c>
      <c r="F1074" s="41">
        <v>-3.2664171486900373E-2</v>
      </c>
      <c r="G1074" s="41">
        <v>-6.0828325721118187E-3</v>
      </c>
      <c r="H1074" s="14">
        <v>5.8308783075688986E-3</v>
      </c>
      <c r="I1074" s="14">
        <v>8.1821239883650421E-3</v>
      </c>
      <c r="J1074" s="14">
        <v>4.4174814465780532E-3</v>
      </c>
      <c r="K1074" s="14">
        <v>4.0660903908320105E-3</v>
      </c>
    </row>
    <row r="1075" spans="2:11" x14ac:dyDescent="0.25">
      <c r="B1075" s="29">
        <v>1067</v>
      </c>
      <c r="C1075" s="30">
        <v>0.7754360465116279</v>
      </c>
      <c r="D1075" s="41">
        <v>-1.8297498275420133E-3</v>
      </c>
      <c r="E1075" s="41">
        <v>-6.6886630956982662E-3</v>
      </c>
      <c r="F1075" s="41">
        <v>9.6764958488406716E-3</v>
      </c>
      <c r="G1075" s="41">
        <v>-7.4016606851117221E-4</v>
      </c>
      <c r="H1075" s="14">
        <v>5.8712130134748186E-3</v>
      </c>
      <c r="I1075" s="14">
        <v>8.1825818258183247E-3</v>
      </c>
      <c r="J1075" s="14">
        <v>4.4270103670496219E-3</v>
      </c>
      <c r="K1075" s="14">
        <v>4.0905801288849018E-3</v>
      </c>
    </row>
    <row r="1076" spans="2:11" x14ac:dyDescent="0.25">
      <c r="B1076" s="29">
        <v>1068</v>
      </c>
      <c r="C1076" s="30">
        <v>0.77616279069767447</v>
      </c>
      <c r="D1076" s="41">
        <v>-4.7129128509717615E-3</v>
      </c>
      <c r="E1076" s="41">
        <v>-8.2138662849280397E-3</v>
      </c>
      <c r="F1076" s="41">
        <v>-7.7832064538119194E-3</v>
      </c>
      <c r="G1076" s="41">
        <v>-7.872335379076523E-3</v>
      </c>
      <c r="H1076" s="14">
        <v>5.8788422566862231E-3</v>
      </c>
      <c r="I1076" s="14">
        <v>8.1877184223664301E-3</v>
      </c>
      <c r="J1076" s="14">
        <v>4.4304271226465186E-3</v>
      </c>
      <c r="K1076" s="14">
        <v>4.1090515556692969E-3</v>
      </c>
    </row>
    <row r="1077" spans="2:11" x14ac:dyDescent="0.25">
      <c r="B1077" s="29">
        <v>1069</v>
      </c>
      <c r="C1077" s="30">
        <v>0.77688953488372092</v>
      </c>
      <c r="D1077" s="41">
        <v>-7.4285137779874183E-4</v>
      </c>
      <c r="E1077" s="41">
        <v>-4.4842735126582323E-4</v>
      </c>
      <c r="F1077" s="41">
        <v>-1.3049645390070808E-3</v>
      </c>
      <c r="G1077" s="41">
        <v>8.6916816630391316E-4</v>
      </c>
      <c r="H1077" s="14">
        <v>5.9080852047224131E-3</v>
      </c>
      <c r="I1077" s="14">
        <v>8.1892759821766692E-3</v>
      </c>
      <c r="J1077" s="14">
        <v>4.4383561643834835E-3</v>
      </c>
      <c r="K1077" s="14">
        <v>4.1449792757852332E-3</v>
      </c>
    </row>
    <row r="1078" spans="2:11" x14ac:dyDescent="0.25">
      <c r="B1078" s="29">
        <v>1070</v>
      </c>
      <c r="C1078" s="30">
        <v>0.77761627906976749</v>
      </c>
      <c r="D1078" s="41">
        <v>-1.3060216917746763E-2</v>
      </c>
      <c r="E1078" s="41">
        <v>2.223515144717747E-2</v>
      </c>
      <c r="F1078" s="41">
        <v>-1.868841318382608E-3</v>
      </c>
      <c r="G1078" s="41">
        <v>8.3760268667693039E-3</v>
      </c>
      <c r="H1078" s="14">
        <v>5.9249613758101116E-3</v>
      </c>
      <c r="I1078" s="14">
        <v>8.2151699302273062E-3</v>
      </c>
      <c r="J1078" s="14">
        <v>4.4554303629118497E-3</v>
      </c>
      <c r="K1078" s="14">
        <v>4.1673055336965527E-3</v>
      </c>
    </row>
    <row r="1079" spans="2:11" x14ac:dyDescent="0.25">
      <c r="B1079" s="29">
        <v>1071</v>
      </c>
      <c r="C1079" s="30">
        <v>0.77834302325581395</v>
      </c>
      <c r="D1079" s="41">
        <v>7.7397320319137946E-3</v>
      </c>
      <c r="E1079" s="41">
        <v>-1.4935300934656337E-2</v>
      </c>
      <c r="F1079" s="41">
        <v>5.0994390617042917E-4</v>
      </c>
      <c r="G1079" s="41">
        <v>-6.7449088454417444E-3</v>
      </c>
      <c r="H1079" s="14">
        <v>5.9349302824454053E-3</v>
      </c>
      <c r="I1079" s="14">
        <v>8.2423913780249602E-3</v>
      </c>
      <c r="J1079" s="14">
        <v>4.4761273209550367E-3</v>
      </c>
      <c r="K1079" s="14">
        <v>4.1715100306221496E-3</v>
      </c>
    </row>
    <row r="1080" spans="2:11" x14ac:dyDescent="0.25">
      <c r="B1080" s="29">
        <v>1072</v>
      </c>
      <c r="C1080" s="30">
        <v>0.77906976744186052</v>
      </c>
      <c r="D1080" s="41">
        <v>-5.4063617516466175E-3</v>
      </c>
      <c r="E1080" s="41">
        <v>-1.9491684708072832E-4</v>
      </c>
      <c r="F1080" s="41">
        <v>9.0738955367775098E-4</v>
      </c>
      <c r="G1080" s="41">
        <v>1.7013623375769617E-3</v>
      </c>
      <c r="H1080" s="14">
        <v>5.9764948221678882E-3</v>
      </c>
      <c r="I1080" s="14">
        <v>8.2682715246149563E-3</v>
      </c>
      <c r="J1080" s="14">
        <v>4.4909415667262476E-3</v>
      </c>
      <c r="K1080" s="14">
        <v>4.2012261233618457E-3</v>
      </c>
    </row>
    <row r="1081" spans="2:11" x14ac:dyDescent="0.25">
      <c r="B1081" s="29">
        <v>1073</v>
      </c>
      <c r="C1081" s="30">
        <v>0.77979651162790697</v>
      </c>
      <c r="D1081" s="41">
        <v>-1.4113756976493249E-3</v>
      </c>
      <c r="E1081" s="41">
        <v>-6.8025316279425319E-3</v>
      </c>
      <c r="F1081" s="41">
        <v>6.047811947281545E-3</v>
      </c>
      <c r="G1081" s="41">
        <v>5.190762345921307E-4</v>
      </c>
      <c r="H1081" s="14">
        <v>5.9851945188216238E-3</v>
      </c>
      <c r="I1081" s="14">
        <v>8.3202158758712841E-3</v>
      </c>
      <c r="J1081" s="14">
        <v>4.4961131681575672E-3</v>
      </c>
      <c r="K1081" s="14">
        <v>4.2385746690292159E-3</v>
      </c>
    </row>
    <row r="1082" spans="2:11" x14ac:dyDescent="0.25">
      <c r="B1082" s="29">
        <v>1074</v>
      </c>
      <c r="C1082" s="30">
        <v>0.78052325581395354</v>
      </c>
      <c r="D1082" s="41">
        <v>-1.4896755028329938E-3</v>
      </c>
      <c r="E1082" s="41">
        <v>5.510143992821348E-3</v>
      </c>
      <c r="F1082" s="41">
        <v>4.0673693858845894E-3</v>
      </c>
      <c r="G1082" s="41">
        <v>5.3381129847309703E-3</v>
      </c>
      <c r="H1082" s="14">
        <v>6.0021174981093051E-3</v>
      </c>
      <c r="I1082" s="14">
        <v>8.3403702500810528E-3</v>
      </c>
      <c r="J1082" s="14">
        <v>4.49633908246172E-3</v>
      </c>
      <c r="K1082" s="14">
        <v>4.2640806870811072E-3</v>
      </c>
    </row>
    <row r="1083" spans="2:11" x14ac:dyDescent="0.25">
      <c r="B1083" s="29">
        <v>1075</v>
      </c>
      <c r="C1083" s="30">
        <v>0.78125</v>
      </c>
      <c r="D1083" s="41">
        <v>-2.9141147980956609E-4</v>
      </c>
      <c r="E1083" s="41">
        <v>1.3665011991745857E-3</v>
      </c>
      <c r="F1083" s="41">
        <v>3.8530105238945289E-3</v>
      </c>
      <c r="G1083" s="41">
        <v>-1.2750004488359505E-3</v>
      </c>
      <c r="H1083" s="14">
        <v>6.0076671750766142E-3</v>
      </c>
      <c r="I1083" s="14">
        <v>8.3475959973540181E-3</v>
      </c>
      <c r="J1083" s="14">
        <v>4.5032523489185738E-3</v>
      </c>
      <c r="K1083" s="14">
        <v>4.3025269831785899E-3</v>
      </c>
    </row>
    <row r="1084" spans="2:11" x14ac:dyDescent="0.25">
      <c r="B1084" s="29">
        <v>1076</v>
      </c>
      <c r="C1084" s="30">
        <v>0.78197674418604646</v>
      </c>
      <c r="D1084" s="41">
        <v>2.3802512108402813E-3</v>
      </c>
      <c r="E1084" s="41">
        <v>-1.9000473445289212E-2</v>
      </c>
      <c r="F1084" s="41">
        <v>-2.2997757718634659E-4</v>
      </c>
      <c r="G1084" s="41">
        <v>-1.0098203198313538E-2</v>
      </c>
      <c r="H1084" s="14">
        <v>6.0313264107112463E-3</v>
      </c>
      <c r="I1084" s="14">
        <v>8.4237356625533888E-3</v>
      </c>
      <c r="J1084" s="14">
        <v>4.5159326161963165E-3</v>
      </c>
      <c r="K1084" s="14">
        <v>4.3092205606279693E-3</v>
      </c>
    </row>
    <row r="1085" spans="2:11" x14ac:dyDescent="0.25">
      <c r="B1085" s="29">
        <v>1077</v>
      </c>
      <c r="C1085" s="30">
        <v>0.78270348837209303</v>
      </c>
      <c r="D1085" s="41">
        <v>-9.2738922058257702E-3</v>
      </c>
      <c r="E1085" s="41">
        <v>-4.9397085855825695E-3</v>
      </c>
      <c r="F1085" s="41">
        <v>7.4798619102423025E-4</v>
      </c>
      <c r="G1085" s="41">
        <v>-1.8262861960281818E-3</v>
      </c>
      <c r="H1085" s="14">
        <v>6.0366942244141075E-3</v>
      </c>
      <c r="I1085" s="14">
        <v>8.4651169239939872E-3</v>
      </c>
      <c r="J1085" s="14">
        <v>4.5489006823353773E-3</v>
      </c>
      <c r="K1085" s="14">
        <v>4.3117795021899059E-3</v>
      </c>
    </row>
    <row r="1086" spans="2:11" x14ac:dyDescent="0.25">
      <c r="B1086" s="29">
        <v>1078</v>
      </c>
      <c r="C1086" s="30">
        <v>0.78343023255813948</v>
      </c>
      <c r="D1086" s="41">
        <v>3.4953268031253631E-3</v>
      </c>
      <c r="E1086" s="41">
        <v>-1.070590500916524E-2</v>
      </c>
      <c r="F1086" s="41">
        <v>9.2144667127391777E-4</v>
      </c>
      <c r="G1086" s="41">
        <v>-5.6993096765412419E-3</v>
      </c>
      <c r="H1086" s="14">
        <v>6.0978063996777188E-3</v>
      </c>
      <c r="I1086" s="14">
        <v>8.5251410514659565E-3</v>
      </c>
      <c r="J1086" s="14">
        <v>4.6090856128748747E-3</v>
      </c>
      <c r="K1086" s="14">
        <v>4.3268176267513342E-3</v>
      </c>
    </row>
    <row r="1087" spans="2:11" x14ac:dyDescent="0.25">
      <c r="B1087" s="29">
        <v>1079</v>
      </c>
      <c r="C1087" s="30">
        <v>0.78415697674418605</v>
      </c>
      <c r="D1087" s="41">
        <v>-3.22230852036919E-4</v>
      </c>
      <c r="E1087" s="41">
        <v>-1.6171360182261285E-2</v>
      </c>
      <c r="F1087" s="41">
        <v>-6.5224854102299279E-3</v>
      </c>
      <c r="G1087" s="41">
        <v>-9.2220165223692706E-3</v>
      </c>
      <c r="H1087" s="14">
        <v>6.1185798000691349E-3</v>
      </c>
      <c r="I1087" s="14">
        <v>8.5824676969850078E-3</v>
      </c>
      <c r="J1087" s="14">
        <v>4.6130416622198744E-3</v>
      </c>
      <c r="K1087" s="14">
        <v>4.3269982404246839E-3</v>
      </c>
    </row>
    <row r="1088" spans="2:11" x14ac:dyDescent="0.25">
      <c r="B1088" s="29">
        <v>1080</v>
      </c>
      <c r="C1088" s="30">
        <v>0.78488372093023251</v>
      </c>
      <c r="D1088" s="41">
        <v>-8.5097263624887007E-4</v>
      </c>
      <c r="E1088" s="41">
        <v>-2.5509493694076624E-2</v>
      </c>
      <c r="F1088" s="41">
        <v>1.3276131949678138E-2</v>
      </c>
      <c r="G1088" s="41">
        <v>-1.119110424097918E-2</v>
      </c>
      <c r="H1088" s="14">
        <v>6.1771911739056939E-3</v>
      </c>
      <c r="I1088" s="14">
        <v>8.5905926662575016E-3</v>
      </c>
      <c r="J1088" s="14">
        <v>4.6193529718527859E-3</v>
      </c>
      <c r="K1088" s="14">
        <v>4.4010269218085043E-3</v>
      </c>
    </row>
    <row r="1089" spans="2:11" x14ac:dyDescent="0.25">
      <c r="B1089" s="29">
        <v>1081</v>
      </c>
      <c r="C1089" s="30">
        <v>0.78561046511627908</v>
      </c>
      <c r="D1089" s="41">
        <v>-1.2385122978246541E-2</v>
      </c>
      <c r="E1089" s="41">
        <v>3.3373941554242226E-2</v>
      </c>
      <c r="F1089" s="41">
        <v>3.4906044563383087E-3</v>
      </c>
      <c r="G1089" s="41">
        <v>1.4634740632679444E-2</v>
      </c>
      <c r="H1089" s="14">
        <v>6.1994561211509147E-3</v>
      </c>
      <c r="I1089" s="14">
        <v>8.5983127839064366E-3</v>
      </c>
      <c r="J1089" s="14">
        <v>4.639329542053261E-3</v>
      </c>
      <c r="K1089" s="14">
        <v>4.4155155938923503E-3</v>
      </c>
    </row>
    <row r="1090" spans="2:11" x14ac:dyDescent="0.25">
      <c r="B1090" s="29">
        <v>1082</v>
      </c>
      <c r="C1090" s="30">
        <v>0.78633720930232553</v>
      </c>
      <c r="D1090" s="41">
        <v>-1.6007943574181487E-3</v>
      </c>
      <c r="E1090" s="41">
        <v>3.3474995633686611E-4</v>
      </c>
      <c r="F1090" s="41">
        <v>1.2785764789064347E-2</v>
      </c>
      <c r="G1090" s="41">
        <v>3.863418606781677E-3</v>
      </c>
      <c r="H1090" s="14">
        <v>6.2003616151329322E-3</v>
      </c>
      <c r="I1090" s="14">
        <v>8.6049090739033218E-3</v>
      </c>
      <c r="J1090" s="14">
        <v>4.6916075456542305E-3</v>
      </c>
      <c r="K1090" s="14">
        <v>4.4542367153485697E-3</v>
      </c>
    </row>
    <row r="1091" spans="2:11" x14ac:dyDescent="0.25">
      <c r="B1091" s="29">
        <v>1083</v>
      </c>
      <c r="C1091" s="30">
        <v>0.7870639534883721</v>
      </c>
      <c r="D1091" s="41">
        <v>-1.5858558178760026E-2</v>
      </c>
      <c r="E1091" s="41">
        <v>-1.79322285431609E-2</v>
      </c>
      <c r="F1091" s="41">
        <v>-1.4708477966699496E-3</v>
      </c>
      <c r="G1091" s="41">
        <v>-1.2281978872507104E-2</v>
      </c>
      <c r="H1091" s="14">
        <v>6.2720708375059164E-3</v>
      </c>
      <c r="I1091" s="14">
        <v>8.6442637693395774E-3</v>
      </c>
      <c r="J1091" s="14">
        <v>4.695531830763322E-3</v>
      </c>
      <c r="K1091" s="14">
        <v>4.467029454191529E-3</v>
      </c>
    </row>
    <row r="1092" spans="2:11" x14ac:dyDescent="0.25">
      <c r="B1092" s="29">
        <v>1084</v>
      </c>
      <c r="C1092" s="30">
        <v>0.78779069767441856</v>
      </c>
      <c r="D1092" s="41">
        <v>-1.8485861729047346E-2</v>
      </c>
      <c r="E1092" s="41">
        <v>-5.8149440357935234E-3</v>
      </c>
      <c r="F1092" s="41">
        <v>2.6545540349220964E-3</v>
      </c>
      <c r="G1092" s="41">
        <v>-3.1050182123615322E-3</v>
      </c>
      <c r="H1092" s="14">
        <v>6.2893081761006275E-3</v>
      </c>
      <c r="I1092" s="14">
        <v>8.6596097436550945E-3</v>
      </c>
      <c r="J1092" s="14">
        <v>4.7026342308291724E-3</v>
      </c>
      <c r="K1092" s="14">
        <v>4.4714275248709748E-3</v>
      </c>
    </row>
    <row r="1093" spans="2:11" x14ac:dyDescent="0.25">
      <c r="B1093" s="29">
        <v>1085</v>
      </c>
      <c r="C1093" s="30">
        <v>0.78851744186046513</v>
      </c>
      <c r="D1093" s="41">
        <v>-8.1760295241266184E-3</v>
      </c>
      <c r="E1093" s="41">
        <v>3.474354007093261E-2</v>
      </c>
      <c r="F1093" s="41">
        <v>9.5283468318247966E-3</v>
      </c>
      <c r="G1093" s="41">
        <v>1.4884519770290039E-2</v>
      </c>
      <c r="H1093" s="14">
        <v>6.2951021034853838E-3</v>
      </c>
      <c r="I1093" s="14">
        <v>8.6837294332724468E-3</v>
      </c>
      <c r="J1093" s="14">
        <v>4.7067106250089363E-3</v>
      </c>
      <c r="K1093" s="14">
        <v>4.4780239714648845E-3</v>
      </c>
    </row>
    <row r="1094" spans="2:11" x14ac:dyDescent="0.25">
      <c r="B1094" s="29">
        <v>1086</v>
      </c>
      <c r="C1094" s="30">
        <v>0.78924418604651159</v>
      </c>
      <c r="D1094" s="41">
        <v>1.2352103877702504E-2</v>
      </c>
      <c r="E1094" s="41">
        <v>5.8829882988298277E-3</v>
      </c>
      <c r="F1094" s="41">
        <v>2.4476150677572583E-3</v>
      </c>
      <c r="G1094" s="41">
        <v>2.2619817891740722E-3</v>
      </c>
      <c r="H1094" s="14">
        <v>6.3043107854829916E-3</v>
      </c>
      <c r="I1094" s="14">
        <v>8.7087037556285996E-3</v>
      </c>
      <c r="J1094" s="14">
        <v>4.7155762930604084E-3</v>
      </c>
      <c r="K1094" s="14">
        <v>4.4952327526956099E-3</v>
      </c>
    </row>
    <row r="1095" spans="2:11" x14ac:dyDescent="0.25">
      <c r="B1095" s="29">
        <v>1087</v>
      </c>
      <c r="C1095" s="30">
        <v>0.78997093023255816</v>
      </c>
      <c r="D1095" s="41">
        <v>-1.6775493126989823E-3</v>
      </c>
      <c r="E1095" s="41">
        <v>-8.2323969876596514E-4</v>
      </c>
      <c r="F1095" s="41">
        <v>1.9139900711764302E-3</v>
      </c>
      <c r="G1095" s="41">
        <v>-3.1948400050632927E-3</v>
      </c>
      <c r="H1095" s="14">
        <v>6.3072533413426335E-3</v>
      </c>
      <c r="I1095" s="14">
        <v>8.709830550453157E-3</v>
      </c>
      <c r="J1095" s="14">
        <v>4.7177147597075031E-3</v>
      </c>
      <c r="K1095" s="14">
        <v>4.5291618111503512E-3</v>
      </c>
    </row>
    <row r="1096" spans="2:11" x14ac:dyDescent="0.25">
      <c r="B1096" s="29">
        <v>1088</v>
      </c>
      <c r="C1096" s="30">
        <v>0.79069767441860461</v>
      </c>
      <c r="D1096" s="41">
        <v>-7.3631583727801278E-3</v>
      </c>
      <c r="E1096" s="41">
        <v>1.6836584824146961E-3</v>
      </c>
      <c r="F1096" s="41">
        <v>-1.4334348683031628E-3</v>
      </c>
      <c r="G1096" s="41">
        <v>2.7607485322834083E-3</v>
      </c>
      <c r="H1096" s="14">
        <v>6.3652448010047546E-3</v>
      </c>
      <c r="I1096" s="14">
        <v>8.7099235542245079E-3</v>
      </c>
      <c r="J1096" s="14">
        <v>4.7237530681241147E-3</v>
      </c>
      <c r="K1096" s="14">
        <v>4.5342497757359986E-3</v>
      </c>
    </row>
    <row r="1097" spans="2:11" x14ac:dyDescent="0.25">
      <c r="B1097" s="29">
        <v>1089</v>
      </c>
      <c r="C1097" s="30">
        <v>0.79142441860465118</v>
      </c>
      <c r="D1097" s="41">
        <v>1.305226950173268E-2</v>
      </c>
      <c r="E1097" s="41">
        <v>-2.3767630818527619E-2</v>
      </c>
      <c r="F1097" s="41">
        <v>1.0257647981656737E-2</v>
      </c>
      <c r="G1097" s="41">
        <v>-2.9985992167208772E-3</v>
      </c>
      <c r="H1097" s="14">
        <v>6.4102564102566095E-3</v>
      </c>
      <c r="I1097" s="14">
        <v>8.7126062995523945E-3</v>
      </c>
      <c r="J1097" s="14">
        <v>4.7309591889785896E-3</v>
      </c>
      <c r="K1097" s="14">
        <v>4.5698131913193283E-3</v>
      </c>
    </row>
    <row r="1098" spans="2:11" x14ac:dyDescent="0.25">
      <c r="B1098" s="29">
        <v>1090</v>
      </c>
      <c r="C1098" s="30">
        <v>0.79215116279069764</v>
      </c>
      <c r="D1098" s="41">
        <v>7.3441192139853768E-3</v>
      </c>
      <c r="E1098" s="41">
        <v>-3.3702349639896934E-4</v>
      </c>
      <c r="F1098" s="41">
        <v>-3.6190361300425522E-4</v>
      </c>
      <c r="G1098" s="41">
        <v>-6.6590110615427623E-5</v>
      </c>
      <c r="H1098" s="14">
        <v>6.4167510976023134E-3</v>
      </c>
      <c r="I1098" s="14">
        <v>8.7733040889865777E-3</v>
      </c>
      <c r="J1098" s="14">
        <v>4.7504912660558674E-3</v>
      </c>
      <c r="K1098" s="14">
        <v>4.5932003462228373E-3</v>
      </c>
    </row>
    <row r="1099" spans="2:11" x14ac:dyDescent="0.25">
      <c r="B1099" s="29">
        <v>1091</v>
      </c>
      <c r="C1099" s="30">
        <v>0.79287790697674421</v>
      </c>
      <c r="D1099" s="41">
        <v>-1.0819759343266381E-2</v>
      </c>
      <c r="E1099" s="41">
        <v>1.1096208673218699E-2</v>
      </c>
      <c r="F1099" s="41">
        <v>-1.6316601400261144E-2</v>
      </c>
      <c r="G1099" s="41">
        <v>3.683991524237617E-3</v>
      </c>
      <c r="H1099" s="14">
        <v>6.4360418342717107E-3</v>
      </c>
      <c r="I1099" s="14">
        <v>8.806047550662166E-3</v>
      </c>
      <c r="J1099" s="14">
        <v>4.7526242769699856E-3</v>
      </c>
      <c r="K1099" s="14">
        <v>4.5946463343961687E-3</v>
      </c>
    </row>
    <row r="1100" spans="2:11" x14ac:dyDescent="0.25">
      <c r="B1100" s="29">
        <v>1092</v>
      </c>
      <c r="C1100" s="30">
        <v>0.79360465116279066</v>
      </c>
      <c r="D1100" s="41">
        <v>1.2980275418586906E-2</v>
      </c>
      <c r="E1100" s="41">
        <v>1.3837645063316861E-2</v>
      </c>
      <c r="F1100" s="41">
        <v>-2.6628794603230643E-3</v>
      </c>
      <c r="G1100" s="41">
        <v>5.2957987056484919E-3</v>
      </c>
      <c r="H1100" s="14">
        <v>6.4705287635224984E-3</v>
      </c>
      <c r="I1100" s="14">
        <v>8.8563617724113364E-3</v>
      </c>
      <c r="J1100" s="14">
        <v>4.7544468061304634E-3</v>
      </c>
      <c r="K1100" s="14">
        <v>4.6081482777028619E-3</v>
      </c>
    </row>
    <row r="1101" spans="2:11" x14ac:dyDescent="0.25">
      <c r="B1101" s="29">
        <v>1093</v>
      </c>
      <c r="C1101" s="30">
        <v>0.79433139534883723</v>
      </c>
      <c r="D1101" s="41">
        <v>-4.0913028553253277E-3</v>
      </c>
      <c r="E1101" s="41">
        <v>2.1971029413867527E-2</v>
      </c>
      <c r="F1101" s="41">
        <v>-3.1264747522417036E-3</v>
      </c>
      <c r="G1101" s="41">
        <v>1.0221806929896849E-2</v>
      </c>
      <c r="H1101" s="14">
        <v>6.4860586096788797E-3</v>
      </c>
      <c r="I1101" s="14">
        <v>8.8885345875600041E-3</v>
      </c>
      <c r="J1101" s="14">
        <v>4.8000726650194725E-3</v>
      </c>
      <c r="K1101" s="14">
        <v>4.6302336048097189E-3</v>
      </c>
    </row>
    <row r="1102" spans="2:11" x14ac:dyDescent="0.25">
      <c r="B1102" s="29">
        <v>1094</v>
      </c>
      <c r="C1102" s="30">
        <v>0.79505813953488369</v>
      </c>
      <c r="D1102" s="41">
        <v>1.5333938069336972E-2</v>
      </c>
      <c r="E1102" s="41">
        <v>-5.7227208809352836E-3</v>
      </c>
      <c r="F1102" s="41">
        <v>-1.1660447761193904E-2</v>
      </c>
      <c r="G1102" s="41">
        <v>-5.7945241979842528E-3</v>
      </c>
      <c r="H1102" s="14">
        <v>6.5008033879812022E-3</v>
      </c>
      <c r="I1102" s="14">
        <v>9.0075684894999064E-3</v>
      </c>
      <c r="J1102" s="14">
        <v>4.8306327840308416E-3</v>
      </c>
      <c r="K1102" s="14">
        <v>4.6349669392350187E-3</v>
      </c>
    </row>
    <row r="1103" spans="2:11" x14ac:dyDescent="0.25">
      <c r="B1103" s="29">
        <v>1095</v>
      </c>
      <c r="C1103" s="30">
        <v>0.79578488372093026</v>
      </c>
      <c r="D1103" s="41">
        <v>-1.654501293562625E-3</v>
      </c>
      <c r="E1103" s="41">
        <v>5.0027793218454519E-3</v>
      </c>
      <c r="F1103" s="41">
        <v>-2.9066387629346213E-3</v>
      </c>
      <c r="G1103" s="41">
        <v>1.2735546049376101E-3</v>
      </c>
      <c r="H1103" s="14">
        <v>6.5126127406822665E-3</v>
      </c>
      <c r="I1103" s="14">
        <v>9.1125972857757365E-3</v>
      </c>
      <c r="J1103" s="14">
        <v>4.84049203296677E-3</v>
      </c>
      <c r="K1103" s="14">
        <v>4.6355463892330025E-3</v>
      </c>
    </row>
    <row r="1104" spans="2:11" x14ac:dyDescent="0.25">
      <c r="B1104" s="29">
        <v>1096</v>
      </c>
      <c r="C1104" s="30">
        <v>0.79651162790697672</v>
      </c>
      <c r="D1104" s="41">
        <v>-2.2964591857587698E-2</v>
      </c>
      <c r="E1104" s="41">
        <v>-1.1482020835665852E-3</v>
      </c>
      <c r="F1104" s="41">
        <v>-4.0528022232515504E-3</v>
      </c>
      <c r="G1104" s="41">
        <v>4.6302336048097189E-3</v>
      </c>
      <c r="H1104" s="14">
        <v>6.5300827194652022E-3</v>
      </c>
      <c r="I1104" s="14">
        <v>9.1807820666205409E-3</v>
      </c>
      <c r="J1104" s="14">
        <v>4.8468825732539411E-3</v>
      </c>
      <c r="K1104" s="14">
        <v>4.6389288201856846E-3</v>
      </c>
    </row>
    <row r="1105" spans="2:11" x14ac:dyDescent="0.25">
      <c r="B1105" s="29">
        <v>1097</v>
      </c>
      <c r="C1105" s="30">
        <v>0.79723837209302328</v>
      </c>
      <c r="D1105" s="41">
        <v>-2.6575110710890405E-3</v>
      </c>
      <c r="E1105" s="41">
        <v>3.8621134381922051E-3</v>
      </c>
      <c r="F1105" s="41">
        <v>2.7868091035765374E-3</v>
      </c>
      <c r="G1105" s="41">
        <v>3.2760530858154447E-3</v>
      </c>
      <c r="H1105" s="14">
        <v>6.5406565729562161E-3</v>
      </c>
      <c r="I1105" s="14">
        <v>9.183783637884968E-3</v>
      </c>
      <c r="J1105" s="14">
        <v>4.8519742763952767E-3</v>
      </c>
      <c r="K1105" s="14">
        <v>4.6505132046713365E-3</v>
      </c>
    </row>
    <row r="1106" spans="2:11" x14ac:dyDescent="0.25">
      <c r="B1106" s="29">
        <v>1098</v>
      </c>
      <c r="C1106" s="30">
        <v>0.79796511627906974</v>
      </c>
      <c r="D1106" s="41">
        <v>1.5090512344325869E-2</v>
      </c>
      <c r="E1106" s="41">
        <v>-2.2343404157276758E-4</v>
      </c>
      <c r="F1106" s="41">
        <v>5.8092250493757547E-4</v>
      </c>
      <c r="G1106" s="41">
        <v>1.6284261886823971E-3</v>
      </c>
      <c r="H1106" s="14">
        <v>6.5448139879831224E-3</v>
      </c>
      <c r="I1106" s="14">
        <v>9.2191136871893065E-3</v>
      </c>
      <c r="J1106" s="14">
        <v>4.8533705401485605E-3</v>
      </c>
      <c r="K1106" s="14">
        <v>4.6533795371252133E-3</v>
      </c>
    </row>
    <row r="1107" spans="2:11" x14ac:dyDescent="0.25">
      <c r="B1107" s="29">
        <v>1099</v>
      </c>
      <c r="C1107" s="30">
        <v>0.79869186046511631</v>
      </c>
      <c r="D1107" s="41">
        <v>-2.3651625789391114E-2</v>
      </c>
      <c r="E1107" s="41">
        <v>-1.5776571895493197E-2</v>
      </c>
      <c r="F1107" s="41">
        <v>5.1383860796450076E-3</v>
      </c>
      <c r="G1107" s="41">
        <v>-5.8624146867079395E-3</v>
      </c>
      <c r="H1107" s="14">
        <v>6.5939884778323243E-3</v>
      </c>
      <c r="I1107" s="14">
        <v>9.2739944026778431E-3</v>
      </c>
      <c r="J1107" s="14">
        <v>4.8775758920220902E-3</v>
      </c>
      <c r="K1107" s="14">
        <v>4.6605597410383833E-3</v>
      </c>
    </row>
    <row r="1108" spans="2:11" x14ac:dyDescent="0.25">
      <c r="B1108" s="29">
        <v>1100</v>
      </c>
      <c r="C1108" s="30">
        <v>0.79941860465116277</v>
      </c>
      <c r="D1108" s="41">
        <v>4.3240222038655495E-4</v>
      </c>
      <c r="E1108" s="41">
        <v>-6.4926771117165272E-3</v>
      </c>
      <c r="F1108" s="41">
        <v>-3.0271277215042636E-3</v>
      </c>
      <c r="G1108" s="41">
        <v>-5.5237116134285065E-3</v>
      </c>
      <c r="H1108" s="14">
        <v>6.6079757823267471E-3</v>
      </c>
      <c r="I1108" s="14">
        <v>9.3138671244286098E-3</v>
      </c>
      <c r="J1108" s="14">
        <v>4.892863168550754E-3</v>
      </c>
      <c r="K1108" s="14">
        <v>4.6788634416782496E-3</v>
      </c>
    </row>
    <row r="1109" spans="2:11" x14ac:dyDescent="0.25">
      <c r="B1109" s="29">
        <v>1101</v>
      </c>
      <c r="C1109" s="30">
        <v>0.80014534883720934</v>
      </c>
      <c r="D1109" s="41">
        <v>-8.0404355584893818E-3</v>
      </c>
      <c r="E1109" s="41">
        <v>-2.4390592302143466E-2</v>
      </c>
      <c r="F1109" s="41">
        <v>-5.2695581678151582E-3</v>
      </c>
      <c r="G1109" s="41">
        <v>-1.2705427524377533E-2</v>
      </c>
      <c r="H1109" s="14">
        <v>6.6116381257443901E-3</v>
      </c>
      <c r="I1109" s="14">
        <v>9.340749106768742E-3</v>
      </c>
      <c r="J1109" s="14">
        <v>4.9064946223511541E-3</v>
      </c>
      <c r="K1109" s="14">
        <v>4.6817429601994313E-3</v>
      </c>
    </row>
    <row r="1110" spans="2:11" x14ac:dyDescent="0.25">
      <c r="B1110" s="29">
        <v>1102</v>
      </c>
      <c r="C1110" s="30">
        <v>0.80087209302325579</v>
      </c>
      <c r="D1110" s="41">
        <v>-1.9883539142501447E-2</v>
      </c>
      <c r="E1110" s="41">
        <v>-1.0776146063631975E-2</v>
      </c>
      <c r="F1110" s="41">
        <v>3.8948959423321661E-3</v>
      </c>
      <c r="G1110" s="41">
        <v>-5.4357811654370371E-3</v>
      </c>
      <c r="H1110" s="14">
        <v>6.6213981636598085E-3</v>
      </c>
      <c r="I1110" s="14">
        <v>9.345589203905158E-3</v>
      </c>
      <c r="J1110" s="14">
        <v>4.9187024433696713E-3</v>
      </c>
      <c r="K1110" s="14">
        <v>4.7143906932057174E-3</v>
      </c>
    </row>
    <row r="1111" spans="2:11" x14ac:dyDescent="0.25">
      <c r="B1111" s="29">
        <v>1103</v>
      </c>
      <c r="C1111" s="30">
        <v>0.80159883720930236</v>
      </c>
      <c r="D1111" s="41">
        <v>3.0831102787629633E-3</v>
      </c>
      <c r="E1111" s="41">
        <v>2.3444784867457047E-2</v>
      </c>
      <c r="F1111" s="41">
        <v>2.3891381621117258E-3</v>
      </c>
      <c r="G1111" s="41">
        <v>9.7101559438545169E-3</v>
      </c>
      <c r="H1111" s="14">
        <v>6.6237912687023837E-3</v>
      </c>
      <c r="I1111" s="14">
        <v>9.3924174885873235E-3</v>
      </c>
      <c r="J1111" s="14">
        <v>4.956629491945419E-3</v>
      </c>
      <c r="K1111" s="14">
        <v>4.7151348740710692E-3</v>
      </c>
    </row>
    <row r="1112" spans="2:11" x14ac:dyDescent="0.25">
      <c r="B1112" s="29">
        <v>1104</v>
      </c>
      <c r="C1112" s="30">
        <v>0.80232558139534882</v>
      </c>
      <c r="D1112" s="41">
        <v>8.887715019281036E-3</v>
      </c>
      <c r="E1112" s="41">
        <v>4.9676775565099529E-3</v>
      </c>
      <c r="F1112" s="41">
        <v>-1.5708633930650029E-3</v>
      </c>
      <c r="G1112" s="41">
        <v>-1.9958084195369043E-3</v>
      </c>
      <c r="H1112" s="14">
        <v>6.6434410177911296E-3</v>
      </c>
      <c r="I1112" s="14">
        <v>9.4191522762951951E-3</v>
      </c>
      <c r="J1112" s="14">
        <v>4.9720323182098625E-3</v>
      </c>
      <c r="K1112" s="14">
        <v>4.717699470557335E-3</v>
      </c>
    </row>
    <row r="1113" spans="2:11" x14ac:dyDescent="0.25">
      <c r="B1113" s="29">
        <v>1105</v>
      </c>
      <c r="C1113" s="30">
        <v>0.80305232558139539</v>
      </c>
      <c r="D1113" s="41">
        <v>4.8023444597448907E-3</v>
      </c>
      <c r="E1113" s="41">
        <v>-1.259164921823841E-2</v>
      </c>
      <c r="F1113" s="41">
        <v>5.9697998361232241E-3</v>
      </c>
      <c r="G1113" s="41">
        <v>-7.2303948275110235E-3</v>
      </c>
      <c r="H1113" s="14">
        <v>6.6780825452537051E-3</v>
      </c>
      <c r="I1113" s="14">
        <v>9.4528826612472194E-3</v>
      </c>
      <c r="J1113" s="14">
        <v>5.0176759037516838E-3</v>
      </c>
      <c r="K1113" s="14">
        <v>4.7189720304233072E-3</v>
      </c>
    </row>
    <row r="1114" spans="2:11" x14ac:dyDescent="0.25">
      <c r="B1114" s="29">
        <v>1106</v>
      </c>
      <c r="C1114" s="30">
        <v>0.80377906976744184</v>
      </c>
      <c r="D1114" s="41">
        <v>-4.8737778612589801E-3</v>
      </c>
      <c r="E1114" s="41">
        <v>-3.352012300427698E-3</v>
      </c>
      <c r="F1114" s="41">
        <v>1.9351433765320003E-3</v>
      </c>
      <c r="G1114" s="41">
        <v>1.8698860451254354E-3</v>
      </c>
      <c r="H1114" s="14">
        <v>6.7380845854132509E-3</v>
      </c>
      <c r="I1114" s="14">
        <v>9.491501895697585E-3</v>
      </c>
      <c r="J1114" s="14">
        <v>5.0303156285447237E-3</v>
      </c>
      <c r="K1114" s="14">
        <v>4.7523190347703364E-3</v>
      </c>
    </row>
    <row r="1115" spans="2:11" x14ac:dyDescent="0.25">
      <c r="B1115" s="29">
        <v>1107</v>
      </c>
      <c r="C1115" s="30">
        <v>0.80450581395348841</v>
      </c>
      <c r="D1115" s="41">
        <v>7.7677378415004468E-3</v>
      </c>
      <c r="E1115" s="41">
        <v>-1.8351843592574579E-2</v>
      </c>
      <c r="F1115" s="41">
        <v>4.4174814465780532E-3</v>
      </c>
      <c r="G1115" s="41">
        <v>-8.8265107397512491E-3</v>
      </c>
      <c r="H1115" s="14">
        <v>6.7552748168620003E-3</v>
      </c>
      <c r="I1115" s="14">
        <v>9.5165820554419245E-3</v>
      </c>
      <c r="J1115" s="14">
        <v>5.0764077873142188E-3</v>
      </c>
      <c r="K1115" s="14">
        <v>4.7523403449216683E-3</v>
      </c>
    </row>
    <row r="1116" spans="2:11" x14ac:dyDescent="0.25">
      <c r="B1116" s="29">
        <v>1108</v>
      </c>
      <c r="C1116" s="30">
        <v>0.80523255813953487</v>
      </c>
      <c r="D1116" s="41">
        <v>-6.7846005656448495E-3</v>
      </c>
      <c r="E1116" s="41">
        <v>3.5304369846791417E-3</v>
      </c>
      <c r="F1116" s="41">
        <v>3.90255439924303E-3</v>
      </c>
      <c r="G1116" s="41">
        <v>1.6003646921597615E-3</v>
      </c>
      <c r="H1116" s="14">
        <v>6.7755548069501348E-3</v>
      </c>
      <c r="I1116" s="14">
        <v>9.5437067626997774E-3</v>
      </c>
      <c r="J1116" s="14">
        <v>5.0851059012730904E-3</v>
      </c>
      <c r="K1116" s="14">
        <v>4.7671670654859666E-3</v>
      </c>
    </row>
    <row r="1117" spans="2:11" x14ac:dyDescent="0.25">
      <c r="B1117" s="29">
        <v>1109</v>
      </c>
      <c r="C1117" s="30">
        <v>0.80595930232558144</v>
      </c>
      <c r="D1117" s="41">
        <v>-2.366115489189846E-3</v>
      </c>
      <c r="E1117" s="41">
        <v>-1.8554941180836448E-2</v>
      </c>
      <c r="F1117" s="41">
        <v>2.7868366439371961E-3</v>
      </c>
      <c r="G1117" s="41">
        <v>-9.089106866085217E-3</v>
      </c>
      <c r="H1117" s="14">
        <v>6.7761792762206507E-3</v>
      </c>
      <c r="I1117" s="14">
        <v>9.5864083640837539E-3</v>
      </c>
      <c r="J1117" s="14">
        <v>5.1178580686794817E-3</v>
      </c>
      <c r="K1117" s="14">
        <v>4.8460914732629378E-3</v>
      </c>
    </row>
    <row r="1118" spans="2:11" x14ac:dyDescent="0.25">
      <c r="B1118" s="29">
        <v>1110</v>
      </c>
      <c r="C1118" s="30">
        <v>0.8066860465116279</v>
      </c>
      <c r="D1118" s="41">
        <v>1.95044082834709E-2</v>
      </c>
      <c r="E1118" s="41">
        <v>7.5622944000208747E-6</v>
      </c>
      <c r="F1118" s="41">
        <v>1.3656335352096871E-3</v>
      </c>
      <c r="G1118" s="41">
        <v>2.7615162480194578E-4</v>
      </c>
      <c r="H1118" s="14">
        <v>6.8153296650255157E-3</v>
      </c>
      <c r="I1118" s="14">
        <v>9.5943058523184632E-3</v>
      </c>
      <c r="J1118" s="14">
        <v>5.1366531800582926E-3</v>
      </c>
      <c r="K1118" s="14">
        <v>4.8544587289035771E-3</v>
      </c>
    </row>
    <row r="1119" spans="2:11" x14ac:dyDescent="0.25">
      <c r="B1119" s="29">
        <v>1111</v>
      </c>
      <c r="C1119" s="30">
        <v>0.80741279069767447</v>
      </c>
      <c r="D1119" s="41">
        <v>1.3666521401828989E-2</v>
      </c>
      <c r="E1119" s="41">
        <v>1.4678302428990708E-2</v>
      </c>
      <c r="F1119" s="41">
        <v>2.7387473207907131E-3</v>
      </c>
      <c r="G1119" s="41">
        <v>6.7102274297360601E-3</v>
      </c>
      <c r="H1119" s="14">
        <v>6.8899354613640718E-3</v>
      </c>
      <c r="I1119" s="14">
        <v>9.6082779009607489E-3</v>
      </c>
      <c r="J1119" s="14">
        <v>5.1383860796450076E-3</v>
      </c>
      <c r="K1119" s="14">
        <v>4.8550638087133885E-3</v>
      </c>
    </row>
    <row r="1120" spans="2:11" x14ac:dyDescent="0.25">
      <c r="B1120" s="29">
        <v>1112</v>
      </c>
      <c r="C1120" s="30">
        <v>0.80813953488372092</v>
      </c>
      <c r="D1120" s="41">
        <v>3.1530738141539202E-3</v>
      </c>
      <c r="E1120" s="41">
        <v>5.3660463417724014E-3</v>
      </c>
      <c r="F1120" s="41">
        <v>-1.0719754977029039E-2</v>
      </c>
      <c r="G1120" s="41">
        <v>-7.4263606357911666E-4</v>
      </c>
      <c r="H1120" s="14">
        <v>6.9108923001650613E-3</v>
      </c>
      <c r="I1120" s="14">
        <v>9.6336970876484962E-3</v>
      </c>
      <c r="J1120" s="14">
        <v>5.1666749465943962E-3</v>
      </c>
      <c r="K1120" s="14">
        <v>4.8606587712226373E-3</v>
      </c>
    </row>
    <row r="1121" spans="2:11" x14ac:dyDescent="0.25">
      <c r="B1121" s="29">
        <v>1113</v>
      </c>
      <c r="C1121" s="30">
        <v>0.80886627906976749</v>
      </c>
      <c r="D1121" s="41">
        <v>1.2691752527983989E-2</v>
      </c>
      <c r="E1121" s="41">
        <v>-9.5480255305900874E-3</v>
      </c>
      <c r="F1121" s="41">
        <v>-7.0764372185506685E-3</v>
      </c>
      <c r="G1121" s="41">
        <v>-7.7654682760694765E-3</v>
      </c>
      <c r="H1121" s="14">
        <v>6.9202342769489888E-3</v>
      </c>
      <c r="I1121" s="14">
        <v>9.6601029091627488E-3</v>
      </c>
      <c r="J1121" s="14">
        <v>5.179150747987471E-3</v>
      </c>
      <c r="K1121" s="14">
        <v>4.9007731691757435E-3</v>
      </c>
    </row>
    <row r="1122" spans="2:11" x14ac:dyDescent="0.25">
      <c r="B1122" s="29">
        <v>1114</v>
      </c>
      <c r="C1122" s="30">
        <v>0.80959302325581395</v>
      </c>
      <c r="D1122" s="41">
        <v>-2.9547878020738379E-3</v>
      </c>
      <c r="E1122" s="41">
        <v>4.3784475596704286E-3</v>
      </c>
      <c r="F1122" s="41">
        <v>-5.929887797221256E-3</v>
      </c>
      <c r="G1122" s="41">
        <v>-3.7632157033726135E-3</v>
      </c>
      <c r="H1122" s="14">
        <v>6.9394777028202181E-3</v>
      </c>
      <c r="I1122" s="14">
        <v>9.7218572876394127E-3</v>
      </c>
      <c r="J1122" s="14">
        <v>5.2200240121105246E-3</v>
      </c>
      <c r="K1122" s="14">
        <v>4.9220659742018396E-3</v>
      </c>
    </row>
    <row r="1123" spans="2:11" x14ac:dyDescent="0.25">
      <c r="B1123" s="29">
        <v>1115</v>
      </c>
      <c r="C1123" s="30">
        <v>0.81031976744186052</v>
      </c>
      <c r="D1123" s="41">
        <v>-1.6216150288644614E-2</v>
      </c>
      <c r="E1123" s="41">
        <v>-2.0112672697736089E-2</v>
      </c>
      <c r="F1123" s="41">
        <v>-1.2004595060310153E-2</v>
      </c>
      <c r="G1123" s="41">
        <v>-1.4207154052604466E-2</v>
      </c>
      <c r="H1123" s="14">
        <v>7.0387523412969166E-3</v>
      </c>
      <c r="I1123" s="14">
        <v>9.7775221562834691E-3</v>
      </c>
      <c r="J1123" s="14">
        <v>5.2294831622210491E-3</v>
      </c>
      <c r="K1123" s="14">
        <v>4.9452682476201389E-3</v>
      </c>
    </row>
    <row r="1124" spans="2:11" x14ac:dyDescent="0.25">
      <c r="B1124" s="29">
        <v>1116</v>
      </c>
      <c r="C1124" s="30">
        <v>0.81104651162790697</v>
      </c>
      <c r="D1124" s="41">
        <v>3.475380020219567E-3</v>
      </c>
      <c r="E1124" s="41">
        <v>1.6730674170117865E-4</v>
      </c>
      <c r="F1124" s="41">
        <v>-2.8065754052351011E-3</v>
      </c>
      <c r="G1124" s="41">
        <v>2.3751633091094074E-3</v>
      </c>
      <c r="H1124" s="14">
        <v>7.0577164366374401E-3</v>
      </c>
      <c r="I1124" s="14">
        <v>9.7868823334028576E-3</v>
      </c>
      <c r="J1124" s="14">
        <v>5.2360168336695878E-3</v>
      </c>
      <c r="K1124" s="14">
        <v>4.9508143309334729E-3</v>
      </c>
    </row>
    <row r="1125" spans="2:11" x14ac:dyDescent="0.25">
      <c r="B1125" s="29">
        <v>1117</v>
      </c>
      <c r="C1125" s="30">
        <v>0.81177325581395354</v>
      </c>
      <c r="D1125" s="41">
        <v>-4.7115254703443705E-3</v>
      </c>
      <c r="E1125" s="41">
        <v>7.4515081700463615E-3</v>
      </c>
      <c r="F1125" s="41">
        <v>-1.8440434024849406E-2</v>
      </c>
      <c r="G1125" s="41">
        <v>1.2499247095370879E-3</v>
      </c>
      <c r="H1125" s="14">
        <v>7.0591557249752857E-3</v>
      </c>
      <c r="I1125" s="14">
        <v>9.8234928180795933E-3</v>
      </c>
      <c r="J1125" s="14">
        <v>5.2392783839254609E-3</v>
      </c>
      <c r="K1125" s="14">
        <v>4.9731217447508639E-3</v>
      </c>
    </row>
    <row r="1126" spans="2:11" x14ac:dyDescent="0.25">
      <c r="B1126" s="29">
        <v>1118</v>
      </c>
      <c r="C1126" s="30">
        <v>0.8125</v>
      </c>
      <c r="D1126" s="41">
        <v>-7.5413194928734663E-3</v>
      </c>
      <c r="E1126" s="41">
        <v>3.8921635961568946E-2</v>
      </c>
      <c r="F1126" s="41">
        <v>4.9720323182098625E-3</v>
      </c>
      <c r="G1126" s="41">
        <v>8.1799785144251562E-3</v>
      </c>
      <c r="H1126" s="14">
        <v>7.118876447944178E-3</v>
      </c>
      <c r="I1126" s="14">
        <v>9.8368830226882586E-3</v>
      </c>
      <c r="J1126" s="14">
        <v>5.2437075509388364E-3</v>
      </c>
      <c r="K1126" s="14">
        <v>5.0037337831331692E-3</v>
      </c>
    </row>
    <row r="1127" spans="2:11" x14ac:dyDescent="0.25">
      <c r="B1127" s="29">
        <v>1119</v>
      </c>
      <c r="C1127" s="30">
        <v>0.81322674418604646</v>
      </c>
      <c r="D1127" s="41">
        <v>-2.1275922882960145E-2</v>
      </c>
      <c r="E1127" s="41">
        <v>-1.8226858645589594E-2</v>
      </c>
      <c r="F1127" s="41">
        <v>4.5220733706408112E-4</v>
      </c>
      <c r="G1127" s="41">
        <v>-1.4922793378550247E-2</v>
      </c>
      <c r="H1127" s="14">
        <v>7.1738892336898896E-3</v>
      </c>
      <c r="I1127" s="14">
        <v>9.9167722800737046E-3</v>
      </c>
      <c r="J1127" s="14">
        <v>5.2447014399463754E-3</v>
      </c>
      <c r="K1127" s="14">
        <v>5.0047580651490179E-3</v>
      </c>
    </row>
    <row r="1128" spans="2:11" x14ac:dyDescent="0.25">
      <c r="B1128" s="29">
        <v>1120</v>
      </c>
      <c r="C1128" s="30">
        <v>0.81395348837209303</v>
      </c>
      <c r="D1128" s="41">
        <v>-1.4923478543746231E-2</v>
      </c>
      <c r="E1128" s="41">
        <v>-5.852972732990569E-3</v>
      </c>
      <c r="F1128" s="41">
        <v>-5.8443382972745983E-3</v>
      </c>
      <c r="G1128" s="41">
        <v>-4.5920516807999691E-3</v>
      </c>
      <c r="H1128" s="14">
        <v>7.1792562851262787E-3</v>
      </c>
      <c r="I1128" s="14">
        <v>9.9713085783192934E-3</v>
      </c>
      <c r="J1128" s="14">
        <v>5.2478267054454353E-3</v>
      </c>
      <c r="K1128" s="14">
        <v>5.0081545946881745E-3</v>
      </c>
    </row>
    <row r="1129" spans="2:11" x14ac:dyDescent="0.25">
      <c r="B1129" s="29">
        <v>1121</v>
      </c>
      <c r="C1129" s="30">
        <v>0.81468023255813948</v>
      </c>
      <c r="D1129" s="41">
        <v>1.3880906389155937E-2</v>
      </c>
      <c r="E1129" s="41">
        <v>1.9009482412135181E-2</v>
      </c>
      <c r="F1129" s="41">
        <v>1.914306626879192E-3</v>
      </c>
      <c r="G1129" s="41">
        <v>7.1955597544329127E-3</v>
      </c>
      <c r="H1129" s="14">
        <v>7.220316042627184E-3</v>
      </c>
      <c r="I1129" s="14">
        <v>9.9755757479342844E-3</v>
      </c>
      <c r="J1129" s="14">
        <v>5.2529392289082377E-3</v>
      </c>
      <c r="K1129" s="14">
        <v>5.030861133556731E-3</v>
      </c>
    </row>
    <row r="1130" spans="2:11" x14ac:dyDescent="0.25">
      <c r="B1130" s="29">
        <v>1122</v>
      </c>
      <c r="C1130" s="30">
        <v>0.81540697674418605</v>
      </c>
      <c r="D1130" s="41">
        <v>-7.8874802362284887E-3</v>
      </c>
      <c r="E1130" s="41">
        <v>8.114938498845925E-3</v>
      </c>
      <c r="F1130" s="41">
        <v>1.156168128488444E-2</v>
      </c>
      <c r="G1130" s="41">
        <v>1.0344481588195275E-2</v>
      </c>
      <c r="H1130" s="14">
        <v>7.2265976614691585E-3</v>
      </c>
      <c r="I1130" s="14">
        <v>9.981792694520264E-3</v>
      </c>
      <c r="J1130" s="14">
        <v>5.2746759441111291E-3</v>
      </c>
      <c r="K1130" s="14">
        <v>5.1040418230443151E-3</v>
      </c>
    </row>
    <row r="1131" spans="2:11" x14ac:dyDescent="0.25">
      <c r="B1131" s="29">
        <v>1123</v>
      </c>
      <c r="C1131" s="30">
        <v>0.81613372093023251</v>
      </c>
      <c r="D1131" s="41">
        <v>6.811351379927554E-3</v>
      </c>
      <c r="E1131" s="41">
        <v>-6.5280867126989994E-3</v>
      </c>
      <c r="F1131" s="41">
        <v>8.5504189705298828E-4</v>
      </c>
      <c r="G1131" s="41">
        <v>-3.2085963168588362E-3</v>
      </c>
      <c r="H1131" s="14">
        <v>7.2412299696837934E-3</v>
      </c>
      <c r="I1131" s="14">
        <v>9.9977353564149052E-3</v>
      </c>
      <c r="J1131" s="14">
        <v>5.3093259464451759E-3</v>
      </c>
      <c r="K1131" s="14">
        <v>5.1504322965017172E-3</v>
      </c>
    </row>
    <row r="1132" spans="2:11" x14ac:dyDescent="0.25">
      <c r="B1132" s="29">
        <v>1124</v>
      </c>
      <c r="C1132" s="30">
        <v>0.81686046511627908</v>
      </c>
      <c r="D1132" s="41">
        <v>6.889705751001945E-3</v>
      </c>
      <c r="E1132" s="41">
        <v>-8.1681471433364683E-3</v>
      </c>
      <c r="F1132" s="41">
        <v>1.8274227628347628E-3</v>
      </c>
      <c r="G1132" s="41">
        <v>-9.7855682394052852E-3</v>
      </c>
      <c r="H1132" s="14">
        <v>7.3958946702388229E-3</v>
      </c>
      <c r="I1132" s="14">
        <v>1.0011773501886312E-2</v>
      </c>
      <c r="J1132" s="14">
        <v>5.317592437490859E-3</v>
      </c>
      <c r="K1132" s="14">
        <v>5.1895106394608701E-3</v>
      </c>
    </row>
    <row r="1133" spans="2:11" x14ac:dyDescent="0.25">
      <c r="B1133" s="29">
        <v>1125</v>
      </c>
      <c r="C1133" s="30">
        <v>0.81758720930232553</v>
      </c>
      <c r="D1133" s="41">
        <v>-1.883258476617113E-3</v>
      </c>
      <c r="E1133" s="41">
        <v>-1.400755893469019E-2</v>
      </c>
      <c r="F1133" s="41">
        <v>-1.3353617308992538E-2</v>
      </c>
      <c r="G1133" s="41">
        <v>-1.1528747415931618E-2</v>
      </c>
      <c r="H1133" s="14">
        <v>7.4916634044213115E-3</v>
      </c>
      <c r="I1133" s="14">
        <v>1.0044316469079773E-2</v>
      </c>
      <c r="J1133" s="14">
        <v>5.3214234807812399E-3</v>
      </c>
      <c r="K1133" s="14">
        <v>5.2041705031145025E-3</v>
      </c>
    </row>
    <row r="1134" spans="2:11" x14ac:dyDescent="0.25">
      <c r="B1134" s="29">
        <v>1126</v>
      </c>
      <c r="C1134" s="30">
        <v>0.8183139534883721</v>
      </c>
      <c r="D1134" s="41">
        <v>6.5129629692245831E-3</v>
      </c>
      <c r="E1134" s="41">
        <v>-2.1462716174595275E-2</v>
      </c>
      <c r="F1134" s="41">
        <v>-1.1198395453785759E-2</v>
      </c>
      <c r="G1134" s="41">
        <v>-1.3638751145628181E-2</v>
      </c>
      <c r="H1134" s="14">
        <v>7.4996213586511207E-3</v>
      </c>
      <c r="I1134" s="14">
        <v>1.0061843894888067E-2</v>
      </c>
      <c r="J1134" s="14">
        <v>5.3216229259291925E-3</v>
      </c>
      <c r="K1134" s="14">
        <v>5.2215310444724498E-3</v>
      </c>
    </row>
    <row r="1135" spans="2:11" x14ac:dyDescent="0.25">
      <c r="B1135" s="29">
        <v>1127</v>
      </c>
      <c r="C1135" s="30">
        <v>0.81904069767441856</v>
      </c>
      <c r="D1135" s="41">
        <v>-3.8764751116114973E-4</v>
      </c>
      <c r="E1135" s="41">
        <v>8.0707236215371569E-3</v>
      </c>
      <c r="F1135" s="41">
        <v>1.8978509628801987E-3</v>
      </c>
      <c r="G1135" s="41">
        <v>3.1291044048054498E-3</v>
      </c>
      <c r="H1135" s="14">
        <v>7.5643668460843028E-3</v>
      </c>
      <c r="I1135" s="14">
        <v>1.0068765226157073E-2</v>
      </c>
      <c r="J1135" s="14">
        <v>5.3299109274538292E-3</v>
      </c>
      <c r="K1135" s="14">
        <v>5.2579218863110901E-3</v>
      </c>
    </row>
    <row r="1136" spans="2:11" x14ac:dyDescent="0.25">
      <c r="B1136" s="29">
        <v>1128</v>
      </c>
      <c r="C1136" s="30">
        <v>0.81976744186046513</v>
      </c>
      <c r="D1136" s="41">
        <v>2.643578234907957E-3</v>
      </c>
      <c r="E1136" s="41">
        <v>-1.2957950920059913E-2</v>
      </c>
      <c r="F1136" s="41">
        <v>5.2746759441111291E-3</v>
      </c>
      <c r="G1136" s="41">
        <v>-2.7289139203834356E-3</v>
      </c>
      <c r="H1136" s="14">
        <v>7.5767185461128594E-3</v>
      </c>
      <c r="I1136" s="14">
        <v>1.0086902545003218E-2</v>
      </c>
      <c r="J1136" s="14">
        <v>5.3321882412420418E-3</v>
      </c>
      <c r="K1136" s="14">
        <v>5.2604462122336493E-3</v>
      </c>
    </row>
    <row r="1137" spans="2:11" x14ac:dyDescent="0.25">
      <c r="B1137" s="29">
        <v>1129</v>
      </c>
      <c r="C1137" s="30">
        <v>0.82049418604651159</v>
      </c>
      <c r="D1137" s="41">
        <v>5.7445815450898078E-3</v>
      </c>
      <c r="E1137" s="41">
        <v>-3.1295955882352899E-2</v>
      </c>
      <c r="F1137" s="41">
        <v>-1.7368769298632736E-2</v>
      </c>
      <c r="G1137" s="41">
        <v>-2.7479039140248608E-2</v>
      </c>
      <c r="H1137" s="14">
        <v>7.6123731271147133E-3</v>
      </c>
      <c r="I1137" s="14">
        <v>1.0087119252007781E-2</v>
      </c>
      <c r="J1137" s="14">
        <v>5.3357401396105786E-3</v>
      </c>
      <c r="K1137" s="14">
        <v>5.2656364587218459E-3</v>
      </c>
    </row>
    <row r="1138" spans="2:11" x14ac:dyDescent="0.25">
      <c r="B1138" s="29">
        <v>1130</v>
      </c>
      <c r="C1138" s="30">
        <v>0.82122093023255816</v>
      </c>
      <c r="D1138" s="41">
        <v>-3.3351596306853545E-4</v>
      </c>
      <c r="E1138" s="41">
        <v>8.0016446067965319E-3</v>
      </c>
      <c r="F1138" s="41">
        <v>-7.9317323997593059E-3</v>
      </c>
      <c r="G1138" s="41">
        <v>1.4477405404224486E-3</v>
      </c>
      <c r="H1138" s="14">
        <v>7.612663040043266E-3</v>
      </c>
      <c r="I1138" s="14">
        <v>1.0102356327966744E-2</v>
      </c>
      <c r="J1138" s="14">
        <v>5.3376653515895267E-3</v>
      </c>
      <c r="K1138" s="14">
        <v>5.2659578822709776E-3</v>
      </c>
    </row>
    <row r="1139" spans="2:11" x14ac:dyDescent="0.25">
      <c r="B1139" s="29">
        <v>1131</v>
      </c>
      <c r="C1139" s="30">
        <v>0.82194767441860461</v>
      </c>
      <c r="D1139" s="41">
        <v>8.4978157682392818E-3</v>
      </c>
      <c r="E1139" s="41">
        <v>2.4402679509907044E-2</v>
      </c>
      <c r="F1139" s="41">
        <v>-1.0179219232226977E-2</v>
      </c>
      <c r="G1139" s="41">
        <v>5.614451890226491E-3</v>
      </c>
      <c r="H1139" s="14">
        <v>7.6385005664296735E-3</v>
      </c>
      <c r="I1139" s="14">
        <v>1.0119620514230654E-2</v>
      </c>
      <c r="J1139" s="14">
        <v>5.3608942916634206E-3</v>
      </c>
      <c r="K1139" s="14">
        <v>5.2957987056484919E-3</v>
      </c>
    </row>
    <row r="1140" spans="2:11" x14ac:dyDescent="0.25">
      <c r="B1140" s="29">
        <v>1132</v>
      </c>
      <c r="C1140" s="30">
        <v>0.82267441860465118</v>
      </c>
      <c r="D1140" s="41">
        <v>-6.0844987410127709E-3</v>
      </c>
      <c r="E1140" s="41">
        <v>0</v>
      </c>
      <c r="F1140" s="41">
        <v>0</v>
      </c>
      <c r="G1140" s="41">
        <v>0</v>
      </c>
      <c r="H1140" s="14">
        <v>7.6425707237870455E-3</v>
      </c>
      <c r="I1140" s="14">
        <v>1.0150174077217633E-2</v>
      </c>
      <c r="J1140" s="14">
        <v>5.3650765530557365E-3</v>
      </c>
      <c r="K1140" s="14">
        <v>5.3036556092791905E-3</v>
      </c>
    </row>
    <row r="1141" spans="2:11" x14ac:dyDescent="0.25">
      <c r="B1141" s="29">
        <v>1133</v>
      </c>
      <c r="C1141" s="30">
        <v>0.82340116279069764</v>
      </c>
      <c r="D1141" s="41">
        <v>-7.9832474723811869E-3</v>
      </c>
      <c r="E1141" s="41">
        <v>7.0598865211299877E-3</v>
      </c>
      <c r="F1141" s="41">
        <v>-5.8136405232275257E-3</v>
      </c>
      <c r="G1141" s="41">
        <v>5.0037337831331692E-3</v>
      </c>
      <c r="H1141" s="14">
        <v>7.6867048856954501E-3</v>
      </c>
      <c r="I1141" s="14">
        <v>1.0282449477824418E-2</v>
      </c>
      <c r="J1141" s="14">
        <v>5.4178731837901672E-3</v>
      </c>
      <c r="K1141" s="14">
        <v>5.3381129847309703E-3</v>
      </c>
    </row>
    <row r="1142" spans="2:11" x14ac:dyDescent="0.25">
      <c r="B1142" s="29">
        <v>1134</v>
      </c>
      <c r="C1142" s="30">
        <v>0.82412790697674421</v>
      </c>
      <c r="D1142" s="41">
        <v>-1.1406436481621582E-2</v>
      </c>
      <c r="E1142" s="41">
        <v>1.0439556261832905E-2</v>
      </c>
      <c r="F1142" s="41">
        <v>-1.8268765783676644E-3</v>
      </c>
      <c r="G1142" s="41">
        <v>7.9322011100660048E-3</v>
      </c>
      <c r="H1142" s="14">
        <v>7.7062556663645143E-3</v>
      </c>
      <c r="I1142" s="14">
        <v>1.0348214761625396E-2</v>
      </c>
      <c r="J1142" s="14">
        <v>5.4387614094530967E-3</v>
      </c>
      <c r="K1142" s="14">
        <v>5.3631324224233442E-3</v>
      </c>
    </row>
    <row r="1143" spans="2:11" x14ac:dyDescent="0.25">
      <c r="B1143" s="29">
        <v>1135</v>
      </c>
      <c r="C1143" s="30">
        <v>0.82485465116279066</v>
      </c>
      <c r="D1143" s="41">
        <v>1.6211795753781896E-2</v>
      </c>
      <c r="E1143" s="41">
        <v>3.9882009451284173E-3</v>
      </c>
      <c r="F1143" s="41">
        <v>5.2392783839254609E-3</v>
      </c>
      <c r="G1143" s="41">
        <v>3.8960235690292948E-3</v>
      </c>
      <c r="H1143" s="14">
        <v>7.7410117010090485E-3</v>
      </c>
      <c r="I1143" s="14">
        <v>1.0349838726828153E-2</v>
      </c>
      <c r="J1143" s="14">
        <v>5.4589051579001513E-3</v>
      </c>
      <c r="K1143" s="14">
        <v>5.3701723249819158E-3</v>
      </c>
    </row>
    <row r="1144" spans="2:11" x14ac:dyDescent="0.25">
      <c r="B1144" s="29">
        <v>1136</v>
      </c>
      <c r="C1144" s="30">
        <v>0.82558139534883723</v>
      </c>
      <c r="D1144" s="41">
        <v>-4.2746899955736304E-3</v>
      </c>
      <c r="E1144" s="41">
        <v>-1.04480520453899E-2</v>
      </c>
      <c r="F1144" s="41">
        <v>-1.4006497310539379E-2</v>
      </c>
      <c r="G1144" s="41">
        <v>-7.9640884470020719E-3</v>
      </c>
      <c r="H1144" s="14">
        <v>7.7595360614228781E-3</v>
      </c>
      <c r="I1144" s="14">
        <v>1.0439556261832905E-2</v>
      </c>
      <c r="J1144" s="14">
        <v>5.467545542495289E-3</v>
      </c>
      <c r="K1144" s="14">
        <v>5.3726069247285405E-3</v>
      </c>
    </row>
    <row r="1145" spans="2:11" x14ac:dyDescent="0.25">
      <c r="B1145" s="29">
        <v>1137</v>
      </c>
      <c r="C1145" s="30">
        <v>0.82630813953488369</v>
      </c>
      <c r="D1145" s="41">
        <v>2.9417841453521941E-3</v>
      </c>
      <c r="E1145" s="41">
        <v>0</v>
      </c>
      <c r="F1145" s="41">
        <v>0</v>
      </c>
      <c r="G1145" s="41">
        <v>0</v>
      </c>
      <c r="H1145" s="14">
        <v>7.7770087592303749E-3</v>
      </c>
      <c r="I1145" s="14">
        <v>1.0449478786046074E-2</v>
      </c>
      <c r="J1145" s="14">
        <v>5.4983190231943091E-3</v>
      </c>
      <c r="K1145" s="14">
        <v>5.3995841000032746E-3</v>
      </c>
    </row>
    <row r="1146" spans="2:11" x14ac:dyDescent="0.25">
      <c r="B1146" s="29">
        <v>1138</v>
      </c>
      <c r="C1146" s="30">
        <v>0.82703488372093026</v>
      </c>
      <c r="D1146" s="41">
        <v>-6.936877188833874E-3</v>
      </c>
      <c r="E1146" s="41">
        <v>-2.8031932620353306E-2</v>
      </c>
      <c r="F1146" s="41">
        <v>-9.0769961475540839E-3</v>
      </c>
      <c r="G1146" s="41">
        <v>-2.7904140663284817E-2</v>
      </c>
      <c r="H1146" s="14">
        <v>7.7909330715906222E-3</v>
      </c>
      <c r="I1146" s="14">
        <v>1.0484909371329953E-2</v>
      </c>
      <c r="J1146" s="14">
        <v>5.4992452016391358E-3</v>
      </c>
      <c r="K1146" s="14">
        <v>5.4093695797899251E-3</v>
      </c>
    </row>
    <row r="1147" spans="2:11" x14ac:dyDescent="0.25">
      <c r="B1147" s="29">
        <v>1139</v>
      </c>
      <c r="C1147" s="30">
        <v>0.82776162790697672</v>
      </c>
      <c r="D1147" s="41">
        <v>6.8390585020489669E-3</v>
      </c>
      <c r="E1147" s="41">
        <v>5.0098576293375441E-2</v>
      </c>
      <c r="F1147" s="41">
        <v>1.7445548741805705E-3</v>
      </c>
      <c r="G1147" s="41">
        <v>3.9276891730934647E-2</v>
      </c>
      <c r="H1147" s="14">
        <v>7.8053335449110861E-3</v>
      </c>
      <c r="I1147" s="14">
        <v>1.0488887024197924E-2</v>
      </c>
      <c r="J1147" s="14">
        <v>5.5030503145299114E-3</v>
      </c>
      <c r="K1147" s="14">
        <v>5.4365365250626848E-3</v>
      </c>
    </row>
    <row r="1148" spans="2:11" x14ac:dyDescent="0.25">
      <c r="B1148" s="29">
        <v>1140</v>
      </c>
      <c r="C1148" s="30">
        <v>0.82848837209302328</v>
      </c>
      <c r="D1148" s="41">
        <v>-3.5948817729863696E-3</v>
      </c>
      <c r="E1148" s="41">
        <v>-1.0552405829796108E-2</v>
      </c>
      <c r="F1148" s="41">
        <v>1.2703789964005896E-3</v>
      </c>
      <c r="G1148" s="41">
        <v>-1.2589483012973624E-2</v>
      </c>
      <c r="H1148" s="14">
        <v>7.8092186114524509E-3</v>
      </c>
      <c r="I1148" s="14">
        <v>1.0568528947634936E-2</v>
      </c>
      <c r="J1148" s="14">
        <v>5.5169334375133605E-3</v>
      </c>
      <c r="K1148" s="14">
        <v>5.4395188641767301E-3</v>
      </c>
    </row>
    <row r="1149" spans="2:11" x14ac:dyDescent="0.25">
      <c r="B1149" s="29">
        <v>1141</v>
      </c>
      <c r="C1149" s="30">
        <v>0.82921511627906974</v>
      </c>
      <c r="D1149" s="41">
        <v>-4.4853065839863104E-3</v>
      </c>
      <c r="E1149" s="41">
        <v>-2.6242368788156112E-2</v>
      </c>
      <c r="F1149" s="41">
        <v>-7.4081857825880615E-3</v>
      </c>
      <c r="G1149" s="41">
        <v>-2.1037044257724347E-2</v>
      </c>
      <c r="H1149" s="14">
        <v>7.948004080400306E-3</v>
      </c>
      <c r="I1149" s="14">
        <v>1.0612444152012568E-2</v>
      </c>
      <c r="J1149" s="14">
        <v>5.5283551674467635E-3</v>
      </c>
      <c r="K1149" s="14">
        <v>5.4487033621107191E-3</v>
      </c>
    </row>
    <row r="1150" spans="2:11" x14ac:dyDescent="0.25">
      <c r="B1150" s="29">
        <v>1142</v>
      </c>
      <c r="C1150" s="30">
        <v>0.82994186046511631</v>
      </c>
      <c r="D1150" s="41">
        <v>-1.6794419385383009E-3</v>
      </c>
      <c r="E1150" s="41">
        <v>-1.9178187699773197E-3</v>
      </c>
      <c r="F1150" s="41">
        <v>1.8950360583249726E-3</v>
      </c>
      <c r="G1150" s="41">
        <v>1.8599826132223998E-3</v>
      </c>
      <c r="H1150" s="14">
        <v>7.9543902772090114E-3</v>
      </c>
      <c r="I1150" s="14">
        <v>1.0614016488519118E-2</v>
      </c>
      <c r="J1150" s="14">
        <v>5.5754567098613705E-3</v>
      </c>
      <c r="K1150" s="14">
        <v>5.4731726154928937E-3</v>
      </c>
    </row>
    <row r="1151" spans="2:11" x14ac:dyDescent="0.25">
      <c r="B1151" s="29">
        <v>1143</v>
      </c>
      <c r="C1151" s="30">
        <v>0.83066860465116277</v>
      </c>
      <c r="D1151" s="41">
        <v>-1.123250131781889E-2</v>
      </c>
      <c r="E1151" s="41">
        <v>3.8121402003303828E-3</v>
      </c>
      <c r="F1151" s="41">
        <v>9.8341484159047976E-3</v>
      </c>
      <c r="G1151" s="41">
        <v>6.7037592859005906E-3</v>
      </c>
      <c r="H1151" s="14">
        <v>7.9985501729948894E-3</v>
      </c>
      <c r="I1151" s="14">
        <v>1.0627769889419492E-2</v>
      </c>
      <c r="J1151" s="14">
        <v>5.587557603686788E-3</v>
      </c>
      <c r="K1151" s="14">
        <v>5.5058843354711222E-3</v>
      </c>
    </row>
    <row r="1152" spans="2:11" x14ac:dyDescent="0.25">
      <c r="B1152" s="29">
        <v>1144</v>
      </c>
      <c r="C1152" s="30">
        <v>0.83139534883720934</v>
      </c>
      <c r="D1152" s="41">
        <v>-2.6290691346024953E-3</v>
      </c>
      <c r="E1152" s="41">
        <v>9.5864083640837539E-3</v>
      </c>
      <c r="F1152" s="41">
        <v>-1.5944724953509404E-4</v>
      </c>
      <c r="G1152" s="41">
        <v>1.215318729617876E-2</v>
      </c>
      <c r="H1152" s="14">
        <v>8.0198335931485065E-3</v>
      </c>
      <c r="I1152" s="14">
        <v>1.0633458920862537E-2</v>
      </c>
      <c r="J1152" s="14">
        <v>5.5878284923926991E-3</v>
      </c>
      <c r="K1152" s="14">
        <v>5.5063759311167366E-3</v>
      </c>
    </row>
    <row r="1153" spans="2:11" x14ac:dyDescent="0.25">
      <c r="B1153" s="29">
        <v>1145</v>
      </c>
      <c r="C1153" s="30">
        <v>0.83212209302325579</v>
      </c>
      <c r="D1153" s="41">
        <v>-9.983101377127818E-4</v>
      </c>
      <c r="E1153" s="41">
        <v>1.0348214761625396E-2</v>
      </c>
      <c r="F1153" s="41">
        <v>-9.632592904516124E-3</v>
      </c>
      <c r="G1153" s="41">
        <v>3.153869982362046E-3</v>
      </c>
      <c r="H1153" s="14">
        <v>8.0301838064686937E-3</v>
      </c>
      <c r="I1153" s="14">
        <v>1.0654131850939219E-2</v>
      </c>
      <c r="J1153" s="14">
        <v>5.6534923163900075E-3</v>
      </c>
      <c r="K1153" s="14">
        <v>5.5677595826628679E-3</v>
      </c>
    </row>
    <row r="1154" spans="2:11" x14ac:dyDescent="0.25">
      <c r="B1154" s="29">
        <v>1146</v>
      </c>
      <c r="C1154" s="30">
        <v>0.83284883720930236</v>
      </c>
      <c r="D1154" s="41">
        <v>6.4761839054474739E-3</v>
      </c>
      <c r="E1154" s="41">
        <v>-6.2629064106235477E-3</v>
      </c>
      <c r="F1154" s="41">
        <v>1.2121212121212199E-3</v>
      </c>
      <c r="G1154" s="41">
        <v>8.8631516711330949E-3</v>
      </c>
      <c r="H1154" s="14">
        <v>8.10552593460101E-3</v>
      </c>
      <c r="I1154" s="14">
        <v>1.0671320567297693E-2</v>
      </c>
      <c r="J1154" s="14">
        <v>5.6626192030317934E-3</v>
      </c>
      <c r="K1154" s="14">
        <v>5.5868971223680839E-3</v>
      </c>
    </row>
    <row r="1155" spans="2:11" x14ac:dyDescent="0.25">
      <c r="B1155" s="29">
        <v>1147</v>
      </c>
      <c r="C1155" s="30">
        <v>0.83357558139534882</v>
      </c>
      <c r="D1155" s="41">
        <v>5.1005869978896536E-3</v>
      </c>
      <c r="E1155" s="41">
        <v>-1.7443403738959251E-4</v>
      </c>
      <c r="F1155" s="41">
        <v>7.2190668294493943E-3</v>
      </c>
      <c r="G1155" s="41">
        <v>1.3740397509340418E-3</v>
      </c>
      <c r="H1155" s="14">
        <v>8.12737931377705E-3</v>
      </c>
      <c r="I1155" s="14">
        <v>1.0702522221720745E-2</v>
      </c>
      <c r="J1155" s="14">
        <v>5.6808780541615089E-3</v>
      </c>
      <c r="K1155" s="14">
        <v>5.614451890226491E-3</v>
      </c>
    </row>
    <row r="1156" spans="2:11" x14ac:dyDescent="0.25">
      <c r="B1156" s="29">
        <v>1148</v>
      </c>
      <c r="C1156" s="30">
        <v>0.83430232558139539</v>
      </c>
      <c r="D1156" s="41">
        <v>8.3633986128385067E-3</v>
      </c>
      <c r="E1156" s="41">
        <v>6.432429152254393E-3</v>
      </c>
      <c r="F1156" s="41">
        <v>1.1159528111384098E-3</v>
      </c>
      <c r="G1156" s="41">
        <v>1.2280124115357615E-3</v>
      </c>
      <c r="H1156" s="14">
        <v>8.2963234108568429E-3</v>
      </c>
      <c r="I1156" s="14">
        <v>1.0722840781749454E-2</v>
      </c>
      <c r="J1156" s="14">
        <v>5.6837454746152538E-3</v>
      </c>
      <c r="K1156" s="14">
        <v>5.6307451442787699E-3</v>
      </c>
    </row>
    <row r="1157" spans="2:11" x14ac:dyDescent="0.25">
      <c r="B1157" s="29">
        <v>1149</v>
      </c>
      <c r="C1157" s="30">
        <v>0.83502906976744184</v>
      </c>
      <c r="D1157" s="41">
        <v>1.7599638169349043E-2</v>
      </c>
      <c r="E1157" s="41">
        <v>2.1254145312028516E-3</v>
      </c>
      <c r="F1157" s="41">
        <v>1.1285468615648941E-2</v>
      </c>
      <c r="G1157" s="41">
        <v>-1.2718004567467303E-3</v>
      </c>
      <c r="H1157" s="14">
        <v>8.3562681983166964E-3</v>
      </c>
      <c r="I1157" s="14">
        <v>1.0783010546976834E-2</v>
      </c>
      <c r="J1157" s="14">
        <v>5.6988174953696014E-3</v>
      </c>
      <c r="K1157" s="14">
        <v>5.6377970416878753E-3</v>
      </c>
    </row>
    <row r="1158" spans="2:11" x14ac:dyDescent="0.25">
      <c r="B1158" s="29">
        <v>1150</v>
      </c>
      <c r="C1158" s="30">
        <v>0.83575581395348841</v>
      </c>
      <c r="D1158" s="41">
        <v>5.6112180687516774E-3</v>
      </c>
      <c r="E1158" s="41">
        <v>1.3800935605661868E-2</v>
      </c>
      <c r="F1158" s="41">
        <v>-1.4928533615669481E-2</v>
      </c>
      <c r="G1158" s="41">
        <v>-2.1787599539697662E-3</v>
      </c>
      <c r="H1158" s="14">
        <v>8.3764006764339705E-3</v>
      </c>
      <c r="I1158" s="14">
        <v>1.0784441831090064E-2</v>
      </c>
      <c r="J1158" s="14">
        <v>5.7027595788965435E-3</v>
      </c>
      <c r="K1158" s="14">
        <v>5.6639720184811461E-3</v>
      </c>
    </row>
    <row r="1159" spans="2:11" x14ac:dyDescent="0.25">
      <c r="B1159" s="29">
        <v>1151</v>
      </c>
      <c r="C1159" s="30">
        <v>0.83648255813953487</v>
      </c>
      <c r="D1159" s="41">
        <v>7.2043316723004285E-3</v>
      </c>
      <c r="E1159" s="41">
        <v>-4.0282795611178424E-3</v>
      </c>
      <c r="F1159" s="41">
        <v>1.0052400812747164E-2</v>
      </c>
      <c r="G1159" s="41">
        <v>4.6605597410383833E-3</v>
      </c>
      <c r="H1159" s="14">
        <v>8.3848164673174796E-3</v>
      </c>
      <c r="I1159" s="14">
        <v>1.0786087655810128E-2</v>
      </c>
      <c r="J1159" s="14">
        <v>5.7611402870973993E-3</v>
      </c>
      <c r="K1159" s="14">
        <v>5.7102474066738742E-3</v>
      </c>
    </row>
    <row r="1160" spans="2:11" x14ac:dyDescent="0.25">
      <c r="B1160" s="29">
        <v>1152</v>
      </c>
      <c r="C1160" s="30">
        <v>0.83720930232558144</v>
      </c>
      <c r="D1160" s="41">
        <v>-2.5034975030539672E-4</v>
      </c>
      <c r="E1160" s="41">
        <v>2.6814843505595931E-4</v>
      </c>
      <c r="F1160" s="41">
        <v>-2.6727962794670379E-4</v>
      </c>
      <c r="G1160" s="41">
        <v>4.4714275248709748E-3</v>
      </c>
      <c r="H1160" s="14">
        <v>8.3960606884261324E-3</v>
      </c>
      <c r="I1160" s="14">
        <v>1.0817367021839441E-2</v>
      </c>
      <c r="J1160" s="14">
        <v>5.8243306812197915E-3</v>
      </c>
      <c r="K1160" s="14">
        <v>5.7123072094785073E-3</v>
      </c>
    </row>
    <row r="1161" spans="2:11" x14ac:dyDescent="0.25">
      <c r="B1161" s="29">
        <v>1153</v>
      </c>
      <c r="C1161" s="30">
        <v>0.8379360465116279</v>
      </c>
      <c r="D1161" s="41">
        <v>7.1431941277560606E-4</v>
      </c>
      <c r="E1161" s="41">
        <v>1.3031498994712898E-2</v>
      </c>
      <c r="F1161" s="41">
        <v>-4.1522491349481605E-3</v>
      </c>
      <c r="G1161" s="41">
        <v>9.2489069878144651E-3</v>
      </c>
      <c r="H1161" s="14">
        <v>8.4302767633723796E-3</v>
      </c>
      <c r="I1161" s="14">
        <v>1.0824898082563372E-2</v>
      </c>
      <c r="J1161" s="14">
        <v>5.831470502478453E-3</v>
      </c>
      <c r="K1161" s="14">
        <v>5.7347834301701541E-3</v>
      </c>
    </row>
    <row r="1162" spans="2:11" x14ac:dyDescent="0.25">
      <c r="B1162" s="29">
        <v>1154</v>
      </c>
      <c r="C1162" s="30">
        <v>0.83866279069767447</v>
      </c>
      <c r="D1162" s="41">
        <v>8.077855844535204E-3</v>
      </c>
      <c r="E1162" s="41">
        <v>2.8668038812114105E-3</v>
      </c>
      <c r="F1162" s="41">
        <v>1.7771035379530842E-2</v>
      </c>
      <c r="G1162" s="41">
        <v>5.9407933016977221E-3</v>
      </c>
      <c r="H1162" s="14">
        <v>8.4419309892631578E-3</v>
      </c>
      <c r="I1162" s="14">
        <v>1.0892091185117359E-2</v>
      </c>
      <c r="J1162" s="14">
        <v>5.8981701294011923E-3</v>
      </c>
      <c r="K1162" s="14">
        <v>5.7395532577984689E-3</v>
      </c>
    </row>
    <row r="1163" spans="2:11" x14ac:dyDescent="0.25">
      <c r="B1163" s="29">
        <v>1155</v>
      </c>
      <c r="C1163" s="30">
        <v>0.83938953488372092</v>
      </c>
      <c r="D1163" s="41">
        <v>3.4149079415047323E-3</v>
      </c>
      <c r="E1163" s="41">
        <v>-4.9769112365315449E-3</v>
      </c>
      <c r="F1163" s="41">
        <v>2.9343041895342203E-3</v>
      </c>
      <c r="G1163" s="41">
        <v>-5.7526308814716213E-3</v>
      </c>
      <c r="H1163" s="14">
        <v>8.4439083232812351E-3</v>
      </c>
      <c r="I1163" s="14">
        <v>1.089887147060109E-2</v>
      </c>
      <c r="J1163" s="14">
        <v>5.9008280194157159E-3</v>
      </c>
      <c r="K1163" s="14">
        <v>5.7506323982080779E-3</v>
      </c>
    </row>
    <row r="1164" spans="2:11" x14ac:dyDescent="0.25">
      <c r="B1164" s="29">
        <v>1156</v>
      </c>
      <c r="C1164" s="30">
        <v>0.84011627906976749</v>
      </c>
      <c r="D1164" s="41">
        <v>1.5306156959604035E-2</v>
      </c>
      <c r="E1164" s="41">
        <v>-1.8858056294244196E-3</v>
      </c>
      <c r="F1164" s="41">
        <v>-1.9523835348989049E-3</v>
      </c>
      <c r="G1164" s="41">
        <v>8.9580803518041186E-5</v>
      </c>
      <c r="H1164" s="14">
        <v>8.468234113472306E-3</v>
      </c>
      <c r="I1164" s="14">
        <v>1.0910544195031013E-2</v>
      </c>
      <c r="J1164" s="14">
        <v>5.9018182457435397E-3</v>
      </c>
      <c r="K1164" s="14">
        <v>5.7520277242667731E-3</v>
      </c>
    </row>
    <row r="1165" spans="2:11" x14ac:dyDescent="0.25">
      <c r="B1165" s="29">
        <v>1157</v>
      </c>
      <c r="C1165" s="30">
        <v>0.84084302325581395</v>
      </c>
      <c r="D1165" s="41">
        <v>-7.5980849136100977E-4</v>
      </c>
      <c r="E1165" s="41">
        <v>6.8046791394515971E-3</v>
      </c>
      <c r="F1165" s="41">
        <v>3.8107681419783379E-3</v>
      </c>
      <c r="G1165" s="41">
        <v>7.2365415210253756E-3</v>
      </c>
      <c r="H1165" s="14">
        <v>8.4799118561367237E-3</v>
      </c>
      <c r="I1165" s="14">
        <v>1.0960570328073738E-2</v>
      </c>
      <c r="J1165" s="14">
        <v>5.9150136578971502E-3</v>
      </c>
      <c r="K1165" s="14">
        <v>5.7544179526254798E-3</v>
      </c>
    </row>
    <row r="1166" spans="2:11" x14ac:dyDescent="0.25">
      <c r="B1166" s="29">
        <v>1158</v>
      </c>
      <c r="C1166" s="30">
        <v>0.84156976744186052</v>
      </c>
      <c r="D1166" s="41">
        <v>-9.8047159832837429E-3</v>
      </c>
      <c r="E1166" s="41">
        <v>6.9052977268226901E-3</v>
      </c>
      <c r="F1166" s="41">
        <v>-6.5440778799351618E-3</v>
      </c>
      <c r="G1166" s="41">
        <v>-4.9058174966968293E-3</v>
      </c>
      <c r="H1166" s="14">
        <v>8.502672993151883E-3</v>
      </c>
      <c r="I1166" s="14">
        <v>1.0985510225053785E-2</v>
      </c>
      <c r="J1166" s="14">
        <v>5.9516974131494926E-3</v>
      </c>
      <c r="K1166" s="14">
        <v>5.755947833237852E-3</v>
      </c>
    </row>
    <row r="1167" spans="2:11" x14ac:dyDescent="0.25">
      <c r="B1167" s="29">
        <v>1159</v>
      </c>
      <c r="C1167" s="30">
        <v>0.84229651162790697</v>
      </c>
      <c r="D1167" s="41">
        <v>5.355460919775683E-3</v>
      </c>
      <c r="E1167" s="41">
        <v>-5.6203088257776868E-3</v>
      </c>
      <c r="F1167" s="41">
        <v>-5.8605301360287188E-3</v>
      </c>
      <c r="G1167" s="41">
        <v>-1.2489761360143636E-2</v>
      </c>
      <c r="H1167" s="14">
        <v>8.5382162706719722E-3</v>
      </c>
      <c r="I1167" s="14">
        <v>1.101727965440702E-2</v>
      </c>
      <c r="J1167" s="14">
        <v>5.9665871121719061E-3</v>
      </c>
      <c r="K1167" s="14">
        <v>5.7642984325074753E-3</v>
      </c>
    </row>
    <row r="1168" spans="2:11" x14ac:dyDescent="0.25">
      <c r="B1168" s="29">
        <v>1160</v>
      </c>
      <c r="C1168" s="30">
        <v>0.84302325581395354</v>
      </c>
      <c r="D1168" s="41">
        <v>4.1670616786228746E-3</v>
      </c>
      <c r="E1168" s="41">
        <v>5.4617203687028493E-3</v>
      </c>
      <c r="F1168" s="41">
        <v>-1.0954533368784936E-2</v>
      </c>
      <c r="G1168" s="41">
        <v>-1.9232389288500904E-3</v>
      </c>
      <c r="H1168" s="14">
        <v>8.583690987124637E-3</v>
      </c>
      <c r="I1168" s="14">
        <v>1.1081178974057027E-2</v>
      </c>
      <c r="J1168" s="14">
        <v>5.9697998361232241E-3</v>
      </c>
      <c r="K1168" s="14">
        <v>5.776829183418597E-3</v>
      </c>
    </row>
    <row r="1169" spans="2:11" x14ac:dyDescent="0.25">
      <c r="B1169" s="29">
        <v>1161</v>
      </c>
      <c r="C1169" s="30">
        <v>0.84375</v>
      </c>
      <c r="D1169" s="41">
        <v>-3.3597258355096155E-3</v>
      </c>
      <c r="E1169" s="41">
        <v>-1.7468489001186915E-2</v>
      </c>
      <c r="F1169" s="41">
        <v>7.3927251299084062E-3</v>
      </c>
      <c r="G1169" s="41">
        <v>6.5487030664535288E-5</v>
      </c>
      <c r="H1169" s="14">
        <v>8.6294416243655192E-3</v>
      </c>
      <c r="I1169" s="14">
        <v>1.1085438008360704E-2</v>
      </c>
      <c r="J1169" s="14">
        <v>5.9729604123737179E-3</v>
      </c>
      <c r="K1169" s="14">
        <v>5.7821198862054064E-3</v>
      </c>
    </row>
    <row r="1170" spans="2:11" x14ac:dyDescent="0.25">
      <c r="B1170" s="29">
        <v>1162</v>
      </c>
      <c r="C1170" s="30">
        <v>0.84447674418604646</v>
      </c>
      <c r="D1170" s="41">
        <v>1.465499674069249E-2</v>
      </c>
      <c r="E1170" s="41">
        <v>3.5795277691317295E-3</v>
      </c>
      <c r="F1170" s="41">
        <v>-7.0744680851064778E-3</v>
      </c>
      <c r="G1170" s="41">
        <v>9.6292892806477699E-4</v>
      </c>
      <c r="H1170" s="14">
        <v>8.7182378476728939E-3</v>
      </c>
      <c r="I1170" s="14">
        <v>1.1096208673218699E-2</v>
      </c>
      <c r="J1170" s="14">
        <v>6.0050568900125167E-3</v>
      </c>
      <c r="K1170" s="14">
        <v>5.792063639985745E-3</v>
      </c>
    </row>
    <row r="1171" spans="2:11" x14ac:dyDescent="0.25">
      <c r="B1171" s="29">
        <v>1163</v>
      </c>
      <c r="C1171" s="30">
        <v>0.84520348837209303</v>
      </c>
      <c r="D1171" s="41">
        <v>-9.3846143129345111E-3</v>
      </c>
      <c r="E1171" s="41">
        <v>-1.5064578302576015E-3</v>
      </c>
      <c r="F1171" s="41">
        <v>9.1792366740031106E-3</v>
      </c>
      <c r="G1171" s="41">
        <v>2.3317615048036536E-3</v>
      </c>
      <c r="H1171" s="14">
        <v>8.7540122556168942E-3</v>
      </c>
      <c r="I1171" s="14">
        <v>1.1175454637813553E-2</v>
      </c>
      <c r="J1171" s="14">
        <v>6.0167130919221989E-3</v>
      </c>
      <c r="K1171" s="14">
        <v>5.8754772118077897E-3</v>
      </c>
    </row>
    <row r="1172" spans="2:11" x14ac:dyDescent="0.25">
      <c r="B1172" s="29">
        <v>1164</v>
      </c>
      <c r="C1172" s="30">
        <v>0.84593023255813948</v>
      </c>
      <c r="D1172" s="41">
        <v>-5.8577702534151057E-3</v>
      </c>
      <c r="E1172" s="41">
        <v>-8.4089547602672621E-3</v>
      </c>
      <c r="F1172" s="41">
        <v>-1.233111730645442E-3</v>
      </c>
      <c r="G1172" s="41">
        <v>-1.4037971835616058E-3</v>
      </c>
      <c r="H1172" s="14">
        <v>8.7627007472619312E-3</v>
      </c>
      <c r="I1172" s="14">
        <v>1.118893571555768E-2</v>
      </c>
      <c r="J1172" s="14">
        <v>6.0199909132214735E-3</v>
      </c>
      <c r="K1172" s="14">
        <v>5.9167855553705195E-3</v>
      </c>
    </row>
    <row r="1173" spans="2:11" x14ac:dyDescent="0.25">
      <c r="B1173" s="29">
        <v>1165</v>
      </c>
      <c r="C1173" s="30">
        <v>0.84665697674418605</v>
      </c>
      <c r="D1173" s="41">
        <v>5.6882070795435851E-3</v>
      </c>
      <c r="E1173" s="41">
        <v>-6.2427280050120215E-3</v>
      </c>
      <c r="F1173" s="41">
        <v>1.5130075106128293E-2</v>
      </c>
      <c r="G1173" s="41">
        <v>-6.2193452929739648E-4</v>
      </c>
      <c r="H1173" s="14">
        <v>8.7686436808556145E-3</v>
      </c>
      <c r="I1173" s="14">
        <v>1.1189965798802604E-2</v>
      </c>
      <c r="J1173" s="14">
        <v>6.0346913319515583E-3</v>
      </c>
      <c r="K1173" s="14">
        <v>5.9183002817683851E-3</v>
      </c>
    </row>
    <row r="1174" spans="2:11" x14ac:dyDescent="0.25">
      <c r="B1174" s="29">
        <v>1166</v>
      </c>
      <c r="C1174" s="30">
        <v>0.84738372093023251</v>
      </c>
      <c r="D1174" s="41">
        <v>8.4414764500589327E-3</v>
      </c>
      <c r="E1174" s="41">
        <v>-1.3336935882136802E-2</v>
      </c>
      <c r="F1174" s="41">
        <v>-6.0586389700315602E-3</v>
      </c>
      <c r="G1174" s="41">
        <v>-1.0855437416650449E-2</v>
      </c>
      <c r="H1174" s="14">
        <v>8.8105681587109519E-3</v>
      </c>
      <c r="I1174" s="14">
        <v>1.1203543573513386E-2</v>
      </c>
      <c r="J1174" s="14">
        <v>6.047811947281545E-3</v>
      </c>
      <c r="K1174" s="14">
        <v>5.9294445134137064E-3</v>
      </c>
    </row>
    <row r="1175" spans="2:11" x14ac:dyDescent="0.25">
      <c r="B1175" s="29">
        <v>1167</v>
      </c>
      <c r="C1175" s="30">
        <v>0.84811046511627908</v>
      </c>
      <c r="D1175" s="41">
        <v>3.4927182027263957E-3</v>
      </c>
      <c r="E1175" s="41">
        <v>1.1828513182516653E-2</v>
      </c>
      <c r="F1175" s="41">
        <v>-5.8083252662148865E-3</v>
      </c>
      <c r="G1175" s="41">
        <v>5.4365365250626848E-3</v>
      </c>
      <c r="H1175" s="14">
        <v>8.8266784735151482E-3</v>
      </c>
      <c r="I1175" s="14">
        <v>1.1248154876802641E-2</v>
      </c>
      <c r="J1175" s="14">
        <v>6.0875287923660704E-3</v>
      </c>
      <c r="K1175" s="14">
        <v>5.9407933016977221E-3</v>
      </c>
    </row>
    <row r="1176" spans="2:11" x14ac:dyDescent="0.25">
      <c r="B1176" s="29">
        <v>1168</v>
      </c>
      <c r="C1176" s="30">
        <v>0.84883720930232553</v>
      </c>
      <c r="D1176" s="41">
        <v>-5.7585522760148613E-3</v>
      </c>
      <c r="E1176" s="41">
        <v>-8.6530293120428148E-3</v>
      </c>
      <c r="F1176" s="41">
        <v>9.1723202170963525E-3</v>
      </c>
      <c r="G1176" s="41">
        <v>-6.581746229738129E-3</v>
      </c>
      <c r="H1176" s="14">
        <v>8.9153046062406816E-3</v>
      </c>
      <c r="I1176" s="14">
        <v>1.127346562527265E-2</v>
      </c>
      <c r="J1176" s="14">
        <v>6.1088920295444549E-3</v>
      </c>
      <c r="K1176" s="14">
        <v>5.9686792756585838E-3</v>
      </c>
    </row>
    <row r="1177" spans="2:11" x14ac:dyDescent="0.25">
      <c r="B1177" s="29">
        <v>1169</v>
      </c>
      <c r="C1177" s="30">
        <v>0.8495639534883721</v>
      </c>
      <c r="D1177" s="41">
        <v>-1.8817321101175103E-3</v>
      </c>
      <c r="E1177" s="41">
        <v>-2.1840353085709197E-3</v>
      </c>
      <c r="F1177" s="41">
        <v>2.9940119760478723E-3</v>
      </c>
      <c r="G1177" s="41">
        <v>4.0368002267052285E-3</v>
      </c>
      <c r="H1177" s="14">
        <v>8.9365456778855989E-3</v>
      </c>
      <c r="I1177" s="14">
        <v>1.1277333902337094E-2</v>
      </c>
      <c r="J1177" s="14">
        <v>6.1291580765587828E-3</v>
      </c>
      <c r="K1177" s="14">
        <v>5.9730560320203629E-3</v>
      </c>
    </row>
    <row r="1178" spans="2:11" x14ac:dyDescent="0.25">
      <c r="B1178" s="29">
        <v>1170</v>
      </c>
      <c r="C1178" s="30">
        <v>0.85029069767441856</v>
      </c>
      <c r="D1178" s="41">
        <v>4.5275374709555184E-3</v>
      </c>
      <c r="E1178" s="41">
        <v>8.1244584961011057E-3</v>
      </c>
      <c r="F1178" s="41">
        <v>1.6489597166888137E-2</v>
      </c>
      <c r="G1178" s="41">
        <v>7.6567673010376602E-3</v>
      </c>
      <c r="H1178" s="14">
        <v>8.9680589680589673E-3</v>
      </c>
      <c r="I1178" s="14">
        <v>1.1282384215190122E-2</v>
      </c>
      <c r="J1178" s="14">
        <v>6.1501227063134323E-3</v>
      </c>
      <c r="K1178" s="14">
        <v>5.9968048893318301E-3</v>
      </c>
    </row>
    <row r="1179" spans="2:11" x14ac:dyDescent="0.25">
      <c r="B1179" s="29">
        <v>1171</v>
      </c>
      <c r="C1179" s="30">
        <v>0.85101744186046513</v>
      </c>
      <c r="D1179" s="41">
        <v>-8.2351060967388156E-3</v>
      </c>
      <c r="E1179" s="41">
        <v>-1.8907325457793944E-2</v>
      </c>
      <c r="F1179" s="41">
        <v>-1.3267813267813233E-2</v>
      </c>
      <c r="G1179" s="41">
        <v>-1.4934386026672099E-2</v>
      </c>
      <c r="H1179" s="14">
        <v>9.0172976923030834E-3</v>
      </c>
      <c r="I1179" s="14">
        <v>1.1305849239575227E-2</v>
      </c>
      <c r="J1179" s="14">
        <v>6.1586606308254854E-3</v>
      </c>
      <c r="K1179" s="14">
        <v>6.0065659634900518E-3</v>
      </c>
    </row>
    <row r="1180" spans="2:11" x14ac:dyDescent="0.25">
      <c r="B1180" s="29">
        <v>1172</v>
      </c>
      <c r="C1180" s="30">
        <v>0.85174418604651159</v>
      </c>
      <c r="D1180" s="41">
        <v>-2.2030877328964572E-2</v>
      </c>
      <c r="E1180" s="41">
        <v>1.0757728275145872E-4</v>
      </c>
      <c r="F1180" s="41">
        <v>-5.3223266170639993E-3</v>
      </c>
      <c r="G1180" s="41">
        <v>-1.0214344103122164E-3</v>
      </c>
      <c r="H1180" s="14">
        <v>9.0257879991550993E-3</v>
      </c>
      <c r="I1180" s="14">
        <v>1.1338655559412159E-2</v>
      </c>
      <c r="J1180" s="14">
        <v>6.2156382317348768E-3</v>
      </c>
      <c r="K1180" s="14">
        <v>6.0386664707904551E-3</v>
      </c>
    </row>
    <row r="1181" spans="2:11" x14ac:dyDescent="0.25">
      <c r="B1181" s="29">
        <v>1173</v>
      </c>
      <c r="C1181" s="30">
        <v>0.85247093023255816</v>
      </c>
      <c r="D1181" s="41">
        <v>-8.6399250258836387E-3</v>
      </c>
      <c r="E1181" s="41">
        <v>-1.7464061527586727E-2</v>
      </c>
      <c r="F1181" s="41">
        <v>1.2983440611761932E-2</v>
      </c>
      <c r="G1181" s="41">
        <v>-3.4497488859586587E-3</v>
      </c>
      <c r="H1181" s="14">
        <v>9.028960817717202E-3</v>
      </c>
      <c r="I1181" s="14">
        <v>1.1346466345468542E-2</v>
      </c>
      <c r="J1181" s="14">
        <v>6.2171480246422384E-3</v>
      </c>
      <c r="K1181" s="14">
        <v>6.0560290380118342E-3</v>
      </c>
    </row>
    <row r="1182" spans="2:11" x14ac:dyDescent="0.25">
      <c r="B1182" s="29">
        <v>1174</v>
      </c>
      <c r="C1182" s="30">
        <v>0.85319767441860461</v>
      </c>
      <c r="D1182" s="41">
        <v>1.5410369000487072E-2</v>
      </c>
      <c r="E1182" s="41">
        <v>-1.8509540193931695E-2</v>
      </c>
      <c r="F1182" s="41">
        <v>-3.6724402543302226E-3</v>
      </c>
      <c r="G1182" s="41">
        <v>-7.6463856463585781E-3</v>
      </c>
      <c r="H1182" s="14">
        <v>9.1807278669000514E-3</v>
      </c>
      <c r="I1182" s="14">
        <v>1.1364193796294719E-2</v>
      </c>
      <c r="J1182" s="14">
        <v>6.2221795630752474E-3</v>
      </c>
      <c r="K1182" s="14">
        <v>6.0586098439332266E-3</v>
      </c>
    </row>
    <row r="1183" spans="2:11" x14ac:dyDescent="0.25">
      <c r="B1183" s="29">
        <v>1175</v>
      </c>
      <c r="C1183" s="30">
        <v>0.85392441860465118</v>
      </c>
      <c r="D1183" s="41">
        <v>-4.6575809105199725E-3</v>
      </c>
      <c r="E1183" s="41">
        <v>-1.9599563391839991E-3</v>
      </c>
      <c r="F1183" s="41">
        <v>4.8468825732539411E-3</v>
      </c>
      <c r="G1183" s="41">
        <v>2.4080061331562598E-3</v>
      </c>
      <c r="H1183" s="14">
        <v>9.246746764593361E-3</v>
      </c>
      <c r="I1183" s="14">
        <v>1.1422815787510254E-2</v>
      </c>
      <c r="J1183" s="14">
        <v>6.2350386906420141E-3</v>
      </c>
      <c r="K1183" s="14">
        <v>6.1313377896866864E-3</v>
      </c>
    </row>
    <row r="1184" spans="2:11" x14ac:dyDescent="0.25">
      <c r="B1184" s="29">
        <v>1176</v>
      </c>
      <c r="C1184" s="30">
        <v>0.85465116279069764</v>
      </c>
      <c r="D1184" s="41">
        <v>-8.763869359969741E-4</v>
      </c>
      <c r="E1184" s="41">
        <v>-5.5481491534083993E-3</v>
      </c>
      <c r="F1184" s="41">
        <v>-5.50478916657271E-4</v>
      </c>
      <c r="G1184" s="41">
        <v>-6.7422606719323326E-3</v>
      </c>
      <c r="H1184" s="14">
        <v>9.2576815830582859E-3</v>
      </c>
      <c r="I1184" s="14">
        <v>1.1457474188387495E-2</v>
      </c>
      <c r="J1184" s="14">
        <v>6.2466894133639261E-3</v>
      </c>
      <c r="K1184" s="14">
        <v>6.1460324511346982E-3</v>
      </c>
    </row>
    <row r="1185" spans="2:11" x14ac:dyDescent="0.25">
      <c r="B1185" s="29">
        <v>1177</v>
      </c>
      <c r="C1185" s="30">
        <v>0.85537790697674421</v>
      </c>
      <c r="D1185" s="41">
        <v>1.0294207326365186E-2</v>
      </c>
      <c r="E1185" s="41">
        <v>1.7483864752913858E-2</v>
      </c>
      <c r="F1185" s="41">
        <v>-1.4840872863189913E-3</v>
      </c>
      <c r="G1185" s="41">
        <v>1.9365974814848695E-3</v>
      </c>
      <c r="H1185" s="14">
        <v>9.2723558070091361E-3</v>
      </c>
      <c r="I1185" s="14">
        <v>1.1493993993993978E-2</v>
      </c>
      <c r="J1185" s="14">
        <v>6.2681107256161717E-3</v>
      </c>
      <c r="K1185" s="14">
        <v>6.1498133062419134E-3</v>
      </c>
    </row>
    <row r="1186" spans="2:11" x14ac:dyDescent="0.25">
      <c r="B1186" s="29">
        <v>1178</v>
      </c>
      <c r="C1186" s="30">
        <v>0.85610465116279066</v>
      </c>
      <c r="D1186" s="41">
        <v>-1.0807827550517504E-2</v>
      </c>
      <c r="E1186" s="41">
        <v>-7.6765285996055477E-3</v>
      </c>
      <c r="F1186" s="41">
        <v>-9.7969847058182458E-3</v>
      </c>
      <c r="G1186" s="41">
        <v>-1.1728421079418606E-2</v>
      </c>
      <c r="H1186" s="14">
        <v>9.2770873446526014E-3</v>
      </c>
      <c r="I1186" s="14">
        <v>1.1545272289006148E-2</v>
      </c>
      <c r="J1186" s="14">
        <v>6.2797869358004466E-3</v>
      </c>
      <c r="K1186" s="14">
        <v>6.2179607445614687E-3</v>
      </c>
    </row>
    <row r="1187" spans="2:11" x14ac:dyDescent="0.25">
      <c r="B1187" s="29">
        <v>1179</v>
      </c>
      <c r="C1187" s="30">
        <v>0.85683139534883723</v>
      </c>
      <c r="D1187" s="41">
        <v>4.8041236506405022E-4</v>
      </c>
      <c r="E1187" s="41">
        <v>-1.6664414002560135E-2</v>
      </c>
      <c r="F1187" s="41">
        <v>-1.0330578512396382E-3</v>
      </c>
      <c r="G1187" s="41">
        <v>-1.1061577268132084E-2</v>
      </c>
      <c r="H1187" s="14">
        <v>9.3167861306151512E-3</v>
      </c>
      <c r="I1187" s="14">
        <v>1.1673203307186686E-2</v>
      </c>
      <c r="J1187" s="14">
        <v>6.3192350257537111E-3</v>
      </c>
      <c r="K1187" s="14">
        <v>6.219238239778436E-3</v>
      </c>
    </row>
    <row r="1188" spans="2:11" x14ac:dyDescent="0.25">
      <c r="B1188" s="29">
        <v>1180</v>
      </c>
      <c r="C1188" s="30">
        <v>0.85755813953488369</v>
      </c>
      <c r="D1188" s="41">
        <v>1.4111538458442293E-2</v>
      </c>
      <c r="E1188" s="41">
        <v>3.4524300418010689E-3</v>
      </c>
      <c r="F1188" s="41">
        <v>-1.0863719479402012E-2</v>
      </c>
      <c r="G1188" s="41">
        <v>-2.4231930509282188E-3</v>
      </c>
      <c r="H1188" s="14">
        <v>9.3227904292696451E-3</v>
      </c>
      <c r="I1188" s="14">
        <v>1.1698496370549538E-2</v>
      </c>
      <c r="J1188" s="14">
        <v>6.3213985823280527E-3</v>
      </c>
      <c r="K1188" s="14">
        <v>6.2397930572778209E-3</v>
      </c>
    </row>
    <row r="1189" spans="2:11" x14ac:dyDescent="0.25">
      <c r="B1189" s="29">
        <v>1181</v>
      </c>
      <c r="C1189" s="30">
        <v>0.85828488372093026</v>
      </c>
      <c r="D1189" s="41">
        <v>2.0273062621173309E-2</v>
      </c>
      <c r="E1189" s="41">
        <v>-5.6724788087794131E-3</v>
      </c>
      <c r="F1189" s="41">
        <v>-6.1998931052913431E-3</v>
      </c>
      <c r="G1189" s="41">
        <v>1.5527658342984639E-3</v>
      </c>
      <c r="H1189" s="14">
        <v>9.351716302139268E-3</v>
      </c>
      <c r="I1189" s="14">
        <v>1.170593563934097E-2</v>
      </c>
      <c r="J1189" s="14">
        <v>6.3315019264393868E-3</v>
      </c>
      <c r="K1189" s="14">
        <v>6.2465039482923809E-3</v>
      </c>
    </row>
    <row r="1190" spans="2:11" x14ac:dyDescent="0.25">
      <c r="B1190" s="29">
        <v>1182</v>
      </c>
      <c r="C1190" s="30">
        <v>0.85901162790697672</v>
      </c>
      <c r="D1190" s="41">
        <v>2.0106569275939679E-2</v>
      </c>
      <c r="E1190" s="41">
        <v>5.8507017600726297E-3</v>
      </c>
      <c r="F1190" s="41">
        <v>6.9967707212057473E-3</v>
      </c>
      <c r="G1190" s="41">
        <v>6.3278463536792012E-3</v>
      </c>
      <c r="H1190" s="14">
        <v>9.3812905921226708E-3</v>
      </c>
      <c r="I1190" s="14">
        <v>1.1731879587081995E-2</v>
      </c>
      <c r="J1190" s="14">
        <v>6.3389679715302183E-3</v>
      </c>
      <c r="K1190" s="14">
        <v>6.3223699387015232E-3</v>
      </c>
    </row>
    <row r="1191" spans="2:11" x14ac:dyDescent="0.25">
      <c r="B1191" s="29">
        <v>1183</v>
      </c>
      <c r="C1191" s="30">
        <v>0.85973837209302328</v>
      </c>
      <c r="D1191" s="41">
        <v>-7.3617410883023374E-3</v>
      </c>
      <c r="E1191" s="41">
        <v>9.981792694520264E-3</v>
      </c>
      <c r="F1191" s="41">
        <v>-1.5047291487532144E-3</v>
      </c>
      <c r="G1191" s="41">
        <v>3.3703247387655956E-3</v>
      </c>
      <c r="H1191" s="14">
        <v>9.4829493574537516E-3</v>
      </c>
      <c r="I1191" s="14">
        <v>1.1768774973376805E-2</v>
      </c>
      <c r="J1191" s="14">
        <v>6.3820422535210142E-3</v>
      </c>
      <c r="K1191" s="14">
        <v>6.3278463536792012E-3</v>
      </c>
    </row>
    <row r="1192" spans="2:11" x14ac:dyDescent="0.25">
      <c r="B1192" s="29">
        <v>1184</v>
      </c>
      <c r="C1192" s="30">
        <v>0.86046511627906974</v>
      </c>
      <c r="D1192" s="41">
        <v>-3.3136695452411127E-4</v>
      </c>
      <c r="E1192" s="41">
        <v>6.4611334902084927E-3</v>
      </c>
      <c r="F1192" s="41">
        <v>3.343038930227582E-3</v>
      </c>
      <c r="G1192" s="41">
        <v>-2.545672104289087E-3</v>
      </c>
      <c r="H1192" s="14">
        <v>9.5073995939203293E-3</v>
      </c>
      <c r="I1192" s="14">
        <v>1.1810675968033868E-2</v>
      </c>
      <c r="J1192" s="14">
        <v>6.4275249302898629E-3</v>
      </c>
      <c r="K1192" s="14">
        <v>6.32888785187975E-3</v>
      </c>
    </row>
    <row r="1193" spans="2:11" x14ac:dyDescent="0.25">
      <c r="B1193" s="29">
        <v>1185</v>
      </c>
      <c r="C1193" s="30">
        <v>0.86119186046511631</v>
      </c>
      <c r="D1193" s="41">
        <v>-8.864185530710238E-3</v>
      </c>
      <c r="E1193" s="41">
        <v>2.2587675847036692E-3</v>
      </c>
      <c r="F1193" s="41">
        <v>-4.936151947633749E-3</v>
      </c>
      <c r="G1193" s="41">
        <v>2.3455305517618998E-4</v>
      </c>
      <c r="H1193" s="14">
        <v>9.5220117871599452E-3</v>
      </c>
      <c r="I1193" s="14">
        <v>1.1828513182516653E-2</v>
      </c>
      <c r="J1193" s="14">
        <v>6.4301393836916354E-3</v>
      </c>
      <c r="K1193" s="14">
        <v>6.3497616386688494E-3</v>
      </c>
    </row>
    <row r="1194" spans="2:11" x14ac:dyDescent="0.25">
      <c r="B1194" s="29">
        <v>1186</v>
      </c>
      <c r="C1194" s="30">
        <v>0.86191860465116277</v>
      </c>
      <c r="D1194" s="41">
        <v>2.831836736632465E-3</v>
      </c>
      <c r="E1194" s="41">
        <v>-2.4766724656017702E-2</v>
      </c>
      <c r="F1194" s="41">
        <v>5.3656704405158351E-5</v>
      </c>
      <c r="G1194" s="41">
        <v>-7.1316016014600254E-3</v>
      </c>
      <c r="H1194" s="14">
        <v>9.6003049350759095E-3</v>
      </c>
      <c r="I1194" s="14">
        <v>1.1870628412805617E-2</v>
      </c>
      <c r="J1194" s="14">
        <v>6.4412457362412745E-3</v>
      </c>
      <c r="K1194" s="14">
        <v>6.3748683769000447E-3</v>
      </c>
    </row>
    <row r="1195" spans="2:11" x14ac:dyDescent="0.25">
      <c r="B1195" s="29">
        <v>1187</v>
      </c>
      <c r="C1195" s="30">
        <v>0.86264534883720934</v>
      </c>
      <c r="D1195" s="41">
        <v>5.5344853203369224E-3</v>
      </c>
      <c r="E1195" s="41">
        <v>-4.3185651271406278E-2</v>
      </c>
      <c r="F1195" s="41">
        <v>2.8519156263451251E-3</v>
      </c>
      <c r="G1195" s="41">
        <v>-2.0105237927511198E-2</v>
      </c>
      <c r="H1195" s="14">
        <v>9.6212751479407554E-3</v>
      </c>
      <c r="I1195" s="14">
        <v>1.1960803580201684E-2</v>
      </c>
      <c r="J1195" s="14">
        <v>6.4509191500201624E-3</v>
      </c>
      <c r="K1195" s="14">
        <v>6.4825756318054317E-3</v>
      </c>
    </row>
    <row r="1196" spans="2:11" x14ac:dyDescent="0.25">
      <c r="B1196" s="29">
        <v>1188</v>
      </c>
      <c r="C1196" s="30">
        <v>0.86337209302325579</v>
      </c>
      <c r="D1196" s="41">
        <v>-5.2904353289521871E-3</v>
      </c>
      <c r="E1196" s="41">
        <v>1.4948899171200569E-2</v>
      </c>
      <c r="F1196" s="41">
        <v>1.3028073044426325E-2</v>
      </c>
      <c r="G1196" s="41">
        <v>1.1688988701934643E-2</v>
      </c>
      <c r="H1196" s="14">
        <v>9.6675307548510503E-3</v>
      </c>
      <c r="I1196" s="14">
        <v>1.1974072349014264E-2</v>
      </c>
      <c r="J1196" s="14">
        <v>6.4565357750776542E-3</v>
      </c>
      <c r="K1196" s="14">
        <v>6.4894360733536612E-3</v>
      </c>
    </row>
    <row r="1197" spans="2:11" x14ac:dyDescent="0.25">
      <c r="B1197" s="29">
        <v>1189</v>
      </c>
      <c r="C1197" s="30">
        <v>0.86409883720930236</v>
      </c>
      <c r="D1197" s="41">
        <v>8.5672966277708119E-5</v>
      </c>
      <c r="E1197" s="41">
        <v>-2.5958953292253395E-2</v>
      </c>
      <c r="F1197" s="41">
        <v>6.0875287923660704E-3</v>
      </c>
      <c r="G1197" s="41">
        <v>-1.7733104250274453E-2</v>
      </c>
      <c r="H1197" s="14">
        <v>9.6689526712387952E-3</v>
      </c>
      <c r="I1197" s="14">
        <v>1.2061782990450576E-2</v>
      </c>
      <c r="J1197" s="14">
        <v>6.4949020058224782E-3</v>
      </c>
      <c r="K1197" s="14">
        <v>6.4951594509799152E-3</v>
      </c>
    </row>
    <row r="1198" spans="2:11" x14ac:dyDescent="0.25">
      <c r="B1198" s="29">
        <v>1190</v>
      </c>
      <c r="C1198" s="30">
        <v>0.86482558139534882</v>
      </c>
      <c r="D1198" s="41">
        <v>3.0030130937814528E-4</v>
      </c>
      <c r="E1198" s="41">
        <v>5.8719151015371729E-3</v>
      </c>
      <c r="F1198" s="41">
        <v>5.6808780541615089E-3</v>
      </c>
      <c r="G1198" s="41">
        <v>-1.5932794167845539E-4</v>
      </c>
      <c r="H1198" s="14">
        <v>9.7155760463665253E-3</v>
      </c>
      <c r="I1198" s="14">
        <v>1.2106055240793223E-2</v>
      </c>
      <c r="J1198" s="14">
        <v>6.5037540050689735E-3</v>
      </c>
      <c r="K1198" s="14">
        <v>6.4966497163477799E-3</v>
      </c>
    </row>
    <row r="1199" spans="2:11" x14ac:dyDescent="0.25">
      <c r="B1199" s="29">
        <v>1191</v>
      </c>
      <c r="C1199" s="30">
        <v>0.86555232558139539</v>
      </c>
      <c r="D1199" s="41">
        <v>-3.2411976512001492E-2</v>
      </c>
      <c r="E1199" s="41">
        <v>-1.9617869134666122E-2</v>
      </c>
      <c r="F1199" s="41">
        <v>1.1041097418167611E-2</v>
      </c>
      <c r="G1199" s="41">
        <v>-7.1100388169783365E-3</v>
      </c>
      <c r="H1199" s="14">
        <v>9.7188995215313767E-3</v>
      </c>
      <c r="I1199" s="14">
        <v>1.2127181833587519E-2</v>
      </c>
      <c r="J1199" s="14">
        <v>6.5228787741327121E-3</v>
      </c>
      <c r="K1199" s="14">
        <v>6.534611407750069E-3</v>
      </c>
    </row>
    <row r="1200" spans="2:11" x14ac:dyDescent="0.25">
      <c r="B1200" s="29">
        <v>1192</v>
      </c>
      <c r="C1200" s="30">
        <v>0.86627906976744184</v>
      </c>
      <c r="D1200" s="41">
        <v>1.9773308968141444E-3</v>
      </c>
      <c r="E1200" s="41">
        <v>1.7741655076495055E-2</v>
      </c>
      <c r="F1200" s="41">
        <v>-1.5033407572384583E-3</v>
      </c>
      <c r="G1200" s="41">
        <v>1.0604798594014309E-2</v>
      </c>
      <c r="H1200" s="14">
        <v>9.7925575282222788E-3</v>
      </c>
      <c r="I1200" s="14">
        <v>1.2169663117472584E-2</v>
      </c>
      <c r="J1200" s="14">
        <v>6.5419532783679291E-3</v>
      </c>
      <c r="K1200" s="14">
        <v>6.5455478852957773E-3</v>
      </c>
    </row>
    <row r="1201" spans="2:11" x14ac:dyDescent="0.25">
      <c r="B1201" s="29">
        <v>1193</v>
      </c>
      <c r="C1201" s="30">
        <v>0.86700581395348841</v>
      </c>
      <c r="D1201" s="41">
        <v>8.6196540308008645E-3</v>
      </c>
      <c r="E1201" s="41">
        <v>-2.4077348160675083E-2</v>
      </c>
      <c r="F1201" s="41">
        <v>-5.426957581127545E-3</v>
      </c>
      <c r="G1201" s="41">
        <v>-1.4829932675245528E-2</v>
      </c>
      <c r="H1201" s="14">
        <v>9.7993956689608197E-3</v>
      </c>
      <c r="I1201" s="14">
        <v>1.2194843801081046E-2</v>
      </c>
      <c r="J1201" s="14">
        <v>6.5684676211561488E-3</v>
      </c>
      <c r="K1201" s="14">
        <v>6.5714103664531462E-3</v>
      </c>
    </row>
    <row r="1202" spans="2:11" x14ac:dyDescent="0.25">
      <c r="B1202" s="29">
        <v>1194</v>
      </c>
      <c r="C1202" s="30">
        <v>0.86773255813953487</v>
      </c>
      <c r="D1202" s="41">
        <v>4.3251192633641461E-3</v>
      </c>
      <c r="E1202" s="41">
        <v>-1.792371917172797E-2</v>
      </c>
      <c r="F1202" s="41">
        <v>6.0167130919221989E-3</v>
      </c>
      <c r="G1202" s="41">
        <v>-5.143272553560463E-3</v>
      </c>
      <c r="H1202" s="14">
        <v>9.7999431887350053E-3</v>
      </c>
      <c r="I1202" s="14">
        <v>1.227321237993606E-2</v>
      </c>
      <c r="J1202" s="14">
        <v>6.5842650153500326E-3</v>
      </c>
      <c r="K1202" s="14">
        <v>6.5887151860279051E-3</v>
      </c>
    </row>
    <row r="1203" spans="2:11" x14ac:dyDescent="0.25">
      <c r="B1203" s="29">
        <v>1195</v>
      </c>
      <c r="C1203" s="30">
        <v>0.86845930232558144</v>
      </c>
      <c r="D1203" s="41">
        <v>-1.4070204220370287E-2</v>
      </c>
      <c r="E1203" s="41">
        <v>-4.0636640704370119E-3</v>
      </c>
      <c r="F1203" s="41">
        <v>1.5673626435805943E-2</v>
      </c>
      <c r="G1203" s="41">
        <v>-6.4425131805405638E-4</v>
      </c>
      <c r="H1203" s="14">
        <v>9.8004045167703335E-3</v>
      </c>
      <c r="I1203" s="14">
        <v>1.2310568656107357E-2</v>
      </c>
      <c r="J1203" s="14">
        <v>6.6137128632755005E-3</v>
      </c>
      <c r="K1203" s="14">
        <v>6.6160170195301632E-3</v>
      </c>
    </row>
    <row r="1204" spans="2:11" x14ac:dyDescent="0.25">
      <c r="B1204" s="29">
        <v>1196</v>
      </c>
      <c r="C1204" s="30">
        <v>0.8691860465116279</v>
      </c>
      <c r="D1204" s="41">
        <v>-3.7532732713432726E-3</v>
      </c>
      <c r="E1204" s="41">
        <v>1.9909089282199144E-2</v>
      </c>
      <c r="F1204" s="41">
        <v>-1.0581121934833626E-2</v>
      </c>
      <c r="G1204" s="41">
        <v>1.133194132865103E-2</v>
      </c>
      <c r="H1204" s="14">
        <v>9.8199672667758087E-3</v>
      </c>
      <c r="I1204" s="14">
        <v>1.2314630127482351E-2</v>
      </c>
      <c r="J1204" s="14">
        <v>6.6217472118959009E-3</v>
      </c>
      <c r="K1204" s="14">
        <v>6.6725893926686385E-3</v>
      </c>
    </row>
    <row r="1205" spans="2:11" x14ac:dyDescent="0.25">
      <c r="B1205" s="29">
        <v>1197</v>
      </c>
      <c r="C1205" s="30">
        <v>0.86991279069767447</v>
      </c>
      <c r="D1205" s="41">
        <v>2.3178682021143423E-2</v>
      </c>
      <c r="E1205" s="41">
        <v>1.1282384215190122E-2</v>
      </c>
      <c r="F1205" s="41">
        <v>-2.6243788039532756E-3</v>
      </c>
      <c r="G1205" s="41">
        <v>8.6172073663823411E-3</v>
      </c>
      <c r="H1205" s="14">
        <v>9.8247194086529266E-3</v>
      </c>
      <c r="I1205" s="14">
        <v>1.2323084431429931E-2</v>
      </c>
      <c r="J1205" s="14">
        <v>6.6384658967897359E-3</v>
      </c>
      <c r="K1205" s="14">
        <v>6.7037592859005906E-3</v>
      </c>
    </row>
    <row r="1206" spans="2:11" x14ac:dyDescent="0.25">
      <c r="B1206" s="29">
        <v>1198</v>
      </c>
      <c r="C1206" s="30">
        <v>0.87063953488372092</v>
      </c>
      <c r="D1206" s="41">
        <v>1.2935771035299488E-2</v>
      </c>
      <c r="E1206" s="41">
        <v>2.5583634802071709E-2</v>
      </c>
      <c r="F1206" s="41">
        <v>-3.0061793687023997E-3</v>
      </c>
      <c r="G1206" s="41">
        <v>2.1191771932108906E-2</v>
      </c>
      <c r="H1206" s="14">
        <v>9.8260066127242585E-3</v>
      </c>
      <c r="I1206" s="14">
        <v>1.2404256018584414E-2</v>
      </c>
      <c r="J1206" s="14">
        <v>6.6388991864267943E-3</v>
      </c>
      <c r="K1206" s="14">
        <v>6.7102274297360601E-3</v>
      </c>
    </row>
    <row r="1207" spans="2:11" x14ac:dyDescent="0.25">
      <c r="B1207" s="29">
        <v>1199</v>
      </c>
      <c r="C1207" s="30">
        <v>0.87136627906976749</v>
      </c>
      <c r="D1207" s="41">
        <v>5.5060575851672623E-4</v>
      </c>
      <c r="E1207" s="41">
        <v>-2.4437902857432969E-2</v>
      </c>
      <c r="F1207" s="41">
        <v>1.0065227170490409E-2</v>
      </c>
      <c r="G1207" s="41">
        <v>-1.0988050950620566E-2</v>
      </c>
      <c r="H1207" s="14">
        <v>9.8347390370669974E-3</v>
      </c>
      <c r="I1207" s="14">
        <v>1.241794133816243E-2</v>
      </c>
      <c r="J1207" s="14">
        <v>6.6659668276294326E-3</v>
      </c>
      <c r="K1207" s="14">
        <v>6.7385694481571614E-3</v>
      </c>
    </row>
    <row r="1208" spans="2:11" x14ac:dyDescent="0.25">
      <c r="B1208" s="29">
        <v>1200</v>
      </c>
      <c r="C1208" s="30">
        <v>0.87209302325581395</v>
      </c>
      <c r="D1208" s="41">
        <v>-5.6857489371802492E-3</v>
      </c>
      <c r="E1208" s="41">
        <v>-4.6302317717138441E-3</v>
      </c>
      <c r="F1208" s="41">
        <v>8.1632653061225469E-3</v>
      </c>
      <c r="G1208" s="41">
        <v>2.2196829124100591E-3</v>
      </c>
      <c r="H1208" s="14">
        <v>9.8851262914774196E-3</v>
      </c>
      <c r="I1208" s="14">
        <v>1.2466015167967193E-2</v>
      </c>
      <c r="J1208" s="14">
        <v>6.727032405666078E-3</v>
      </c>
      <c r="K1208" s="14">
        <v>6.7530726439130719E-3</v>
      </c>
    </row>
    <row r="1209" spans="2:11" x14ac:dyDescent="0.25">
      <c r="B1209" s="29">
        <v>1201</v>
      </c>
      <c r="C1209" s="30">
        <v>0.87281976744186052</v>
      </c>
      <c r="D1209" s="41">
        <v>-1.0392591070961693E-2</v>
      </c>
      <c r="E1209" s="41">
        <v>1.0784441831090064E-2</v>
      </c>
      <c r="F1209" s="41">
        <v>-2.2624434389140191E-3</v>
      </c>
      <c r="G1209" s="41">
        <v>-2.9156607281749288E-3</v>
      </c>
      <c r="H1209" s="14">
        <v>9.8923868725351305E-3</v>
      </c>
      <c r="I1209" s="14">
        <v>1.2493084627643425E-2</v>
      </c>
      <c r="J1209" s="14">
        <v>6.7545382053568748E-3</v>
      </c>
      <c r="K1209" s="14">
        <v>6.7907614685019718E-3</v>
      </c>
    </row>
    <row r="1210" spans="2:11" x14ac:dyDescent="0.25">
      <c r="B1210" s="29">
        <v>1202</v>
      </c>
      <c r="C1210" s="30">
        <v>0.87354651162790697</v>
      </c>
      <c r="D1210" s="41">
        <v>-1.8049395926593426E-2</v>
      </c>
      <c r="E1210" s="41">
        <v>-1.2461972025199719E-2</v>
      </c>
      <c r="F1210" s="41">
        <v>2.3243948069617826E-3</v>
      </c>
      <c r="G1210" s="41">
        <v>2.2513552631759932E-4</v>
      </c>
      <c r="H1210" s="14">
        <v>9.8948047237112924E-3</v>
      </c>
      <c r="I1210" s="14">
        <v>1.2529230058604623E-2</v>
      </c>
      <c r="J1210" s="14">
        <v>6.7678077942587844E-3</v>
      </c>
      <c r="K1210" s="14">
        <v>6.8000473131736077E-3</v>
      </c>
    </row>
    <row r="1211" spans="2:11" x14ac:dyDescent="0.25">
      <c r="B1211" s="29">
        <v>1203</v>
      </c>
      <c r="C1211" s="30">
        <v>0.87427325581395354</v>
      </c>
      <c r="D1211" s="41">
        <v>-1.2007107331092772E-2</v>
      </c>
      <c r="E1211" s="41">
        <v>-3.4393081239582068E-2</v>
      </c>
      <c r="F1211" s="41">
        <v>-5.3569414683658501E-3</v>
      </c>
      <c r="G1211" s="41">
        <v>-1.871367779849473E-2</v>
      </c>
      <c r="H1211" s="14">
        <v>9.8951496070056599E-3</v>
      </c>
      <c r="I1211" s="14">
        <v>1.2550881953866888E-2</v>
      </c>
      <c r="J1211" s="14">
        <v>6.7796610169492677E-3</v>
      </c>
      <c r="K1211" s="14">
        <v>6.8017143570587198E-3</v>
      </c>
    </row>
    <row r="1212" spans="2:11" x14ac:dyDescent="0.25">
      <c r="B1212" s="29">
        <v>1204</v>
      </c>
      <c r="C1212" s="30">
        <v>0.875</v>
      </c>
      <c r="D1212" s="41">
        <v>-1.3782143397398472E-2</v>
      </c>
      <c r="E1212" s="41">
        <v>-2.9011441895776535E-3</v>
      </c>
      <c r="F1212" s="41">
        <v>-1.7833407177669569E-2</v>
      </c>
      <c r="G1212" s="41">
        <v>-4.4022396271428564E-3</v>
      </c>
      <c r="H1212" s="14">
        <v>9.9708885763971633E-3</v>
      </c>
      <c r="I1212" s="14">
        <v>1.2612989184387802E-2</v>
      </c>
      <c r="J1212" s="14">
        <v>6.8478718921196613E-3</v>
      </c>
      <c r="K1212" s="14">
        <v>6.8280165150553795E-3</v>
      </c>
    </row>
    <row r="1213" spans="2:11" x14ac:dyDescent="0.25">
      <c r="B1213" s="29">
        <v>1205</v>
      </c>
      <c r="C1213" s="30">
        <v>0.87572674418604646</v>
      </c>
      <c r="D1213" s="41">
        <v>-2.2831446251764094E-2</v>
      </c>
      <c r="E1213" s="41">
        <v>4.3680036256514843E-2</v>
      </c>
      <c r="F1213" s="41">
        <v>6.9150122685703863E-3</v>
      </c>
      <c r="G1213" s="41">
        <v>2.2774994231814016E-2</v>
      </c>
      <c r="H1213" s="14">
        <v>1.0046769443963433E-2</v>
      </c>
      <c r="I1213" s="14">
        <v>1.275282002050937E-2</v>
      </c>
      <c r="J1213" s="14">
        <v>6.8542395628625741E-3</v>
      </c>
      <c r="K1213" s="14">
        <v>6.8294731298353967E-3</v>
      </c>
    </row>
    <row r="1214" spans="2:11" x14ac:dyDescent="0.25">
      <c r="B1214" s="29">
        <v>1206</v>
      </c>
      <c r="C1214" s="30">
        <v>0.87645348837209303</v>
      </c>
      <c r="D1214" s="41">
        <v>2.062308929421889E-2</v>
      </c>
      <c r="E1214" s="41">
        <v>-1.9983672618634096E-2</v>
      </c>
      <c r="F1214" s="41">
        <v>-5.2698729683252621E-3</v>
      </c>
      <c r="G1214" s="41">
        <v>-1.6007599561470645E-2</v>
      </c>
      <c r="H1214" s="14">
        <v>1.0047408158885496E-2</v>
      </c>
      <c r="I1214" s="14">
        <v>1.2848128147563864E-2</v>
      </c>
      <c r="J1214" s="14">
        <v>6.8808643730451369E-3</v>
      </c>
      <c r="K1214" s="14">
        <v>6.8486740453997724E-3</v>
      </c>
    </row>
    <row r="1215" spans="2:11" x14ac:dyDescent="0.25">
      <c r="B1215" s="29">
        <v>1207</v>
      </c>
      <c r="C1215" s="30">
        <v>0.87718023255813948</v>
      </c>
      <c r="D1215" s="41">
        <v>8.5713446157704414E-3</v>
      </c>
      <c r="E1215" s="41">
        <v>8.1174729491415576E-3</v>
      </c>
      <c r="F1215" s="41">
        <v>-7.2062084257218384E-4</v>
      </c>
      <c r="G1215" s="41">
        <v>6.219238239778436E-3</v>
      </c>
      <c r="H1215" s="14">
        <v>1.0063876067872179E-2</v>
      </c>
      <c r="I1215" s="14">
        <v>1.2879741350074081E-2</v>
      </c>
      <c r="J1215" s="14">
        <v>6.8818101246026497E-3</v>
      </c>
      <c r="K1215" s="14">
        <v>6.8587778482510856E-3</v>
      </c>
    </row>
    <row r="1216" spans="2:11" x14ac:dyDescent="0.25">
      <c r="B1216" s="29">
        <v>1208</v>
      </c>
      <c r="C1216" s="30">
        <v>0.87790697674418605</v>
      </c>
      <c r="D1216" s="41">
        <v>-8.7413032912783458E-3</v>
      </c>
      <c r="E1216" s="41">
        <v>2.7065990383178695E-2</v>
      </c>
      <c r="F1216" s="41">
        <v>1.3312363084873491E-2</v>
      </c>
      <c r="G1216" s="41">
        <v>2.6004086690869559E-2</v>
      </c>
      <c r="H1216" s="14">
        <v>1.0206162277152764E-2</v>
      </c>
      <c r="I1216" s="14">
        <v>1.2943201910847746E-2</v>
      </c>
      <c r="J1216" s="14">
        <v>6.9074518527190154E-3</v>
      </c>
      <c r="K1216" s="14">
        <v>6.8638588585590915E-3</v>
      </c>
    </row>
    <row r="1217" spans="2:11" x14ac:dyDescent="0.25">
      <c r="B1217" s="29">
        <v>1209</v>
      </c>
      <c r="C1217" s="30">
        <v>0.87863372093023251</v>
      </c>
      <c r="D1217" s="41">
        <v>6.1801430702564594E-3</v>
      </c>
      <c r="E1217" s="41">
        <v>-2.1311559595337259E-3</v>
      </c>
      <c r="F1217" s="41">
        <v>6.2171480246422384E-3</v>
      </c>
      <c r="G1217" s="41">
        <v>3.7829319635696466E-3</v>
      </c>
      <c r="H1217" s="14">
        <v>1.0304384802515942E-2</v>
      </c>
      <c r="I1217" s="14">
        <v>1.2966108280325628E-2</v>
      </c>
      <c r="J1217" s="14">
        <v>6.9150122685703863E-3</v>
      </c>
      <c r="K1217" s="14">
        <v>6.8665807093285739E-3</v>
      </c>
    </row>
    <row r="1218" spans="2:11" x14ac:dyDescent="0.25">
      <c r="B1218" s="29">
        <v>1210</v>
      </c>
      <c r="C1218" s="30">
        <v>0.87936046511627908</v>
      </c>
      <c r="D1218" s="41">
        <v>1.8075825947422575E-3</v>
      </c>
      <c r="E1218" s="41">
        <v>1.5104340889792178E-2</v>
      </c>
      <c r="F1218" s="41">
        <v>-9.8494599585874365E-3</v>
      </c>
      <c r="G1218" s="41">
        <v>8.0908076277535837E-3</v>
      </c>
      <c r="H1218" s="14">
        <v>1.030933419761193E-2</v>
      </c>
      <c r="I1218" s="14">
        <v>1.2982431383616655E-2</v>
      </c>
      <c r="J1218" s="14">
        <v>6.988934187536211E-3</v>
      </c>
      <c r="K1218" s="14">
        <v>6.8769070751116164E-3</v>
      </c>
    </row>
    <row r="1219" spans="2:11" x14ac:dyDescent="0.25">
      <c r="B1219" s="29">
        <v>1211</v>
      </c>
      <c r="C1219" s="30">
        <v>0.88008720930232553</v>
      </c>
      <c r="D1219" s="41">
        <v>-7.409528386440602E-3</v>
      </c>
      <c r="E1219" s="41">
        <v>0</v>
      </c>
      <c r="F1219" s="41">
        <v>0</v>
      </c>
      <c r="G1219" s="41">
        <v>0</v>
      </c>
      <c r="H1219" s="14">
        <v>1.037431924522525E-2</v>
      </c>
      <c r="I1219" s="14">
        <v>1.2990190275508962E-2</v>
      </c>
      <c r="J1219" s="14">
        <v>6.9967707212057473E-3</v>
      </c>
      <c r="K1219" s="14">
        <v>6.8971876703933796E-3</v>
      </c>
    </row>
    <row r="1220" spans="2:11" x14ac:dyDescent="0.25">
      <c r="B1220" s="29">
        <v>1212</v>
      </c>
      <c r="C1220" s="30">
        <v>0.8808139534883721</v>
      </c>
      <c r="D1220" s="41">
        <v>-9.158962592377101E-4</v>
      </c>
      <c r="E1220" s="41">
        <v>-3.2277144064215557E-3</v>
      </c>
      <c r="F1220" s="41">
        <v>1.0347167250932765E-2</v>
      </c>
      <c r="G1220" s="41">
        <v>6.8665807093285739E-3</v>
      </c>
      <c r="H1220" s="14">
        <v>1.0433912139529378E-2</v>
      </c>
      <c r="I1220" s="14">
        <v>1.3031498994712898E-2</v>
      </c>
      <c r="J1220" s="14">
        <v>7.0041881095257441E-3</v>
      </c>
      <c r="K1220" s="14">
        <v>6.9183619700572416E-3</v>
      </c>
    </row>
    <row r="1221" spans="2:11" x14ac:dyDescent="0.25">
      <c r="B1221" s="29">
        <v>1213</v>
      </c>
      <c r="C1221" s="30">
        <v>0.88154069767441856</v>
      </c>
      <c r="D1221" s="41">
        <v>1.1710088817975665E-2</v>
      </c>
      <c r="E1221" s="41">
        <v>1.0282449477824418E-2</v>
      </c>
      <c r="F1221" s="41">
        <v>2.4940482938442532E-3</v>
      </c>
      <c r="G1221" s="41">
        <v>1.765518521435894E-3</v>
      </c>
      <c r="H1221" s="14">
        <v>1.0442098937009314E-2</v>
      </c>
      <c r="I1221" s="14">
        <v>1.3129754460055709E-2</v>
      </c>
      <c r="J1221" s="14">
        <v>7.0046582632328214E-3</v>
      </c>
      <c r="K1221" s="14">
        <v>6.9253173321367273E-3</v>
      </c>
    </row>
    <row r="1222" spans="2:11" x14ac:dyDescent="0.25">
      <c r="B1222" s="29">
        <v>1214</v>
      </c>
      <c r="C1222" s="30">
        <v>0.88226744186046513</v>
      </c>
      <c r="D1222" s="41">
        <v>4.8042933635675938E-3</v>
      </c>
      <c r="E1222" s="41">
        <v>3.8890427165404029E-2</v>
      </c>
      <c r="F1222" s="41">
        <v>1.0713262675451141E-2</v>
      </c>
      <c r="G1222" s="41">
        <v>1.2003809412825816E-2</v>
      </c>
      <c r="H1222" s="14">
        <v>1.0444244234182554E-2</v>
      </c>
      <c r="I1222" s="14">
        <v>1.3317122130739545E-2</v>
      </c>
      <c r="J1222" s="14">
        <v>7.0609501214482506E-3</v>
      </c>
      <c r="K1222" s="14">
        <v>6.9658218561880593E-3</v>
      </c>
    </row>
    <row r="1223" spans="2:11" x14ac:dyDescent="0.25">
      <c r="B1223" s="29">
        <v>1215</v>
      </c>
      <c r="C1223" s="30">
        <v>0.88299418604651159</v>
      </c>
      <c r="D1223" s="41">
        <v>1.8432593429679549E-2</v>
      </c>
      <c r="E1223" s="41">
        <v>1.2550881953866888E-2</v>
      </c>
      <c r="F1223" s="41">
        <v>-1.8223747117385725E-2</v>
      </c>
      <c r="G1223" s="41">
        <v>1.3474431186928704E-2</v>
      </c>
      <c r="H1223" s="14">
        <v>1.0475440202695419E-2</v>
      </c>
      <c r="I1223" s="14">
        <v>1.3398195456027828E-2</v>
      </c>
      <c r="J1223" s="14">
        <v>7.0847843525478904E-3</v>
      </c>
      <c r="K1223" s="14">
        <v>6.9676746156722936E-3</v>
      </c>
    </row>
    <row r="1224" spans="2:11" x14ac:dyDescent="0.25">
      <c r="B1224" s="29">
        <v>1216</v>
      </c>
      <c r="C1224" s="30">
        <v>0.88372093023255816</v>
      </c>
      <c r="D1224" s="41">
        <v>1.1839201312840109E-2</v>
      </c>
      <c r="E1224" s="41">
        <v>-8.5506899577251216E-3</v>
      </c>
      <c r="F1224" s="41">
        <v>-1.3538256672030013E-2</v>
      </c>
      <c r="G1224" s="41">
        <v>-6.5883133625157745E-3</v>
      </c>
      <c r="H1224" s="14">
        <v>1.0521356783919522E-2</v>
      </c>
      <c r="I1224" s="14">
        <v>1.3414008067473393E-2</v>
      </c>
      <c r="J1224" s="14">
        <v>7.1078071535948251E-3</v>
      </c>
      <c r="K1224" s="14">
        <v>7.0061963679290302E-3</v>
      </c>
    </row>
    <row r="1225" spans="2:11" x14ac:dyDescent="0.25">
      <c r="B1225" s="29">
        <v>1217</v>
      </c>
      <c r="C1225" s="30">
        <v>0.88444767441860461</v>
      </c>
      <c r="D1225" s="41">
        <v>1.6374619884584489E-2</v>
      </c>
      <c r="E1225" s="41">
        <v>-1.4980128401100634E-2</v>
      </c>
      <c r="F1225" s="41">
        <v>4.346614655893033E-3</v>
      </c>
      <c r="G1225" s="41">
        <v>-1.3759246620353105E-2</v>
      </c>
      <c r="H1225" s="14">
        <v>1.0533356177996556E-2</v>
      </c>
      <c r="I1225" s="14">
        <v>1.3531222381373276E-2</v>
      </c>
      <c r="J1225" s="14">
        <v>7.1318324551601364E-3</v>
      </c>
      <c r="K1225" s="14">
        <v>7.1420150327174085E-3</v>
      </c>
    </row>
    <row r="1226" spans="2:11" x14ac:dyDescent="0.25">
      <c r="B1226" s="29">
        <v>1218</v>
      </c>
      <c r="C1226" s="30">
        <v>0.88517441860465118</v>
      </c>
      <c r="D1226" s="41">
        <v>8.1720186721561325E-3</v>
      </c>
      <c r="E1226" s="41">
        <v>-1.216145578097938E-2</v>
      </c>
      <c r="F1226" s="41">
        <v>3.8037702075293112E-3</v>
      </c>
      <c r="G1226" s="41">
        <v>-1.3776964048756836E-3</v>
      </c>
      <c r="H1226" s="14">
        <v>1.0551807645736044E-2</v>
      </c>
      <c r="I1226" s="14">
        <v>1.3569685430019351E-2</v>
      </c>
      <c r="J1226" s="14">
        <v>7.1788975844022662E-3</v>
      </c>
      <c r="K1226" s="14">
        <v>7.1955597544329127E-3</v>
      </c>
    </row>
    <row r="1227" spans="2:11" x14ac:dyDescent="0.25">
      <c r="B1227" s="29">
        <v>1219</v>
      </c>
      <c r="C1227" s="30">
        <v>0.88590116279069764</v>
      </c>
      <c r="D1227" s="41">
        <v>7.1849971920861407E-3</v>
      </c>
      <c r="E1227" s="41">
        <v>1.5940866660603348E-2</v>
      </c>
      <c r="F1227" s="41">
        <v>-3.6783146630998687E-3</v>
      </c>
      <c r="G1227" s="41">
        <v>9.7904114297114649E-3</v>
      </c>
      <c r="H1227" s="14">
        <v>1.0580314203270103E-2</v>
      </c>
      <c r="I1227" s="14">
        <v>1.3581955866786233E-2</v>
      </c>
      <c r="J1227" s="14">
        <v>7.1976401179942862E-3</v>
      </c>
      <c r="K1227" s="14">
        <v>7.1957049134781844E-3</v>
      </c>
    </row>
    <row r="1228" spans="2:11" x14ac:dyDescent="0.25">
      <c r="B1228" s="29">
        <v>1220</v>
      </c>
      <c r="C1228" s="30">
        <v>0.88662790697674421</v>
      </c>
      <c r="D1228" s="41">
        <v>-4.120814618461417E-3</v>
      </c>
      <c r="E1228" s="41">
        <v>4.6958290946084169E-3</v>
      </c>
      <c r="F1228" s="41">
        <v>-5.1563539587493601E-3</v>
      </c>
      <c r="G1228" s="41">
        <v>-5.4616563434527702E-3</v>
      </c>
      <c r="H1228" s="14">
        <v>1.0612860506180155E-2</v>
      </c>
      <c r="I1228" s="14">
        <v>1.358987082419616E-2</v>
      </c>
      <c r="J1228" s="14">
        <v>7.2190668294493943E-3</v>
      </c>
      <c r="K1228" s="14">
        <v>7.2034521426330052E-3</v>
      </c>
    </row>
    <row r="1229" spans="2:11" x14ac:dyDescent="0.25">
      <c r="B1229" s="29">
        <v>1221</v>
      </c>
      <c r="C1229" s="30">
        <v>0.88735465116279066</v>
      </c>
      <c r="D1229" s="41">
        <v>-3.2520078397819266E-3</v>
      </c>
      <c r="E1229" s="41">
        <v>1.5009882383436368E-2</v>
      </c>
      <c r="F1229" s="41">
        <v>1.0363565066382918E-2</v>
      </c>
      <c r="G1229" s="41">
        <v>1.8705691382209011E-2</v>
      </c>
      <c r="H1229" s="14">
        <v>1.0650135113654313E-2</v>
      </c>
      <c r="I1229" s="14">
        <v>1.360601201445566E-2</v>
      </c>
      <c r="J1229" s="14">
        <v>7.303807705642873E-3</v>
      </c>
      <c r="K1229" s="14">
        <v>7.2051140981886251E-3</v>
      </c>
    </row>
    <row r="1230" spans="2:11" x14ac:dyDescent="0.25">
      <c r="B1230" s="29">
        <v>1222</v>
      </c>
      <c r="C1230" s="30">
        <v>0.88808139534883723</v>
      </c>
      <c r="D1230" s="41">
        <v>5.4793043298585005E-4</v>
      </c>
      <c r="E1230" s="41">
        <v>-2.8650093771197538E-3</v>
      </c>
      <c r="F1230" s="41">
        <v>6.7678077942587844E-3</v>
      </c>
      <c r="G1230" s="41">
        <v>1.1542855861990556E-3</v>
      </c>
      <c r="H1230" s="14">
        <v>1.0653478507340219E-2</v>
      </c>
      <c r="I1230" s="14">
        <v>1.3627090983272305E-2</v>
      </c>
      <c r="J1230" s="14">
        <v>7.3234877012011701E-3</v>
      </c>
      <c r="K1230" s="14">
        <v>7.2365415210253756E-3</v>
      </c>
    </row>
    <row r="1231" spans="2:11" x14ac:dyDescent="0.25">
      <c r="B1231" s="29">
        <v>1223</v>
      </c>
      <c r="C1231" s="30">
        <v>0.88880813953488369</v>
      </c>
      <c r="D1231" s="41">
        <v>-1.1061705227477932E-2</v>
      </c>
      <c r="E1231" s="41">
        <v>1.358987082419616E-2</v>
      </c>
      <c r="F1231" s="41">
        <v>-5.2734922861150668E-3</v>
      </c>
      <c r="G1231" s="41">
        <v>7.756878620360124E-4</v>
      </c>
      <c r="H1231" s="14">
        <v>1.0672970300608542E-2</v>
      </c>
      <c r="I1231" s="14">
        <v>1.3721747309596743E-2</v>
      </c>
      <c r="J1231" s="14">
        <v>7.3334595003786696E-3</v>
      </c>
      <c r="K1231" s="14">
        <v>7.2488091664168145E-3</v>
      </c>
    </row>
    <row r="1232" spans="2:11" x14ac:dyDescent="0.25">
      <c r="B1232" s="29">
        <v>1224</v>
      </c>
      <c r="C1232" s="30">
        <v>0.88953488372093026</v>
      </c>
      <c r="D1232" s="41">
        <v>1.0276292906745851E-2</v>
      </c>
      <c r="E1232" s="41">
        <v>7.8171883389654973E-4</v>
      </c>
      <c r="F1232" s="41">
        <v>-3.3649262520318857E-4</v>
      </c>
      <c r="G1232" s="41">
        <v>8.6541785507820976E-5</v>
      </c>
      <c r="H1232" s="14">
        <v>1.068158697863697E-2</v>
      </c>
      <c r="I1232" s="14">
        <v>1.3737155219037289E-2</v>
      </c>
      <c r="J1232" s="14">
        <v>7.356418475119364E-3</v>
      </c>
      <c r="K1232" s="14">
        <v>7.284410597522095E-3</v>
      </c>
    </row>
    <row r="1233" spans="2:11" x14ac:dyDescent="0.25">
      <c r="B1233" s="29">
        <v>1225</v>
      </c>
      <c r="C1233" s="30">
        <v>0.89026162790697672</v>
      </c>
      <c r="D1233" s="41">
        <v>-1.6741837979531143E-2</v>
      </c>
      <c r="E1233" s="41">
        <v>-1.4872616239161252E-2</v>
      </c>
      <c r="F1233" s="41">
        <v>-2.2382631078283755E-3</v>
      </c>
      <c r="G1233" s="41">
        <v>-1.175424735786579E-2</v>
      </c>
      <c r="H1233" s="14">
        <v>1.0703363914372988E-2</v>
      </c>
      <c r="I1233" s="14">
        <v>1.3745594701930264E-2</v>
      </c>
      <c r="J1233" s="14">
        <v>7.3664825046038107E-3</v>
      </c>
      <c r="K1233" s="14">
        <v>7.2964206726585214E-3</v>
      </c>
    </row>
    <row r="1234" spans="2:11" x14ac:dyDescent="0.25">
      <c r="B1234" s="29">
        <v>1226</v>
      </c>
      <c r="C1234" s="30">
        <v>0.89098837209302328</v>
      </c>
      <c r="D1234" s="41">
        <v>-1.4557358738074774E-2</v>
      </c>
      <c r="E1234" s="41">
        <v>1.444040429928406E-2</v>
      </c>
      <c r="F1234" s="41">
        <v>-1.6758840288252363E-3</v>
      </c>
      <c r="G1234" s="41">
        <v>4.9731217447508639E-3</v>
      </c>
      <c r="H1234" s="14">
        <v>1.0779029887310054E-2</v>
      </c>
      <c r="I1234" s="14">
        <v>1.3800935605661868E-2</v>
      </c>
      <c r="J1234" s="14">
        <v>7.3927251299084062E-3</v>
      </c>
      <c r="K1234" s="14">
        <v>7.3002311328849608E-3</v>
      </c>
    </row>
    <row r="1235" spans="2:11" x14ac:dyDescent="0.25">
      <c r="B1235" s="29">
        <v>1227</v>
      </c>
      <c r="C1235" s="30">
        <v>0.89171511627906974</v>
      </c>
      <c r="D1235" s="41">
        <v>8.1826030505211221E-3</v>
      </c>
      <c r="E1235" s="41">
        <v>-2.4474779134855407E-3</v>
      </c>
      <c r="F1235" s="41">
        <v>4.0946825218757255E-3</v>
      </c>
      <c r="G1235" s="41">
        <v>-1.2734907632248049E-3</v>
      </c>
      <c r="H1235" s="14">
        <v>1.0801837224553745E-2</v>
      </c>
      <c r="I1235" s="14">
        <v>1.3837645063316861E-2</v>
      </c>
      <c r="J1235" s="14">
        <v>7.4659132316061694E-3</v>
      </c>
      <c r="K1235" s="14">
        <v>7.3099342165522828E-3</v>
      </c>
    </row>
    <row r="1236" spans="2:11" x14ac:dyDescent="0.25">
      <c r="B1236" s="29">
        <v>1228</v>
      </c>
      <c r="C1236" s="30">
        <v>0.89244186046511631</v>
      </c>
      <c r="D1236" s="41">
        <v>9.6726022516517331E-3</v>
      </c>
      <c r="E1236" s="41">
        <v>-1.8282403779945611E-3</v>
      </c>
      <c r="F1236" s="41">
        <v>7.0609501214482506E-3</v>
      </c>
      <c r="G1236" s="41">
        <v>4.8544587289035771E-3</v>
      </c>
      <c r="H1236" s="14">
        <v>1.0843885442338941E-2</v>
      </c>
      <c r="I1236" s="14">
        <v>1.3949181870617E-2</v>
      </c>
      <c r="J1236" s="14">
        <v>7.4794700483431509E-3</v>
      </c>
      <c r="K1236" s="14">
        <v>7.3169501154142225E-3</v>
      </c>
    </row>
    <row r="1237" spans="2:11" x14ac:dyDescent="0.25">
      <c r="B1237" s="29">
        <v>1229</v>
      </c>
      <c r="C1237" s="30">
        <v>0.89316860465116277</v>
      </c>
      <c r="D1237" s="41">
        <v>1.0252404443451065E-2</v>
      </c>
      <c r="E1237" s="41">
        <v>-4.4877894069140778E-3</v>
      </c>
      <c r="F1237" s="41">
        <v>1.0178117048347257E-3</v>
      </c>
      <c r="G1237" s="41">
        <v>-7.619597927209433E-3</v>
      </c>
      <c r="H1237" s="14">
        <v>1.0869466382576576E-2</v>
      </c>
      <c r="I1237" s="14">
        <v>1.3957898729376028E-2</v>
      </c>
      <c r="J1237" s="14">
        <v>7.5163219399791981E-3</v>
      </c>
      <c r="K1237" s="14">
        <v>7.3236286253291379E-3</v>
      </c>
    </row>
    <row r="1238" spans="2:11" x14ac:dyDescent="0.25">
      <c r="B1238" s="29">
        <v>1230</v>
      </c>
      <c r="C1238" s="30">
        <v>0.89389534883720934</v>
      </c>
      <c r="D1238" s="41">
        <v>2.7508788500391949E-3</v>
      </c>
      <c r="E1238" s="41">
        <v>-2.8672921611405666E-4</v>
      </c>
      <c r="F1238" s="41">
        <v>1.2455415274867931E-3</v>
      </c>
      <c r="G1238" s="41">
        <v>9.6591472610618734E-3</v>
      </c>
      <c r="H1238" s="14">
        <v>1.0941453625338049E-2</v>
      </c>
      <c r="I1238" s="14">
        <v>1.3990911122699901E-2</v>
      </c>
      <c r="J1238" s="14">
        <v>7.6146157332324105E-3</v>
      </c>
      <c r="K1238" s="14">
        <v>7.3892797480775933E-3</v>
      </c>
    </row>
    <row r="1239" spans="2:11" x14ac:dyDescent="0.25">
      <c r="B1239" s="29">
        <v>1231</v>
      </c>
      <c r="C1239" s="30">
        <v>0.89462209302325579</v>
      </c>
      <c r="D1239" s="41">
        <v>1.1680145356825176E-3</v>
      </c>
      <c r="E1239" s="41">
        <v>-7.5766025589955044E-3</v>
      </c>
      <c r="F1239" s="41">
        <v>8.047026595137341E-3</v>
      </c>
      <c r="G1239" s="41">
        <v>9.9375913812817639E-3</v>
      </c>
      <c r="H1239" s="14">
        <v>1.0983293521581894E-2</v>
      </c>
      <c r="I1239" s="14">
        <v>1.4054113009403402E-2</v>
      </c>
      <c r="J1239" s="14">
        <v>7.6168224299064669E-3</v>
      </c>
      <c r="K1239" s="14">
        <v>7.4620197600458573E-3</v>
      </c>
    </row>
    <row r="1240" spans="2:11" x14ac:dyDescent="0.25">
      <c r="B1240" s="29">
        <v>1232</v>
      </c>
      <c r="C1240" s="30">
        <v>0.89534883720930236</v>
      </c>
      <c r="D1240" s="41">
        <v>-1.1925296195227453E-3</v>
      </c>
      <c r="E1240" s="41">
        <v>2.6090377066156911E-3</v>
      </c>
      <c r="F1240" s="41">
        <v>2.4600949711082176E-3</v>
      </c>
      <c r="G1240" s="41">
        <v>1.0726626084032632E-3</v>
      </c>
      <c r="H1240" s="14">
        <v>1.0985178605143364E-2</v>
      </c>
      <c r="I1240" s="14">
        <v>1.425658103986982E-2</v>
      </c>
      <c r="J1240" s="14">
        <v>7.646656014608455E-3</v>
      </c>
      <c r="K1240" s="14">
        <v>7.4714006325893763E-3</v>
      </c>
    </row>
    <row r="1241" spans="2:11" x14ac:dyDescent="0.25">
      <c r="B1241" s="29">
        <v>1233</v>
      </c>
      <c r="C1241" s="30">
        <v>0.89607558139534882</v>
      </c>
      <c r="D1241" s="41">
        <v>-1.1508494692620205E-3</v>
      </c>
      <c r="E1241" s="41">
        <v>4.1635973481080057E-4</v>
      </c>
      <c r="F1241" s="41">
        <v>-5.2925108126566922E-3</v>
      </c>
      <c r="G1241" s="41">
        <v>3.3531859338650433E-3</v>
      </c>
      <c r="H1241" s="14">
        <v>1.1044060191094829E-2</v>
      </c>
      <c r="I1241" s="14">
        <v>1.4258376381314664E-2</v>
      </c>
      <c r="J1241" s="14">
        <v>7.6534517771713606E-3</v>
      </c>
      <c r="K1241" s="14">
        <v>7.4728824634809682E-3</v>
      </c>
    </row>
    <row r="1242" spans="2:11" x14ac:dyDescent="0.25">
      <c r="B1242" s="29">
        <v>1234</v>
      </c>
      <c r="C1242" s="30">
        <v>0.89680232558139539</v>
      </c>
      <c r="D1242" s="41">
        <v>5.7434477047583893E-3</v>
      </c>
      <c r="E1242" s="41">
        <v>2.8452746830579967E-2</v>
      </c>
      <c r="F1242" s="41">
        <v>-6.445776320253338E-3</v>
      </c>
      <c r="G1242" s="41">
        <v>7.2964206726585214E-3</v>
      </c>
      <c r="H1242" s="14">
        <v>1.1142308785897059E-2</v>
      </c>
      <c r="I1242" s="14">
        <v>1.4311994113318516E-2</v>
      </c>
      <c r="J1242" s="14">
        <v>7.7192598270010571E-3</v>
      </c>
      <c r="K1242" s="14">
        <v>7.4952127438041149E-3</v>
      </c>
    </row>
    <row r="1243" spans="2:11" x14ac:dyDescent="0.25">
      <c r="B1243" s="29">
        <v>1235</v>
      </c>
      <c r="C1243" s="30">
        <v>0.89752906976744184</v>
      </c>
      <c r="D1243" s="41">
        <v>1.2991371784032523E-2</v>
      </c>
      <c r="E1243" s="41">
        <v>2.7237566051097062E-3</v>
      </c>
      <c r="F1243" s="41">
        <v>3.404062180869305E-3</v>
      </c>
      <c r="G1243" s="41">
        <v>-2.1152442040534235E-3</v>
      </c>
      <c r="H1243" s="14">
        <v>1.1144704255250604E-2</v>
      </c>
      <c r="I1243" s="14">
        <v>1.4405891945011406E-2</v>
      </c>
      <c r="J1243" s="14">
        <v>7.7305356156818217E-3</v>
      </c>
      <c r="K1243" s="14">
        <v>7.5268163647312925E-3</v>
      </c>
    </row>
    <row r="1244" spans="2:11" x14ac:dyDescent="0.25">
      <c r="B1244" s="29">
        <v>1236</v>
      </c>
      <c r="C1244" s="30">
        <v>0.89825581395348841</v>
      </c>
      <c r="D1244" s="41">
        <v>5.1503891372890126E-3</v>
      </c>
      <c r="E1244" s="41">
        <v>2.6930748395408433E-3</v>
      </c>
      <c r="F1244" s="41">
        <v>5.0176759037516838E-3</v>
      </c>
      <c r="G1244" s="41">
        <v>1.9401051250803381E-3</v>
      </c>
      <c r="H1244" s="14">
        <v>1.1361737677527017E-2</v>
      </c>
      <c r="I1244" s="14">
        <v>1.4431893482917513E-2</v>
      </c>
      <c r="J1244" s="14">
        <v>7.7330747321744386E-3</v>
      </c>
      <c r="K1244" s="14">
        <v>7.5366251058004881E-3</v>
      </c>
    </row>
    <row r="1245" spans="2:11" x14ac:dyDescent="0.25">
      <c r="B1245" s="29">
        <v>1237</v>
      </c>
      <c r="C1245" s="30">
        <v>0.89898255813953487</v>
      </c>
      <c r="D1245" s="41">
        <v>3.5474814026148645E-3</v>
      </c>
      <c r="E1245" s="41">
        <v>1.6153750890120389E-2</v>
      </c>
      <c r="F1245" s="41">
        <v>2.0569077819680981E-3</v>
      </c>
      <c r="G1245" s="41">
        <v>5.776829183418597E-3</v>
      </c>
      <c r="H1245" s="14">
        <v>1.137343544833791E-2</v>
      </c>
      <c r="I1245" s="14">
        <v>1.444040429928406E-2</v>
      </c>
      <c r="J1245" s="14">
        <v>7.7336348241332509E-3</v>
      </c>
      <c r="K1245" s="14">
        <v>7.5418263256164632E-3</v>
      </c>
    </row>
    <row r="1246" spans="2:11" x14ac:dyDescent="0.25">
      <c r="B1246" s="29">
        <v>1238</v>
      </c>
      <c r="C1246" s="30">
        <v>0.89970930232558144</v>
      </c>
      <c r="D1246" s="41">
        <v>1.4191114674206194E-3</v>
      </c>
      <c r="E1246" s="41">
        <v>-2.6279106967389554E-3</v>
      </c>
      <c r="F1246" s="41">
        <v>9.9249855741487814E-3</v>
      </c>
      <c r="G1246" s="41">
        <v>2.3596459952014205E-3</v>
      </c>
      <c r="H1246" s="14">
        <v>1.1442240327233177E-2</v>
      </c>
      <c r="I1246" s="14">
        <v>1.4518118176212402E-2</v>
      </c>
      <c r="J1246" s="14">
        <v>7.7367917564421518E-3</v>
      </c>
      <c r="K1246" s="14">
        <v>7.5535850548829504E-3</v>
      </c>
    </row>
    <row r="1247" spans="2:11" x14ac:dyDescent="0.25">
      <c r="B1247" s="29">
        <v>1239</v>
      </c>
      <c r="C1247" s="30">
        <v>0.9004360465116279</v>
      </c>
      <c r="D1247" s="41">
        <v>-2.2217354289782745E-2</v>
      </c>
      <c r="E1247" s="41">
        <v>-1.5526432357299003E-2</v>
      </c>
      <c r="F1247" s="41">
        <v>6.6217472118959009E-3</v>
      </c>
      <c r="G1247" s="41">
        <v>-5.8185899353487619E-3</v>
      </c>
      <c r="H1247" s="14">
        <v>1.1517899516279906E-2</v>
      </c>
      <c r="I1247" s="14">
        <v>1.4567324255905678E-2</v>
      </c>
      <c r="J1247" s="14">
        <v>7.7596006523996675E-3</v>
      </c>
      <c r="K1247" s="14">
        <v>7.5553765732576219E-3</v>
      </c>
    </row>
    <row r="1248" spans="2:11" x14ac:dyDescent="0.25">
      <c r="B1248" s="29">
        <v>1240</v>
      </c>
      <c r="C1248" s="30">
        <v>0.90116279069767447</v>
      </c>
      <c r="D1248" s="41">
        <v>9.1270407285278985E-4</v>
      </c>
      <c r="E1248" s="41">
        <v>3.1961522051124902E-3</v>
      </c>
      <c r="F1248" s="41">
        <v>3.7898664800886106E-3</v>
      </c>
      <c r="G1248" s="41">
        <v>9.6388817953443357E-3</v>
      </c>
      <c r="H1248" s="14">
        <v>1.1572823602742366E-2</v>
      </c>
      <c r="I1248" s="14">
        <v>1.4589856682715618E-2</v>
      </c>
      <c r="J1248" s="14">
        <v>7.7837472995663237E-3</v>
      </c>
      <c r="K1248" s="14">
        <v>7.5863931971298822E-3</v>
      </c>
    </row>
    <row r="1249" spans="2:11" x14ac:dyDescent="0.25">
      <c r="B1249" s="29">
        <v>1241</v>
      </c>
      <c r="C1249" s="30">
        <v>0.90188953488372092</v>
      </c>
      <c r="D1249" s="41">
        <v>-1.7396874484655621E-2</v>
      </c>
      <c r="E1249" s="41">
        <v>-1.1815925207049327E-2</v>
      </c>
      <c r="F1249" s="41">
        <v>8.7535014005624134E-4</v>
      </c>
      <c r="G1249" s="41">
        <v>-4.056349640833368E-3</v>
      </c>
      <c r="H1249" s="14">
        <v>1.1636916447294476E-2</v>
      </c>
      <c r="I1249" s="14">
        <v>1.463298512896638E-2</v>
      </c>
      <c r="J1249" s="14">
        <v>7.840807840807873E-3</v>
      </c>
      <c r="K1249" s="14">
        <v>7.6357811821907706E-3</v>
      </c>
    </row>
    <row r="1250" spans="2:11" x14ac:dyDescent="0.25">
      <c r="B1250" s="29">
        <v>1242</v>
      </c>
      <c r="C1250" s="30">
        <v>0.90261627906976749</v>
      </c>
      <c r="D1250" s="41">
        <v>-5.834781308971998E-3</v>
      </c>
      <c r="E1250" s="41">
        <v>0</v>
      </c>
      <c r="F1250" s="41">
        <v>-3.7788500668566316E-3</v>
      </c>
      <c r="G1250" s="41">
        <v>-7.5577001337132641E-4</v>
      </c>
      <c r="H1250" s="14">
        <v>1.1647349420482733E-2</v>
      </c>
      <c r="I1250" s="14">
        <v>1.4667522499760999E-2</v>
      </c>
      <c r="J1250" s="14">
        <v>7.8774903634521998E-3</v>
      </c>
      <c r="K1250" s="14">
        <v>7.6567673010376602E-3</v>
      </c>
    </row>
    <row r="1251" spans="2:11" x14ac:dyDescent="0.25">
      <c r="B1251" s="29">
        <v>1243</v>
      </c>
      <c r="C1251" s="30">
        <v>0.90334302325581395</v>
      </c>
      <c r="D1251" s="41">
        <v>-2.5860370005399342E-3</v>
      </c>
      <c r="E1251" s="41">
        <v>-7.7940980835596863E-3</v>
      </c>
      <c r="F1251" s="41">
        <v>6.9074518527190154E-3</v>
      </c>
      <c r="G1251" s="41">
        <v>-3.1855985464721579E-4</v>
      </c>
      <c r="H1251" s="14">
        <v>1.1774563925188053E-2</v>
      </c>
      <c r="I1251" s="14">
        <v>1.4678302428990708E-2</v>
      </c>
      <c r="J1251" s="14">
        <v>7.8812097109093315E-3</v>
      </c>
      <c r="K1251" s="14">
        <v>7.6998752877547091E-3</v>
      </c>
    </row>
    <row r="1252" spans="2:11" x14ac:dyDescent="0.25">
      <c r="B1252" s="29">
        <v>1244</v>
      </c>
      <c r="C1252" s="30">
        <v>0.90406976744186052</v>
      </c>
      <c r="D1252" s="41">
        <v>1.7053168478228405E-2</v>
      </c>
      <c r="E1252" s="41">
        <v>-1.5655438391709464E-2</v>
      </c>
      <c r="F1252" s="41">
        <v>-3.6743263734980713E-3</v>
      </c>
      <c r="G1252" s="41">
        <v>-7.7649061824718096E-3</v>
      </c>
      <c r="H1252" s="14">
        <v>1.1862613437512826E-2</v>
      </c>
      <c r="I1252" s="14">
        <v>1.4729342663427625E-2</v>
      </c>
      <c r="J1252" s="14">
        <v>7.8874061656664107E-3</v>
      </c>
      <c r="K1252" s="14">
        <v>7.7002589847966268E-3</v>
      </c>
    </row>
    <row r="1253" spans="2:11" x14ac:dyDescent="0.25">
      <c r="B1253" s="29">
        <v>1245</v>
      </c>
      <c r="C1253" s="30">
        <v>0.90479651162790697</v>
      </c>
      <c r="D1253" s="41">
        <v>-1.093423066003639E-2</v>
      </c>
      <c r="E1253" s="41">
        <v>6.2015255432343874E-3</v>
      </c>
      <c r="F1253" s="41">
        <v>1.1444077394997532E-2</v>
      </c>
      <c r="G1253" s="41">
        <v>-4.3755880938068266E-3</v>
      </c>
      <c r="H1253" s="14">
        <v>1.1898805259229928E-2</v>
      </c>
      <c r="I1253" s="14">
        <v>1.477686794939026E-2</v>
      </c>
      <c r="J1253" s="14">
        <v>7.9178886587525366E-3</v>
      </c>
      <c r="K1253" s="14">
        <v>7.7538773250160906E-3</v>
      </c>
    </row>
    <row r="1254" spans="2:11" x14ac:dyDescent="0.25">
      <c r="B1254" s="29">
        <v>1246</v>
      </c>
      <c r="C1254" s="30">
        <v>0.90552325581395354</v>
      </c>
      <c r="D1254" s="41">
        <v>-7.5071147900748595E-4</v>
      </c>
      <c r="E1254" s="41">
        <v>3.8620184421336301E-3</v>
      </c>
      <c r="F1254" s="41">
        <v>1.3586153937032996E-3</v>
      </c>
      <c r="G1254" s="41">
        <v>1.0440428971004057E-3</v>
      </c>
      <c r="H1254" s="14">
        <v>1.1965424829200044E-2</v>
      </c>
      <c r="I1254" s="14">
        <v>1.4816600729870899E-2</v>
      </c>
      <c r="J1254" s="14">
        <v>7.9649685893923294E-3</v>
      </c>
      <c r="K1254" s="14">
        <v>7.8084580788052357E-3</v>
      </c>
    </row>
    <row r="1255" spans="2:11" x14ac:dyDescent="0.25">
      <c r="B1255" s="29">
        <v>1247</v>
      </c>
      <c r="C1255" s="30">
        <v>0.90625</v>
      </c>
      <c r="D1255" s="41">
        <v>8.0667390993720157E-3</v>
      </c>
      <c r="E1255" s="41">
        <v>5.1083947424781506E-3</v>
      </c>
      <c r="F1255" s="41">
        <v>-1.3567720622935653E-3</v>
      </c>
      <c r="G1255" s="41">
        <v>-5.8715406551579363E-4</v>
      </c>
      <c r="H1255" s="14">
        <v>1.2106980627297093E-2</v>
      </c>
      <c r="I1255" s="14">
        <v>1.4854373652733344E-2</v>
      </c>
      <c r="J1255" s="14">
        <v>8.0043492860555343E-3</v>
      </c>
      <c r="K1255" s="14">
        <v>7.8705636687218528E-3</v>
      </c>
    </row>
    <row r="1256" spans="2:11" x14ac:dyDescent="0.25">
      <c r="B1256" s="29">
        <v>1248</v>
      </c>
      <c r="C1256" s="30">
        <v>0.90697674418604646</v>
      </c>
      <c r="D1256" s="41">
        <v>6.3340997125944515E-3</v>
      </c>
      <c r="E1256" s="41">
        <v>1.2990190275508962E-2</v>
      </c>
      <c r="F1256" s="41">
        <v>-4.7169811320735278E-4</v>
      </c>
      <c r="G1256" s="41">
        <v>4.8490244744270496E-5</v>
      </c>
      <c r="H1256" s="14">
        <v>1.2115423925079138E-2</v>
      </c>
      <c r="I1256" s="14">
        <v>1.4948899171200569E-2</v>
      </c>
      <c r="J1256" s="14">
        <v>8.0381209087410088E-3</v>
      </c>
      <c r="K1256" s="14">
        <v>7.9088961307474115E-3</v>
      </c>
    </row>
    <row r="1257" spans="2:11" x14ac:dyDescent="0.25">
      <c r="B1257" s="29">
        <v>1249</v>
      </c>
      <c r="C1257" s="30">
        <v>0.90770348837209303</v>
      </c>
      <c r="D1257" s="41">
        <v>1.1860902025625331E-2</v>
      </c>
      <c r="E1257" s="41">
        <v>-1.0548704005235332E-2</v>
      </c>
      <c r="F1257" s="41">
        <v>1.4762326542663295E-3</v>
      </c>
      <c r="G1257" s="41">
        <v>-4.8795766437634393E-3</v>
      </c>
      <c r="H1257" s="14">
        <v>1.2166893042297344E-2</v>
      </c>
      <c r="I1257" s="14">
        <v>1.4952307295694744E-2</v>
      </c>
      <c r="J1257" s="14">
        <v>8.047026595137341E-3</v>
      </c>
      <c r="K1257" s="14">
        <v>7.9322011100660048E-3</v>
      </c>
    </row>
    <row r="1258" spans="2:11" x14ac:dyDescent="0.25">
      <c r="B1258" s="29">
        <v>1250</v>
      </c>
      <c r="C1258" s="30">
        <v>0.90843023255813948</v>
      </c>
      <c r="D1258" s="41">
        <v>-9.0851451843638716E-4</v>
      </c>
      <c r="E1258" s="41">
        <v>5.4565640181729602E-3</v>
      </c>
      <c r="F1258" s="41">
        <v>-4.1749970598611297E-3</v>
      </c>
      <c r="G1258" s="41">
        <v>6.0065659634900518E-3</v>
      </c>
      <c r="H1258" s="14">
        <v>1.2181069958847823E-2</v>
      </c>
      <c r="I1258" s="14">
        <v>1.5009882383436368E-2</v>
      </c>
      <c r="J1258" s="14">
        <v>8.0528921240978768E-3</v>
      </c>
      <c r="K1258" s="14">
        <v>7.9357211233250791E-3</v>
      </c>
    </row>
    <row r="1259" spans="2:11" x14ac:dyDescent="0.25">
      <c r="B1259" s="29">
        <v>1251</v>
      </c>
      <c r="C1259" s="30">
        <v>0.90915697674418605</v>
      </c>
      <c r="D1259" s="41">
        <v>-1.185181550851038E-2</v>
      </c>
      <c r="E1259" s="41">
        <v>-9.3973186317504176E-3</v>
      </c>
      <c r="F1259" s="41">
        <v>2.2985795956858013E-3</v>
      </c>
      <c r="G1259" s="41">
        <v>-9.1278096303604227E-5</v>
      </c>
      <c r="H1259" s="14">
        <v>1.2186299275251056E-2</v>
      </c>
      <c r="I1259" s="14">
        <v>1.5097457467983633E-2</v>
      </c>
      <c r="J1259" s="14">
        <v>8.0688209756307749E-3</v>
      </c>
      <c r="K1259" s="14">
        <v>7.9368305265867349E-3</v>
      </c>
    </row>
    <row r="1260" spans="2:11" x14ac:dyDescent="0.25">
      <c r="B1260" s="29">
        <v>1252</v>
      </c>
      <c r="C1260" s="30">
        <v>0.90988372093023251</v>
      </c>
      <c r="D1260" s="41">
        <v>6.7668464734670997E-3</v>
      </c>
      <c r="E1260" s="41">
        <v>-8.3559954464962338E-3</v>
      </c>
      <c r="F1260" s="41">
        <v>7.840807840807873E-3</v>
      </c>
      <c r="G1260" s="41">
        <v>-7.6173519448882393E-3</v>
      </c>
      <c r="H1260" s="14">
        <v>1.2327282855803423E-2</v>
      </c>
      <c r="I1260" s="14">
        <v>1.5104340889792178E-2</v>
      </c>
      <c r="J1260" s="14">
        <v>8.100337937348101E-3</v>
      </c>
      <c r="K1260" s="14">
        <v>7.9666067405867579E-3</v>
      </c>
    </row>
    <row r="1261" spans="2:11" x14ac:dyDescent="0.25">
      <c r="B1261" s="29">
        <v>1253</v>
      </c>
      <c r="C1261" s="30">
        <v>0.91061046511627908</v>
      </c>
      <c r="D1261" s="41">
        <v>9.172538731955145E-3</v>
      </c>
      <c r="E1261" s="41">
        <v>1.1639123398623497E-3</v>
      </c>
      <c r="F1261" s="41">
        <v>-8.5978446499027639E-3</v>
      </c>
      <c r="G1261" s="41">
        <v>-4.1129836862036535E-3</v>
      </c>
      <c r="H1261" s="14">
        <v>1.2654339947171245E-2</v>
      </c>
      <c r="I1261" s="14">
        <v>1.5106796116504784E-2</v>
      </c>
      <c r="J1261" s="14">
        <v>8.1341788329405418E-3</v>
      </c>
      <c r="K1261" s="14">
        <v>8.0418872554749669E-3</v>
      </c>
    </row>
    <row r="1262" spans="2:11" x14ac:dyDescent="0.25">
      <c r="B1262" s="29">
        <v>1254</v>
      </c>
      <c r="C1262" s="30">
        <v>0.91133720930232553</v>
      </c>
      <c r="D1262" s="41">
        <v>-6.6005224051650354E-3</v>
      </c>
      <c r="E1262" s="41">
        <v>-1.1346896524266459E-2</v>
      </c>
      <c r="F1262" s="41">
        <v>-2.8772753963595132E-3</v>
      </c>
      <c r="G1262" s="41">
        <v>-3.6668151973200387E-3</v>
      </c>
      <c r="H1262" s="14">
        <v>1.2738644922552833E-2</v>
      </c>
      <c r="I1262" s="14">
        <v>1.5219685607954059E-2</v>
      </c>
      <c r="J1262" s="14">
        <v>8.1515499425945936E-3</v>
      </c>
      <c r="K1262" s="14">
        <v>8.0685953251300457E-3</v>
      </c>
    </row>
    <row r="1263" spans="2:11" x14ac:dyDescent="0.25">
      <c r="B1263" s="29">
        <v>1255</v>
      </c>
      <c r="C1263" s="30">
        <v>0.9120639534883721</v>
      </c>
      <c r="D1263" s="41">
        <v>-3.1655278034729635E-3</v>
      </c>
      <c r="E1263" s="41">
        <v>-1.7501610824742331E-2</v>
      </c>
      <c r="F1263" s="41">
        <v>-8.50023288309254E-3</v>
      </c>
      <c r="G1263" s="41">
        <v>-1.1569870002496298E-2</v>
      </c>
      <c r="H1263" s="14">
        <v>1.2750943941238324E-2</v>
      </c>
      <c r="I1263" s="14">
        <v>1.5234122741083489E-2</v>
      </c>
      <c r="J1263" s="14">
        <v>8.1632653061225469E-3</v>
      </c>
      <c r="K1263" s="14">
        <v>8.0828178369066091E-3</v>
      </c>
    </row>
    <row r="1264" spans="2:11" x14ac:dyDescent="0.25">
      <c r="B1264" s="29">
        <v>1256</v>
      </c>
      <c r="C1264" s="30">
        <v>0.91279069767441856</v>
      </c>
      <c r="D1264" s="41">
        <v>-7.1476821165471528E-3</v>
      </c>
      <c r="E1264" s="41">
        <v>-4.5168747489486849E-3</v>
      </c>
      <c r="F1264" s="41">
        <v>-3.9434006031083824E-3</v>
      </c>
      <c r="G1264" s="41">
        <v>-1.7773872067454958E-3</v>
      </c>
      <c r="H1264" s="14">
        <v>1.2782073536373728E-2</v>
      </c>
      <c r="I1264" s="14">
        <v>1.5260834643398891E-2</v>
      </c>
      <c r="J1264" s="14">
        <v>8.205113430083566E-3</v>
      </c>
      <c r="K1264" s="14">
        <v>8.0908076277535837E-3</v>
      </c>
    </row>
    <row r="1265" spans="2:11" x14ac:dyDescent="0.25">
      <c r="B1265" s="29">
        <v>1257</v>
      </c>
      <c r="C1265" s="30">
        <v>0.91351744186046513</v>
      </c>
      <c r="D1265" s="41">
        <v>1.1718251909895687E-2</v>
      </c>
      <c r="E1265" s="41">
        <v>-4.8832306729469366E-3</v>
      </c>
      <c r="F1265" s="41">
        <v>1.1030478955007528E-3</v>
      </c>
      <c r="G1265" s="41">
        <v>-4.4327074585148745E-4</v>
      </c>
      <c r="H1265" s="14">
        <v>1.2919463087248229E-2</v>
      </c>
      <c r="I1265" s="14">
        <v>1.526325198891576E-2</v>
      </c>
      <c r="J1265" s="14">
        <v>8.2439188768270721E-3</v>
      </c>
      <c r="K1265" s="14">
        <v>8.1446243883029016E-3</v>
      </c>
    </row>
    <row r="1266" spans="2:11" x14ac:dyDescent="0.25">
      <c r="B1266" s="29">
        <v>1258</v>
      </c>
      <c r="C1266" s="30">
        <v>0.91424418604651159</v>
      </c>
      <c r="D1266" s="41">
        <v>1.2295487390311617E-2</v>
      </c>
      <c r="E1266" s="41">
        <v>3.4342080219789128E-3</v>
      </c>
      <c r="F1266" s="41">
        <v>4.5489006823353773E-3</v>
      </c>
      <c r="G1266" s="41">
        <v>8.4609168201432738E-4</v>
      </c>
      <c r="H1266" s="14">
        <v>1.2925450266176419E-2</v>
      </c>
      <c r="I1266" s="14">
        <v>1.5297703946080432E-2</v>
      </c>
      <c r="J1266" s="14">
        <v>8.2520211876218053E-3</v>
      </c>
      <c r="K1266" s="14">
        <v>8.1799785144251562E-3</v>
      </c>
    </row>
    <row r="1267" spans="2:11" x14ac:dyDescent="0.25">
      <c r="B1267" s="29">
        <v>1259</v>
      </c>
      <c r="C1267" s="30">
        <v>0.91497093023255816</v>
      </c>
      <c r="D1267" s="41">
        <v>-3.4993160169286895E-3</v>
      </c>
      <c r="E1267" s="41">
        <v>8.7087037556285996E-3</v>
      </c>
      <c r="F1267" s="41">
        <v>6.4565357750776542E-3</v>
      </c>
      <c r="G1267" s="41">
        <v>2.6910975473007251E-3</v>
      </c>
      <c r="H1267" s="14">
        <v>1.2982082136862694E-2</v>
      </c>
      <c r="I1267" s="14">
        <v>1.5427221633949717E-2</v>
      </c>
      <c r="J1267" s="14">
        <v>8.3109033385275755E-3</v>
      </c>
      <c r="K1267" s="14">
        <v>8.1869155781749258E-3</v>
      </c>
    </row>
    <row r="1268" spans="2:11" x14ac:dyDescent="0.25">
      <c r="B1268" s="29">
        <v>1260</v>
      </c>
      <c r="C1268" s="30">
        <v>0.91569767441860461</v>
      </c>
      <c r="D1268" s="41">
        <v>6.3421743585969801E-3</v>
      </c>
      <c r="E1268" s="41">
        <v>1.1364193796294719E-2</v>
      </c>
      <c r="F1268" s="41">
        <v>-1.9916817995430103E-3</v>
      </c>
      <c r="G1268" s="41">
        <v>1.415918286779028E-3</v>
      </c>
      <c r="H1268" s="14">
        <v>1.3211129092493445E-2</v>
      </c>
      <c r="I1268" s="14">
        <v>1.5465173765605966E-2</v>
      </c>
      <c r="J1268" s="14">
        <v>8.3434727023150579E-3</v>
      </c>
      <c r="K1268" s="14">
        <v>8.2146718475965223E-3</v>
      </c>
    </row>
    <row r="1269" spans="2:11" x14ac:dyDescent="0.25">
      <c r="B1269" s="29">
        <v>1261</v>
      </c>
      <c r="C1269" s="30">
        <v>0.91642441860465118</v>
      </c>
      <c r="D1269" s="41">
        <v>2.6799921563511516E-3</v>
      </c>
      <c r="E1269" s="41">
        <v>-9.449977365323714E-3</v>
      </c>
      <c r="F1269" s="41">
        <v>-9.948501872660831E-4</v>
      </c>
      <c r="G1269" s="41">
        <v>-8.1660674766879555E-3</v>
      </c>
      <c r="H1269" s="14">
        <v>1.3266239707227845E-2</v>
      </c>
      <c r="I1269" s="14">
        <v>1.552575864502459E-2</v>
      </c>
      <c r="J1269" s="14">
        <v>8.3492099069821801E-3</v>
      </c>
      <c r="K1269" s="14">
        <v>8.2200329289744637E-3</v>
      </c>
    </row>
    <row r="1270" spans="2:11" x14ac:dyDescent="0.25">
      <c r="B1270" s="29">
        <v>1262</v>
      </c>
      <c r="C1270" s="30">
        <v>0.91715116279069764</v>
      </c>
      <c r="D1270" s="41">
        <v>1.455062287455749E-2</v>
      </c>
      <c r="E1270" s="41">
        <v>-5.5086301872934174E-3</v>
      </c>
      <c r="F1270" s="41">
        <v>-8.01114594218022E-3</v>
      </c>
      <c r="G1270" s="41">
        <v>-3.4777868141380396E-3</v>
      </c>
      <c r="H1270" s="14">
        <v>1.3348447966065935E-2</v>
      </c>
      <c r="I1270" s="14">
        <v>1.5616285554935772E-2</v>
      </c>
      <c r="J1270" s="14">
        <v>8.3825952127145609E-3</v>
      </c>
      <c r="K1270" s="14">
        <v>8.3174429504221607E-3</v>
      </c>
    </row>
    <row r="1271" spans="2:11" x14ac:dyDescent="0.25">
      <c r="B1271" s="29">
        <v>1263</v>
      </c>
      <c r="C1271" s="30">
        <v>0.91787790697674421</v>
      </c>
      <c r="D1271" s="41">
        <v>4.5981740004845673E-3</v>
      </c>
      <c r="E1271" s="41">
        <v>-1.5099294272115094E-3</v>
      </c>
      <c r="F1271" s="41">
        <v>-4.0619741194236614E-4</v>
      </c>
      <c r="G1271" s="41">
        <v>7.0061963679290302E-3</v>
      </c>
      <c r="H1271" s="14">
        <v>1.3440916407115644E-2</v>
      </c>
      <c r="I1271" s="14">
        <v>1.563998794113064E-2</v>
      </c>
      <c r="J1271" s="14">
        <v>8.4103358601228528E-3</v>
      </c>
      <c r="K1271" s="14">
        <v>8.3325572937226425E-3</v>
      </c>
    </row>
    <row r="1272" spans="2:11" x14ac:dyDescent="0.25">
      <c r="B1272" s="29">
        <v>1264</v>
      </c>
      <c r="C1272" s="30">
        <v>0.91860465116279066</v>
      </c>
      <c r="D1272" s="41">
        <v>6.515265549849312E-3</v>
      </c>
      <c r="E1272" s="41">
        <v>-4.6763535947927926E-3</v>
      </c>
      <c r="F1272" s="41">
        <v>2.0351203628328207E-3</v>
      </c>
      <c r="G1272" s="41">
        <v>-1.7008402691494069E-4</v>
      </c>
      <c r="H1272" s="14">
        <v>1.3506178581057737E-2</v>
      </c>
      <c r="I1272" s="14">
        <v>1.573125161863187E-2</v>
      </c>
      <c r="J1272" s="14">
        <v>8.4302912212919079E-3</v>
      </c>
      <c r="K1272" s="14">
        <v>8.3760268667693039E-3</v>
      </c>
    </row>
    <row r="1273" spans="2:11" x14ac:dyDescent="0.25">
      <c r="B1273" s="29">
        <v>1265</v>
      </c>
      <c r="C1273" s="30">
        <v>0.91933139534883723</v>
      </c>
      <c r="D1273" s="41">
        <v>1.6038115882008389E-2</v>
      </c>
      <c r="E1273" s="41">
        <v>1.2493084627643425E-2</v>
      </c>
      <c r="F1273" s="41">
        <v>1.349519712416769E-2</v>
      </c>
      <c r="G1273" s="41">
        <v>1.5141965874063914E-2</v>
      </c>
      <c r="H1273" s="14">
        <v>1.3548276453438479E-2</v>
      </c>
      <c r="I1273" s="14">
        <v>1.5765945912318502E-2</v>
      </c>
      <c r="J1273" s="14">
        <v>8.5194908118282342E-3</v>
      </c>
      <c r="K1273" s="14">
        <v>8.3897267617763401E-3</v>
      </c>
    </row>
    <row r="1274" spans="2:11" x14ac:dyDescent="0.25">
      <c r="B1274" s="29">
        <v>1266</v>
      </c>
      <c r="C1274" s="30">
        <v>0.92005813953488369</v>
      </c>
      <c r="D1274" s="41">
        <v>-2.6504960562602833E-2</v>
      </c>
      <c r="E1274" s="41">
        <v>-1.5005708693526243E-3</v>
      </c>
      <c r="F1274" s="41">
        <v>2.2444037564230968E-3</v>
      </c>
      <c r="G1274" s="41">
        <v>5.4731726154928937E-3</v>
      </c>
      <c r="H1274" s="14">
        <v>1.3557745314222602E-2</v>
      </c>
      <c r="I1274" s="14">
        <v>1.5851759576455793E-2</v>
      </c>
      <c r="J1274" s="14">
        <v>8.6233289111135036E-3</v>
      </c>
      <c r="K1274" s="14">
        <v>8.4040433594630773E-3</v>
      </c>
    </row>
    <row r="1275" spans="2:11" x14ac:dyDescent="0.25">
      <c r="B1275" s="29">
        <v>1267</v>
      </c>
      <c r="C1275" s="30">
        <v>0.92078488372093026</v>
      </c>
      <c r="D1275" s="41">
        <v>1.9052392108314165E-2</v>
      </c>
      <c r="E1275" s="41">
        <v>1.0086902545003218E-2</v>
      </c>
      <c r="F1275" s="41">
        <v>3.5450516986723635E-4</v>
      </c>
      <c r="G1275" s="41">
        <v>-2.6447072242439251E-3</v>
      </c>
      <c r="H1275" s="14">
        <v>1.3590921936046607E-2</v>
      </c>
      <c r="I1275" s="14">
        <v>1.5940866660603348E-2</v>
      </c>
      <c r="J1275" s="14">
        <v>8.6523191501013397E-3</v>
      </c>
      <c r="K1275" s="14">
        <v>8.4867587912059502E-3</v>
      </c>
    </row>
    <row r="1276" spans="2:11" x14ac:dyDescent="0.25">
      <c r="B1276" s="29">
        <v>1268</v>
      </c>
      <c r="C1276" s="30">
        <v>0.92151162790697672</v>
      </c>
      <c r="D1276" s="41">
        <v>-1.1735273596320081E-2</v>
      </c>
      <c r="E1276" s="41">
        <v>-1.8274292275473059E-3</v>
      </c>
      <c r="F1276" s="41">
        <v>-5.3147513877405128E-4</v>
      </c>
      <c r="G1276" s="41">
        <v>3.3395728560299937E-3</v>
      </c>
      <c r="H1276" s="14">
        <v>1.3596491228070162E-2</v>
      </c>
      <c r="I1276" s="14">
        <v>1.5943374876112859E-2</v>
      </c>
      <c r="J1276" s="14">
        <v>8.6556667568298273E-3</v>
      </c>
      <c r="K1276" s="14">
        <v>8.5627335130863194E-3</v>
      </c>
    </row>
    <row r="1277" spans="2:11" x14ac:dyDescent="0.25">
      <c r="B1277" s="29">
        <v>1269</v>
      </c>
      <c r="C1277" s="30">
        <v>0.92223837209302328</v>
      </c>
      <c r="D1277" s="41">
        <v>-5.5314501615295105E-3</v>
      </c>
      <c r="E1277" s="41">
        <v>0</v>
      </c>
      <c r="F1277" s="41">
        <v>1.1232633757018995E-3</v>
      </c>
      <c r="G1277" s="41">
        <v>2.246526751403799E-4</v>
      </c>
      <c r="H1277" s="14">
        <v>1.3672251396614987E-2</v>
      </c>
      <c r="I1277" s="14">
        <v>1.5996412019733786E-2</v>
      </c>
      <c r="J1277" s="14">
        <v>8.690254500310246E-3</v>
      </c>
      <c r="K1277" s="14">
        <v>8.6172073663823411E-3</v>
      </c>
    </row>
    <row r="1278" spans="2:11" x14ac:dyDescent="0.25">
      <c r="B1278" s="29">
        <v>1270</v>
      </c>
      <c r="C1278" s="30">
        <v>0.92296511627906974</v>
      </c>
      <c r="D1278" s="41">
        <v>-6.2591172299000641E-3</v>
      </c>
      <c r="E1278" s="41">
        <v>-1.2321276681923177E-2</v>
      </c>
      <c r="F1278" s="41">
        <v>1.0574740112319292E-2</v>
      </c>
      <c r="G1278" s="41">
        <v>-1.081285039807645E-3</v>
      </c>
      <c r="H1278" s="14">
        <v>1.3703259591350658E-2</v>
      </c>
      <c r="I1278" s="14">
        <v>1.599775251086677E-2</v>
      </c>
      <c r="J1278" s="14">
        <v>8.7156555709742012E-3</v>
      </c>
      <c r="K1278" s="14">
        <v>8.6226664258531194E-3</v>
      </c>
    </row>
    <row r="1279" spans="2:11" x14ac:dyDescent="0.25">
      <c r="B1279" s="29">
        <v>1271</v>
      </c>
      <c r="C1279" s="30">
        <v>0.92369186046511631</v>
      </c>
      <c r="D1279" s="41">
        <v>1.0779016987665778E-2</v>
      </c>
      <c r="E1279" s="41">
        <v>-2.3498244808241253E-2</v>
      </c>
      <c r="F1279" s="41">
        <v>-8.9994079336885857E-3</v>
      </c>
      <c r="G1279" s="41">
        <v>-1.4286067638099366E-2</v>
      </c>
      <c r="H1279" s="14">
        <v>1.3711325006845243E-2</v>
      </c>
      <c r="I1279" s="14">
        <v>1.6079887338368959E-2</v>
      </c>
      <c r="J1279" s="14">
        <v>8.772959378299916E-3</v>
      </c>
      <c r="K1279" s="14">
        <v>8.6236272151523075E-3</v>
      </c>
    </row>
    <row r="1280" spans="2:11" x14ac:dyDescent="0.25">
      <c r="B1280" s="29">
        <v>1272</v>
      </c>
      <c r="C1280" s="30">
        <v>0.92441860465116277</v>
      </c>
      <c r="D1280" s="41">
        <v>5.8626260711248631E-3</v>
      </c>
      <c r="E1280" s="41">
        <v>6.8789423731092647E-3</v>
      </c>
      <c r="F1280" s="41">
        <v>-5.5346208195949931E-3</v>
      </c>
      <c r="G1280" s="41">
        <v>-5.2625996785518039E-4</v>
      </c>
      <c r="H1280" s="14">
        <v>1.393584401289405E-2</v>
      </c>
      <c r="I1280" s="14">
        <v>1.6153750890120389E-2</v>
      </c>
      <c r="J1280" s="14">
        <v>8.9459919074807992E-3</v>
      </c>
      <c r="K1280" s="14">
        <v>8.7331322341588375E-3</v>
      </c>
    </row>
    <row r="1281" spans="2:11" x14ac:dyDescent="0.25">
      <c r="B1281" s="29">
        <v>1273</v>
      </c>
      <c r="C1281" s="30">
        <v>0.92514534883720934</v>
      </c>
      <c r="D1281" s="41">
        <v>1.4353128247159282E-2</v>
      </c>
      <c r="E1281" s="41">
        <v>-1.4397971270792009E-2</v>
      </c>
      <c r="F1281" s="41">
        <v>-7.8280172917396529E-3</v>
      </c>
      <c r="G1281" s="41">
        <v>-1.1855329968052365E-2</v>
      </c>
      <c r="H1281" s="14">
        <v>1.3969677715963025E-2</v>
      </c>
      <c r="I1281" s="14">
        <v>1.6176511299565322E-2</v>
      </c>
      <c r="J1281" s="14">
        <v>8.9930054402131976E-3</v>
      </c>
      <c r="K1281" s="14">
        <v>8.7449133474423405E-3</v>
      </c>
    </row>
    <row r="1282" spans="2:11" x14ac:dyDescent="0.25">
      <c r="B1282" s="29">
        <v>1274</v>
      </c>
      <c r="C1282" s="30">
        <v>0.92587209302325579</v>
      </c>
      <c r="D1282" s="41">
        <v>1.0370770901788198E-2</v>
      </c>
      <c r="E1282" s="41">
        <v>-1.1341323041504925E-3</v>
      </c>
      <c r="F1282" s="41">
        <v>-6.2695924764889499E-3</v>
      </c>
      <c r="G1282" s="41">
        <v>-2.9642258248350215E-4</v>
      </c>
      <c r="H1282" s="14">
        <v>1.4034630341741128E-2</v>
      </c>
      <c r="I1282" s="14">
        <v>1.6237897648686106E-2</v>
      </c>
      <c r="J1282" s="14">
        <v>9.0141642047771864E-3</v>
      </c>
      <c r="K1282" s="14">
        <v>8.813983295606476E-3</v>
      </c>
    </row>
    <row r="1283" spans="2:11" x14ac:dyDescent="0.25">
      <c r="B1283" s="29">
        <v>1275</v>
      </c>
      <c r="C1283" s="30">
        <v>0.92659883720930236</v>
      </c>
      <c r="D1283" s="41">
        <v>1.0043340024290377E-2</v>
      </c>
      <c r="E1283" s="41">
        <v>2.3691301326916214E-2</v>
      </c>
      <c r="F1283" s="41">
        <v>1.0381840577159851E-2</v>
      </c>
      <c r="G1283" s="41">
        <v>7.9088961307474115E-3</v>
      </c>
      <c r="H1283" s="14">
        <v>1.4061300529873311E-2</v>
      </c>
      <c r="I1283" s="14">
        <v>1.643366214174935E-2</v>
      </c>
      <c r="J1283" s="14">
        <v>9.0638577928359165E-3</v>
      </c>
      <c r="K1283" s="14">
        <v>8.8631516711330949E-3</v>
      </c>
    </row>
    <row r="1284" spans="2:11" x14ac:dyDescent="0.25">
      <c r="B1284" s="29">
        <v>1276</v>
      </c>
      <c r="C1284" s="30">
        <v>0.92732558139534882</v>
      </c>
      <c r="D1284" s="41">
        <v>-9.028880763392113E-3</v>
      </c>
      <c r="E1284" s="41">
        <v>6.2409985597695616E-3</v>
      </c>
      <c r="F1284" s="41">
        <v>9.3935302060699222E-4</v>
      </c>
      <c r="G1284" s="41">
        <v>1.5550808697710752E-3</v>
      </c>
      <c r="H1284" s="14">
        <v>1.4099122790081076E-2</v>
      </c>
      <c r="I1284" s="14">
        <v>1.6496615533071246E-2</v>
      </c>
      <c r="J1284" s="14">
        <v>9.0744396651689652E-3</v>
      </c>
      <c r="K1284" s="14">
        <v>9.0267070046110131E-3</v>
      </c>
    </row>
    <row r="1285" spans="2:11" x14ac:dyDescent="0.25">
      <c r="B1285" s="29">
        <v>1277</v>
      </c>
      <c r="C1285" s="30">
        <v>0.92805232558139539</v>
      </c>
      <c r="D1285" s="41">
        <v>6.8475202827866493E-3</v>
      </c>
      <c r="E1285" s="41">
        <v>-1.0882798104764446E-2</v>
      </c>
      <c r="F1285" s="41">
        <v>-3.918128654970765E-3</v>
      </c>
      <c r="G1285" s="41">
        <v>-9.3143306191441066E-3</v>
      </c>
      <c r="H1285" s="14">
        <v>1.4103545697749409E-2</v>
      </c>
      <c r="I1285" s="14">
        <v>1.666463819946995E-2</v>
      </c>
      <c r="J1285" s="14">
        <v>9.1100845997482693E-3</v>
      </c>
      <c r="K1285" s="14">
        <v>9.1672464480170301E-3</v>
      </c>
    </row>
    <row r="1286" spans="2:11" x14ac:dyDescent="0.25">
      <c r="B1286" s="29">
        <v>1278</v>
      </c>
      <c r="C1286" s="30">
        <v>0.92877906976744184</v>
      </c>
      <c r="D1286" s="41">
        <v>3.3254263775529761E-3</v>
      </c>
      <c r="E1286" s="41">
        <v>9.9713085783192934E-3</v>
      </c>
      <c r="F1286" s="41">
        <v>4.1103934233703843E-3</v>
      </c>
      <c r="G1286" s="41">
        <v>7.5863931971298822E-3</v>
      </c>
      <c r="H1286" s="14">
        <v>1.4152571625819954E-2</v>
      </c>
      <c r="I1286" s="14">
        <v>1.6692207348117272E-2</v>
      </c>
      <c r="J1286" s="14">
        <v>9.1362996711550348E-3</v>
      </c>
      <c r="K1286" s="14">
        <v>9.1841074640446781E-3</v>
      </c>
    </row>
    <row r="1287" spans="2:11" x14ac:dyDescent="0.25">
      <c r="B1287" s="29">
        <v>1279</v>
      </c>
      <c r="C1287" s="30">
        <v>0.92950581395348841</v>
      </c>
      <c r="D1287" s="41">
        <v>1.4966024699754395E-3</v>
      </c>
      <c r="E1287" s="41">
        <v>-5.5416488257962193E-3</v>
      </c>
      <c r="F1287" s="41">
        <v>-2.2668579626972662E-2</v>
      </c>
      <c r="G1287" s="41">
        <v>-1.5465725221511951E-2</v>
      </c>
      <c r="H1287" s="14">
        <v>1.4218009478673244E-2</v>
      </c>
      <c r="I1287" s="14">
        <v>1.6869122411496296E-2</v>
      </c>
      <c r="J1287" s="14">
        <v>9.1675207835097972E-3</v>
      </c>
      <c r="K1287" s="14">
        <v>9.2220894374864578E-3</v>
      </c>
    </row>
    <row r="1288" spans="2:11" x14ac:dyDescent="0.25">
      <c r="B1288" s="29">
        <v>1280</v>
      </c>
      <c r="C1288" s="30">
        <v>0.93023255813953487</v>
      </c>
      <c r="D1288" s="41">
        <v>-7.6876717921956685E-3</v>
      </c>
      <c r="E1288" s="41">
        <v>6.0527775707743814E-3</v>
      </c>
      <c r="F1288" s="41">
        <v>1.782223755318002E-3</v>
      </c>
      <c r="G1288" s="41">
        <v>3.8922210854157148E-3</v>
      </c>
      <c r="H1288" s="14">
        <v>1.4236932426135773E-2</v>
      </c>
      <c r="I1288" s="14">
        <v>1.6986147597851664E-2</v>
      </c>
      <c r="J1288" s="14">
        <v>9.1723202170963525E-3</v>
      </c>
      <c r="K1288" s="14">
        <v>9.237702414886818E-3</v>
      </c>
    </row>
    <row r="1289" spans="2:11" x14ac:dyDescent="0.25">
      <c r="B1289" s="29">
        <v>1281</v>
      </c>
      <c r="C1289" s="30">
        <v>0.93095930232558144</v>
      </c>
      <c r="D1289" s="41">
        <v>-7.6671850982274478E-3</v>
      </c>
      <c r="E1289" s="41">
        <v>-3.432042270909208E-3</v>
      </c>
      <c r="F1289" s="41">
        <v>-3.6088675030074846E-3</v>
      </c>
      <c r="G1289" s="41">
        <v>-7.3252852908498609E-4</v>
      </c>
      <c r="H1289" s="14">
        <v>1.4258060487480018E-2</v>
      </c>
      <c r="I1289" s="14">
        <v>1.6989491961799885E-2</v>
      </c>
      <c r="J1289" s="14">
        <v>9.1792366740031106E-3</v>
      </c>
      <c r="K1289" s="14">
        <v>9.24537125263627E-3</v>
      </c>
    </row>
    <row r="1290" spans="2:11" x14ac:dyDescent="0.25">
      <c r="B1290" s="29">
        <v>1282</v>
      </c>
      <c r="C1290" s="30">
        <v>0.9316860465116279</v>
      </c>
      <c r="D1290" s="41">
        <v>1.5585462563212046E-2</v>
      </c>
      <c r="E1290" s="41">
        <v>-1.6368666639137719E-2</v>
      </c>
      <c r="F1290" s="41">
        <v>5.587557603686788E-3</v>
      </c>
      <c r="G1290" s="41">
        <v>-7.2632787165298751E-3</v>
      </c>
      <c r="H1290" s="14">
        <v>1.4359009579487214E-2</v>
      </c>
      <c r="I1290" s="14">
        <v>1.7217396241412608E-2</v>
      </c>
      <c r="J1290" s="14">
        <v>9.1967465844453589E-3</v>
      </c>
      <c r="K1290" s="14">
        <v>9.2489069878144651E-3</v>
      </c>
    </row>
    <row r="1291" spans="2:11" x14ac:dyDescent="0.25">
      <c r="B1291" s="29">
        <v>1283</v>
      </c>
      <c r="C1291" s="30">
        <v>0.93241279069767447</v>
      </c>
      <c r="D1291" s="41">
        <v>-1.2518514430907627E-2</v>
      </c>
      <c r="E1291" s="41">
        <v>-1.6271630437520335E-2</v>
      </c>
      <c r="F1291" s="41">
        <v>-7.3193046660567918E-3</v>
      </c>
      <c r="G1291" s="41">
        <v>-7.1495968497453655E-3</v>
      </c>
      <c r="H1291" s="14">
        <v>1.4410574272138765E-2</v>
      </c>
      <c r="I1291" s="14">
        <v>1.7286556086456573E-2</v>
      </c>
      <c r="J1291" s="14">
        <v>9.2665646275813529E-3</v>
      </c>
      <c r="K1291" s="14">
        <v>9.3710596733614267E-3</v>
      </c>
    </row>
    <row r="1292" spans="2:11" x14ac:dyDescent="0.25">
      <c r="B1292" s="29">
        <v>1284</v>
      </c>
      <c r="C1292" s="30">
        <v>0.93313953488372092</v>
      </c>
      <c r="D1292" s="41">
        <v>1.1191718543163519E-2</v>
      </c>
      <c r="E1292" s="41">
        <v>1.6079887338368959E-2</v>
      </c>
      <c r="F1292" s="41">
        <v>-5.4029460274128693E-3</v>
      </c>
      <c r="G1292" s="41">
        <v>1.1115595438720517E-2</v>
      </c>
      <c r="H1292" s="14">
        <v>1.4483545128706421E-2</v>
      </c>
      <c r="I1292" s="14">
        <v>1.7381693961619593E-2</v>
      </c>
      <c r="J1292" s="14">
        <v>9.4172979022626446E-3</v>
      </c>
      <c r="K1292" s="14">
        <v>9.3852322573904981E-3</v>
      </c>
    </row>
    <row r="1293" spans="2:11" x14ac:dyDescent="0.25">
      <c r="B1293" s="29">
        <v>1285</v>
      </c>
      <c r="C1293" s="30">
        <v>0.93386627906976749</v>
      </c>
      <c r="D1293" s="41">
        <v>-3.6460911987035594E-3</v>
      </c>
      <c r="E1293" s="41">
        <v>1.0449478786046074E-2</v>
      </c>
      <c r="F1293" s="41">
        <v>2.7373823781009499E-3</v>
      </c>
      <c r="G1293" s="41">
        <v>5.5610376490369232E-4</v>
      </c>
      <c r="H1293" s="14">
        <v>1.4539200156960863E-2</v>
      </c>
      <c r="I1293" s="14">
        <v>1.7444354914661897E-2</v>
      </c>
      <c r="J1293" s="14">
        <v>9.4479234366102727E-3</v>
      </c>
      <c r="K1293" s="14">
        <v>9.4018193707909436E-3</v>
      </c>
    </row>
    <row r="1294" spans="2:11" x14ac:dyDescent="0.25">
      <c r="B1294" s="29">
        <v>1286</v>
      </c>
      <c r="C1294" s="30">
        <v>0.93459302325581395</v>
      </c>
      <c r="D1294" s="41">
        <v>-1.2746935038089133E-2</v>
      </c>
      <c r="E1294" s="41">
        <v>2.4024673089870774E-3</v>
      </c>
      <c r="F1294" s="41">
        <v>3.8930554760405744E-3</v>
      </c>
      <c r="G1294" s="41">
        <v>-1.2055314149608254E-3</v>
      </c>
      <c r="H1294" s="14">
        <v>1.4594783070715822E-2</v>
      </c>
      <c r="I1294" s="14">
        <v>1.7483864752913858E-2</v>
      </c>
      <c r="J1294" s="14">
        <v>9.4640317756093939E-3</v>
      </c>
      <c r="K1294" s="14">
        <v>9.4421950585778201E-3</v>
      </c>
    </row>
    <row r="1295" spans="2:11" x14ac:dyDescent="0.25">
      <c r="B1295" s="29">
        <v>1287</v>
      </c>
      <c r="C1295" s="30">
        <v>0.93531976744186052</v>
      </c>
      <c r="D1295" s="41">
        <v>1.4700069488362154E-3</v>
      </c>
      <c r="E1295" s="41">
        <v>-1.0781045263803524E-3</v>
      </c>
      <c r="F1295" s="41">
        <v>-2.0567902645260983E-3</v>
      </c>
      <c r="G1295" s="41">
        <v>-2.6008071199868704E-3</v>
      </c>
      <c r="H1295" s="14">
        <v>1.4750187207216658E-2</v>
      </c>
      <c r="I1295" s="14">
        <v>1.7664090497602203E-2</v>
      </c>
      <c r="J1295" s="14">
        <v>9.5283468318247966E-3</v>
      </c>
      <c r="K1295" s="14">
        <v>9.4661931526169654E-3</v>
      </c>
    </row>
    <row r="1296" spans="2:11" x14ac:dyDescent="0.25">
      <c r="B1296" s="29">
        <v>1288</v>
      </c>
      <c r="C1296" s="30">
        <v>0.93604651162790697</v>
      </c>
      <c r="D1296" s="41">
        <v>-9.5186041339043387E-4</v>
      </c>
      <c r="E1296" s="41">
        <v>5.5706837578455293E-3</v>
      </c>
      <c r="F1296" s="41">
        <v>2.2858449054230512E-4</v>
      </c>
      <c r="G1296" s="41">
        <v>8.3125630187144152E-4</v>
      </c>
      <c r="H1296" s="14">
        <v>1.4893148022246505E-2</v>
      </c>
      <c r="I1296" s="14">
        <v>1.7741655076495055E-2</v>
      </c>
      <c r="J1296" s="14">
        <v>9.5524876264694303E-3</v>
      </c>
      <c r="K1296" s="14">
        <v>9.4911647070747857E-3</v>
      </c>
    </row>
    <row r="1297" spans="2:11" x14ac:dyDescent="0.25">
      <c r="B1297" s="29">
        <v>1289</v>
      </c>
      <c r="C1297" s="30">
        <v>0.93677325581395354</v>
      </c>
      <c r="D1297" s="41">
        <v>1.8017151174352262E-3</v>
      </c>
      <c r="E1297" s="41">
        <v>3.8803530295650202E-3</v>
      </c>
      <c r="F1297" s="41">
        <v>-4.5508845781899732E-3</v>
      </c>
      <c r="G1297" s="41">
        <v>1.9712359660855718E-3</v>
      </c>
      <c r="H1297" s="14">
        <v>1.494347364028048E-2</v>
      </c>
      <c r="I1297" s="14">
        <v>1.7774126114133093E-2</v>
      </c>
      <c r="J1297" s="14">
        <v>9.5582106140592593E-3</v>
      </c>
      <c r="K1297" s="14">
        <v>9.5078928127794622E-3</v>
      </c>
    </row>
    <row r="1298" spans="2:11" x14ac:dyDescent="0.25">
      <c r="B1298" s="29">
        <v>1290</v>
      </c>
      <c r="C1298" s="30">
        <v>0.9375</v>
      </c>
      <c r="D1298" s="41">
        <v>-1.4324218354411979E-2</v>
      </c>
      <c r="E1298" s="41">
        <v>3.9640439827950402E-3</v>
      </c>
      <c r="F1298" s="41">
        <v>-3.3450504592356101E-3</v>
      </c>
      <c r="G1298" s="41">
        <v>7.7538773250160906E-3</v>
      </c>
      <c r="H1298" s="14">
        <v>1.4988078209617894E-2</v>
      </c>
      <c r="I1298" s="14">
        <v>1.7799072395777715E-2</v>
      </c>
      <c r="J1298" s="14">
        <v>9.587757060911084E-3</v>
      </c>
      <c r="K1298" s="14">
        <v>9.5870979716187622E-3</v>
      </c>
    </row>
    <row r="1299" spans="2:11" x14ac:dyDescent="0.25">
      <c r="B1299" s="29">
        <v>1291</v>
      </c>
      <c r="C1299" s="30">
        <v>0.93822674418604646</v>
      </c>
      <c r="D1299" s="41">
        <v>3.2828846652816206E-5</v>
      </c>
      <c r="E1299" s="41">
        <v>-5.2426786811387016E-3</v>
      </c>
      <c r="F1299" s="41">
        <v>-4.2903917805127145E-3</v>
      </c>
      <c r="G1299" s="41">
        <v>-2.5364559209420491E-3</v>
      </c>
      <c r="H1299" s="14">
        <v>1.5023161368106885E-2</v>
      </c>
      <c r="I1299" s="14">
        <v>1.7857573783151004E-2</v>
      </c>
      <c r="J1299" s="14">
        <v>9.6764958488406716E-3</v>
      </c>
      <c r="K1299" s="14">
        <v>9.5945698530902849E-3</v>
      </c>
    </row>
    <row r="1300" spans="2:11" x14ac:dyDescent="0.25">
      <c r="B1300" s="29">
        <v>1292</v>
      </c>
      <c r="C1300" s="30">
        <v>0.93895348837209303</v>
      </c>
      <c r="D1300" s="41">
        <v>4.0068286732601642E-3</v>
      </c>
      <c r="E1300" s="41">
        <v>-1.1339399678840567E-2</v>
      </c>
      <c r="F1300" s="41">
        <v>6.0199909132214735E-3</v>
      </c>
      <c r="G1300" s="41">
        <v>-4.0520916464853677E-3</v>
      </c>
      <c r="H1300" s="14">
        <v>1.5220582554276607E-2</v>
      </c>
      <c r="I1300" s="14">
        <v>1.7902461950037862E-2</v>
      </c>
      <c r="J1300" s="14">
        <v>9.7389599344659405E-3</v>
      </c>
      <c r="K1300" s="14">
        <v>9.6388817953443357E-3</v>
      </c>
    </row>
    <row r="1301" spans="2:11" x14ac:dyDescent="0.25">
      <c r="B1301" s="29">
        <v>1293</v>
      </c>
      <c r="C1301" s="30">
        <v>0.93968023255813948</v>
      </c>
      <c r="D1301" s="41">
        <v>2.6162436871831614E-3</v>
      </c>
      <c r="E1301" s="41">
        <v>3.1817954655251057E-3</v>
      </c>
      <c r="F1301" s="41">
        <v>4.1631023666950373E-3</v>
      </c>
      <c r="G1301" s="41">
        <v>3.4244463220125978E-3</v>
      </c>
      <c r="H1301" s="14">
        <v>1.5386982612709987E-2</v>
      </c>
      <c r="I1301" s="14">
        <v>1.794793994060262E-2</v>
      </c>
      <c r="J1301" s="14">
        <v>9.7764625059451049E-3</v>
      </c>
      <c r="K1301" s="14">
        <v>9.6591472610618734E-3</v>
      </c>
    </row>
    <row r="1302" spans="2:11" x14ac:dyDescent="0.25">
      <c r="B1302" s="29">
        <v>1294</v>
      </c>
      <c r="C1302" s="30">
        <v>0.94040697674418605</v>
      </c>
      <c r="D1302" s="41">
        <v>-3.3496680402727622E-3</v>
      </c>
      <c r="E1302" s="41">
        <v>-1.7328130189306012E-2</v>
      </c>
      <c r="F1302" s="41">
        <v>4.5643863753075387E-4</v>
      </c>
      <c r="G1302" s="41">
        <v>-1.6723955067473772E-2</v>
      </c>
      <c r="H1302" s="14">
        <v>1.5402451142762619E-2</v>
      </c>
      <c r="I1302" s="14">
        <v>1.8036007944813415E-2</v>
      </c>
      <c r="J1302" s="14">
        <v>9.7915726390960245E-3</v>
      </c>
      <c r="K1302" s="14">
        <v>9.6911570654497417E-3</v>
      </c>
    </row>
    <row r="1303" spans="2:11" x14ac:dyDescent="0.25">
      <c r="B1303" s="29">
        <v>1295</v>
      </c>
      <c r="C1303" s="30">
        <v>0.94113372093023251</v>
      </c>
      <c r="D1303" s="41">
        <v>6.348505812266733E-3</v>
      </c>
      <c r="E1303" s="41">
        <v>-8.4492999754881559E-5</v>
      </c>
      <c r="F1303" s="41">
        <v>-1.3896703049398051E-2</v>
      </c>
      <c r="G1303" s="41">
        <v>-3.5744081797113524E-3</v>
      </c>
      <c r="H1303" s="14">
        <v>1.5643598027546224E-2</v>
      </c>
      <c r="I1303" s="14">
        <v>1.8083227931323886E-2</v>
      </c>
      <c r="J1303" s="14">
        <v>9.8341484159047976E-3</v>
      </c>
      <c r="K1303" s="14">
        <v>9.7101559438545169E-3</v>
      </c>
    </row>
    <row r="1304" spans="2:11" x14ac:dyDescent="0.25">
      <c r="B1304" s="29">
        <v>1296</v>
      </c>
      <c r="C1304" s="30">
        <v>0.94186046511627908</v>
      </c>
      <c r="D1304" s="41">
        <v>-1.3026177292330039E-2</v>
      </c>
      <c r="E1304" s="41">
        <v>5.6868593833179215E-3</v>
      </c>
      <c r="F1304" s="41">
        <v>-7.427263081476343E-3</v>
      </c>
      <c r="G1304" s="41">
        <v>-3.1911641126403769E-3</v>
      </c>
      <c r="H1304" s="14">
        <v>1.56832784025982E-2</v>
      </c>
      <c r="I1304" s="14">
        <v>1.8244537037700903E-2</v>
      </c>
      <c r="J1304" s="14">
        <v>9.8379939047212872E-3</v>
      </c>
      <c r="K1304" s="14">
        <v>9.782146295831318E-3</v>
      </c>
    </row>
    <row r="1305" spans="2:11" x14ac:dyDescent="0.25">
      <c r="B1305" s="29">
        <v>1297</v>
      </c>
      <c r="C1305" s="30">
        <v>0.94258720930232553</v>
      </c>
      <c r="D1305" s="41">
        <v>-9.1373817357039821E-3</v>
      </c>
      <c r="E1305" s="41">
        <v>9.4945217449748931E-4</v>
      </c>
      <c r="F1305" s="41">
        <v>-3.5058430717862521E-3</v>
      </c>
      <c r="G1305" s="41">
        <v>-1.3244973844418252E-3</v>
      </c>
      <c r="H1305" s="14">
        <v>1.6020750686603469E-2</v>
      </c>
      <c r="I1305" s="14">
        <v>1.8335201548920654E-2</v>
      </c>
      <c r="J1305" s="14">
        <v>9.9150780788312964E-3</v>
      </c>
      <c r="K1305" s="14">
        <v>9.7862661016723251E-3</v>
      </c>
    </row>
    <row r="1306" spans="2:11" x14ac:dyDescent="0.25">
      <c r="B1306" s="29">
        <v>1298</v>
      </c>
      <c r="C1306" s="30">
        <v>0.9433139534883721</v>
      </c>
      <c r="D1306" s="41">
        <v>-7.6100869437302834E-4</v>
      </c>
      <c r="E1306" s="41">
        <v>-3.8277833273173689E-3</v>
      </c>
      <c r="F1306" s="41">
        <v>1.2257633162469084E-3</v>
      </c>
      <c r="G1306" s="41">
        <v>-1.2859606676775661E-3</v>
      </c>
      <c r="H1306" s="14">
        <v>1.6106465904926814E-2</v>
      </c>
      <c r="I1306" s="14">
        <v>1.8345833114805643E-2</v>
      </c>
      <c r="J1306" s="14">
        <v>9.9249855741487814E-3</v>
      </c>
      <c r="K1306" s="14">
        <v>9.7904114297114649E-3</v>
      </c>
    </row>
    <row r="1307" spans="2:11" x14ac:dyDescent="0.25">
      <c r="B1307" s="29">
        <v>1299</v>
      </c>
      <c r="C1307" s="30">
        <v>0.94404069767441856</v>
      </c>
      <c r="D1307" s="41">
        <v>8.5298278269883062E-3</v>
      </c>
      <c r="E1307" s="41">
        <v>-7.3394959257793158E-3</v>
      </c>
      <c r="F1307" s="41">
        <v>-1.5036768741082285E-2</v>
      </c>
      <c r="G1307" s="41">
        <v>-3.3687353848194991E-3</v>
      </c>
      <c r="H1307" s="14">
        <v>1.6170055823849783E-2</v>
      </c>
      <c r="I1307" s="14">
        <v>1.8480808391286185E-2</v>
      </c>
      <c r="J1307" s="14">
        <v>9.9270759821217247E-3</v>
      </c>
      <c r="K1307" s="14">
        <v>9.8341867755212583E-3</v>
      </c>
    </row>
    <row r="1308" spans="2:11" x14ac:dyDescent="0.25">
      <c r="B1308" s="29">
        <v>1300</v>
      </c>
      <c r="C1308" s="30">
        <v>0.94476744186046513</v>
      </c>
      <c r="D1308" s="41">
        <v>1.414805168411859E-4</v>
      </c>
      <c r="E1308" s="41">
        <v>3.0899305614506822E-3</v>
      </c>
      <c r="F1308" s="41">
        <v>-1.8624014022786683E-3</v>
      </c>
      <c r="G1308" s="41">
        <v>-4.2124473044765189E-3</v>
      </c>
      <c r="H1308" s="14">
        <v>1.6185207010903646E-2</v>
      </c>
      <c r="I1308" s="14">
        <v>1.8563393631575664E-2</v>
      </c>
      <c r="J1308" s="14">
        <v>1.0034562010358794E-2</v>
      </c>
      <c r="K1308" s="14">
        <v>9.8451119070439141E-3</v>
      </c>
    </row>
    <row r="1309" spans="2:11" x14ac:dyDescent="0.25">
      <c r="B1309" s="29">
        <v>1301</v>
      </c>
      <c r="C1309" s="30">
        <v>0.94549418604651159</v>
      </c>
      <c r="D1309" s="41">
        <v>9.1611667602025972E-3</v>
      </c>
      <c r="E1309" s="41">
        <v>-1.6662999509165166E-2</v>
      </c>
      <c r="F1309" s="41">
        <v>-4.0914298183406528E-3</v>
      </c>
      <c r="G1309" s="41">
        <v>-1.50778588065003E-2</v>
      </c>
      <c r="H1309" s="14">
        <v>1.6308919280974443E-2</v>
      </c>
      <c r="I1309" s="14">
        <v>1.8727724660362766E-2</v>
      </c>
      <c r="J1309" s="14">
        <v>1.0044327077242343E-2</v>
      </c>
      <c r="K1309" s="14">
        <v>9.9000519520668923E-3</v>
      </c>
    </row>
    <row r="1310" spans="2:11" x14ac:dyDescent="0.25">
      <c r="B1310" s="29">
        <v>1302</v>
      </c>
      <c r="C1310" s="30">
        <v>0.94622093023255816</v>
      </c>
      <c r="D1310" s="41">
        <v>2.6587627120398106E-3</v>
      </c>
      <c r="E1310" s="41">
        <v>8.1241340137869766E-3</v>
      </c>
      <c r="F1310" s="41">
        <v>4.4383561643834835E-3</v>
      </c>
      <c r="G1310" s="41">
        <v>9.237702414886818E-3</v>
      </c>
      <c r="H1310" s="14">
        <v>1.6342053766689402E-2</v>
      </c>
      <c r="I1310" s="14">
        <v>1.8953732912723398E-2</v>
      </c>
      <c r="J1310" s="14">
        <v>1.0052400812747164E-2</v>
      </c>
      <c r="K1310" s="14">
        <v>9.9227679363342886E-3</v>
      </c>
    </row>
    <row r="1311" spans="2:11" x14ac:dyDescent="0.25">
      <c r="B1311" s="29">
        <v>1303</v>
      </c>
      <c r="C1311" s="30">
        <v>0.94694767441860461</v>
      </c>
      <c r="D1311" s="41">
        <v>-2.332020148621082E-2</v>
      </c>
      <c r="E1311" s="41">
        <v>-1.2079459796313974E-2</v>
      </c>
      <c r="F1311" s="41">
        <v>-5.4791518272812034E-5</v>
      </c>
      <c r="G1311" s="41">
        <v>-7.9638586528617099E-3</v>
      </c>
      <c r="H1311" s="14">
        <v>1.6379457430472755E-2</v>
      </c>
      <c r="I1311" s="14">
        <v>1.9009482412135181E-2</v>
      </c>
      <c r="J1311" s="14">
        <v>1.0065227170490409E-2</v>
      </c>
      <c r="K1311" s="14">
        <v>9.9375913812817639E-3</v>
      </c>
    </row>
    <row r="1312" spans="2:11" x14ac:dyDescent="0.25">
      <c r="B1312" s="29">
        <v>1304</v>
      </c>
      <c r="C1312" s="30">
        <v>0.94767441860465118</v>
      </c>
      <c r="D1312" s="41">
        <v>-7.5097077940256369E-3</v>
      </c>
      <c r="E1312" s="41">
        <v>6.9560859271036168E-3</v>
      </c>
      <c r="F1312" s="41">
        <v>-9.1210163418211643E-3</v>
      </c>
      <c r="G1312" s="41">
        <v>3.6028863527749703E-3</v>
      </c>
      <c r="H1312" s="14">
        <v>1.642222192691678E-2</v>
      </c>
      <c r="I1312" s="14">
        <v>1.9227661980933952E-2</v>
      </c>
      <c r="J1312" s="14">
        <v>1.0124063670411854E-2</v>
      </c>
      <c r="K1312" s="14">
        <v>1.005028359768634E-2</v>
      </c>
    </row>
    <row r="1313" spans="2:11" x14ac:dyDescent="0.25">
      <c r="B1313" s="29">
        <v>1305</v>
      </c>
      <c r="C1313" s="30">
        <v>0.94840116279069764</v>
      </c>
      <c r="D1313" s="41">
        <v>1.1606839208268264E-2</v>
      </c>
      <c r="E1313" s="41">
        <v>-2.7632132222327188E-3</v>
      </c>
      <c r="F1313" s="41">
        <v>8.6523191501013397E-3</v>
      </c>
      <c r="G1313" s="41">
        <v>-8.7612694190153384E-4</v>
      </c>
      <c r="H1313" s="14">
        <v>1.6447826288683798E-2</v>
      </c>
      <c r="I1313" s="14">
        <v>1.9438444924406051E-2</v>
      </c>
      <c r="J1313" s="14">
        <v>1.0134117570739454E-2</v>
      </c>
      <c r="K1313" s="14">
        <v>1.0221806929896849E-2</v>
      </c>
    </row>
    <row r="1314" spans="2:11" x14ac:dyDescent="0.25">
      <c r="B1314" s="29">
        <v>1306</v>
      </c>
      <c r="C1314" s="30">
        <v>0.94912790697674421</v>
      </c>
      <c r="D1314" s="41">
        <v>-1.7067183850006384E-2</v>
      </c>
      <c r="E1314" s="41">
        <v>1.9654243647222014E-2</v>
      </c>
      <c r="F1314" s="41">
        <v>5.4764512595895098E-5</v>
      </c>
      <c r="G1314" s="41">
        <v>1.1459873948631571E-2</v>
      </c>
      <c r="H1314" s="14">
        <v>1.6475893166840061E-2</v>
      </c>
      <c r="I1314" s="14">
        <v>1.9636805378207001E-2</v>
      </c>
      <c r="J1314" s="14">
        <v>1.0140405616224646E-2</v>
      </c>
      <c r="K1314" s="14">
        <v>1.0344481588195275E-2</v>
      </c>
    </row>
    <row r="1315" spans="2:11" x14ac:dyDescent="0.25">
      <c r="B1315" s="29">
        <v>1307</v>
      </c>
      <c r="C1315" s="30">
        <v>0.94985465116279066</v>
      </c>
      <c r="D1315" s="41">
        <v>-6.3338470568953375E-3</v>
      </c>
      <c r="E1315" s="41">
        <v>-4.8272893757437263E-3</v>
      </c>
      <c r="F1315" s="41">
        <v>3.903458134037141E-3</v>
      </c>
      <c r="G1315" s="41">
        <v>-1.1258724858424609E-3</v>
      </c>
      <c r="H1315" s="14">
        <v>1.6533901078844115E-2</v>
      </c>
      <c r="I1315" s="14">
        <v>1.9654243647222014E-2</v>
      </c>
      <c r="J1315" s="14">
        <v>1.0182991710368627E-2</v>
      </c>
      <c r="K1315" s="14">
        <v>1.0351071717645511E-2</v>
      </c>
    </row>
    <row r="1316" spans="2:11" x14ac:dyDescent="0.25">
      <c r="B1316" s="29">
        <v>1308</v>
      </c>
      <c r="C1316" s="30">
        <v>0.95058139534883723</v>
      </c>
      <c r="D1316" s="41">
        <v>4.7544163243502758E-3</v>
      </c>
      <c r="E1316" s="41">
        <v>-1.5010049100669165E-2</v>
      </c>
      <c r="F1316" s="41">
        <v>1.0996865893231345E-4</v>
      </c>
      <c r="G1316" s="41">
        <v>-1.2800069373508284E-2</v>
      </c>
      <c r="H1316" s="14">
        <v>1.6686808098538064E-2</v>
      </c>
      <c r="I1316" s="14">
        <v>1.968478005175256E-2</v>
      </c>
      <c r="J1316" s="14">
        <v>1.0247654037482734E-2</v>
      </c>
      <c r="K1316" s="14">
        <v>1.0448477530540012E-2</v>
      </c>
    </row>
    <row r="1317" spans="2:11" x14ac:dyDescent="0.25">
      <c r="B1317" s="29">
        <v>1309</v>
      </c>
      <c r="C1317" s="30">
        <v>0.95130813953488369</v>
      </c>
      <c r="D1317" s="41">
        <v>8.9901433794195105E-3</v>
      </c>
      <c r="E1317" s="41">
        <v>-1.1149279816790258E-2</v>
      </c>
      <c r="F1317" s="41">
        <v>-9.8873935731957907E-4</v>
      </c>
      <c r="G1317" s="41">
        <v>-1.1139572058455373E-2</v>
      </c>
      <c r="H1317" s="14">
        <v>1.6691003275517868E-2</v>
      </c>
      <c r="I1317" s="14">
        <v>1.9829091113864106E-2</v>
      </c>
      <c r="J1317" s="14">
        <v>1.0257647981656737E-2</v>
      </c>
      <c r="K1317" s="14">
        <v>1.0569981515237848E-2</v>
      </c>
    </row>
    <row r="1318" spans="2:11" x14ac:dyDescent="0.25">
      <c r="B1318" s="29">
        <v>1310</v>
      </c>
      <c r="C1318" s="30">
        <v>0.95203488372093026</v>
      </c>
      <c r="D1318" s="41">
        <v>1.9577271633139234E-3</v>
      </c>
      <c r="E1318" s="41">
        <v>-1.7003900536323724E-2</v>
      </c>
      <c r="F1318" s="41">
        <v>1.2099213551119981E-3</v>
      </c>
      <c r="G1318" s="41">
        <v>-2.6398176759227622E-3</v>
      </c>
      <c r="H1318" s="14">
        <v>1.6943266880839136E-2</v>
      </c>
      <c r="I1318" s="14">
        <v>1.9837019453450733E-2</v>
      </c>
      <c r="J1318" s="14">
        <v>1.0281333209893218E-2</v>
      </c>
      <c r="K1318" s="14">
        <v>1.0604798594014309E-2</v>
      </c>
    </row>
    <row r="1319" spans="2:11" x14ac:dyDescent="0.25">
      <c r="B1319" s="29">
        <v>1311</v>
      </c>
      <c r="C1319" s="30">
        <v>0.95276162790697672</v>
      </c>
      <c r="D1319" s="41">
        <v>-3.3465264370458004E-3</v>
      </c>
      <c r="E1319" s="41">
        <v>4.0300080600161881E-3</v>
      </c>
      <c r="F1319" s="41">
        <v>8.8071778499498876E-4</v>
      </c>
      <c r="G1319" s="41">
        <v>4.0905801288849018E-3</v>
      </c>
      <c r="H1319" s="14">
        <v>1.7023105379814218E-2</v>
      </c>
      <c r="I1319" s="14">
        <v>1.9909089282199144E-2</v>
      </c>
      <c r="J1319" s="14">
        <v>1.0347167250932765E-2</v>
      </c>
      <c r="K1319" s="14">
        <v>1.0626212592663588E-2</v>
      </c>
    </row>
    <row r="1320" spans="2:11" x14ac:dyDescent="0.25">
      <c r="B1320" s="29">
        <v>1312</v>
      </c>
      <c r="C1320" s="30">
        <v>0.95348837209302328</v>
      </c>
      <c r="D1320" s="41">
        <v>-1.4491660991963714E-2</v>
      </c>
      <c r="E1320" s="41">
        <v>0</v>
      </c>
      <c r="F1320" s="41">
        <v>2.1513680494262832E-3</v>
      </c>
      <c r="G1320" s="41">
        <v>4.3027360988525667E-4</v>
      </c>
      <c r="H1320" s="14">
        <v>1.7059553349875856E-2</v>
      </c>
      <c r="I1320" s="14">
        <v>1.9932036894257488E-2</v>
      </c>
      <c r="J1320" s="14">
        <v>1.0363565066382918E-2</v>
      </c>
      <c r="K1320" s="14">
        <v>1.0644221008068033E-2</v>
      </c>
    </row>
    <row r="1321" spans="2:11" x14ac:dyDescent="0.25">
      <c r="B1321" s="29">
        <v>1313</v>
      </c>
      <c r="C1321" s="30">
        <v>0.95421511627906974</v>
      </c>
      <c r="D1321" s="41">
        <v>1.3477722899905452E-3</v>
      </c>
      <c r="E1321" s="41">
        <v>-5.6458300252282267E-4</v>
      </c>
      <c r="F1321" s="41">
        <v>1.7569463934886231E-2</v>
      </c>
      <c r="G1321" s="41">
        <v>1.3031861238860732E-2</v>
      </c>
      <c r="H1321" s="14">
        <v>1.7085592245769554E-2</v>
      </c>
      <c r="I1321" s="14">
        <v>1.9941065649002665E-2</v>
      </c>
      <c r="J1321" s="14">
        <v>1.0381840577159851E-2</v>
      </c>
      <c r="K1321" s="14">
        <v>1.0755321513565131E-2</v>
      </c>
    </row>
    <row r="1322" spans="2:11" x14ac:dyDescent="0.25">
      <c r="B1322" s="29">
        <v>1314</v>
      </c>
      <c r="C1322" s="30">
        <v>0.95494186046511631</v>
      </c>
      <c r="D1322" s="41">
        <v>6.3941123271927143E-3</v>
      </c>
      <c r="E1322" s="41">
        <v>-1.059191131039583E-3</v>
      </c>
      <c r="F1322" s="41">
        <v>2.5887782092410827E-3</v>
      </c>
      <c r="G1322" s="41">
        <v>-1.1080426766803876E-3</v>
      </c>
      <c r="H1322" s="14">
        <v>1.7093174559362989E-2</v>
      </c>
      <c r="I1322" s="14">
        <v>2.0167990712708583E-2</v>
      </c>
      <c r="J1322" s="14">
        <v>1.0426338405579383E-2</v>
      </c>
      <c r="K1322" s="14">
        <v>1.0856477689888245E-2</v>
      </c>
    </row>
    <row r="1323" spans="2:11" x14ac:dyDescent="0.25">
      <c r="B1323" s="29">
        <v>1315</v>
      </c>
      <c r="C1323" s="30">
        <v>0.95566860465116277</v>
      </c>
      <c r="D1323" s="41">
        <v>-9.5873092884788385E-3</v>
      </c>
      <c r="E1323" s="41">
        <v>-2.2390301659391709E-2</v>
      </c>
      <c r="F1323" s="41">
        <v>-2.9179058414231518E-3</v>
      </c>
      <c r="G1323" s="41">
        <v>-1.5366123033740632E-2</v>
      </c>
      <c r="H1323" s="14">
        <v>1.7151540841487734E-2</v>
      </c>
      <c r="I1323" s="14">
        <v>2.0274230688716699E-2</v>
      </c>
      <c r="J1323" s="14">
        <v>1.0477880031045439E-2</v>
      </c>
      <c r="K1323" s="14">
        <v>1.1115595438720517E-2</v>
      </c>
    </row>
    <row r="1324" spans="2:11" x14ac:dyDescent="0.25">
      <c r="B1324" s="29">
        <v>1316</v>
      </c>
      <c r="C1324" s="30">
        <v>0.95639534883720934</v>
      </c>
      <c r="D1324" s="41">
        <v>-1.1001953638802455E-2</v>
      </c>
      <c r="E1324" s="41">
        <v>-1.8637020968908291E-2</v>
      </c>
      <c r="F1324" s="41">
        <v>-1.367057781713521E-2</v>
      </c>
      <c r="G1324" s="41">
        <v>-1.7004772852653251E-2</v>
      </c>
      <c r="H1324" s="14">
        <v>1.7172076097667244E-2</v>
      </c>
      <c r="I1324" s="14">
        <v>2.0474501020752101E-2</v>
      </c>
      <c r="J1324" s="14">
        <v>1.0504782440426741E-2</v>
      </c>
      <c r="K1324" s="14">
        <v>1.1129442448334271E-2</v>
      </c>
    </row>
    <row r="1325" spans="2:11" x14ac:dyDescent="0.25">
      <c r="B1325" s="29">
        <v>1317</v>
      </c>
      <c r="C1325" s="30">
        <v>0.95712209302325579</v>
      </c>
      <c r="D1325" s="41">
        <v>1.4613785120644783E-2</v>
      </c>
      <c r="E1325" s="41">
        <v>6.2259389563263934E-3</v>
      </c>
      <c r="F1325" s="41">
        <v>4.5032523489185738E-3</v>
      </c>
      <c r="G1325" s="41">
        <v>7.9357211233250791E-3</v>
      </c>
      <c r="H1325" s="14">
        <v>1.7776866283600867E-2</v>
      </c>
      <c r="I1325" s="14">
        <v>2.0746612162150901E-2</v>
      </c>
      <c r="J1325" s="14">
        <v>1.0507940037586039E-2</v>
      </c>
      <c r="K1325" s="14">
        <v>1.1323466077440215E-2</v>
      </c>
    </row>
    <row r="1326" spans="2:11" x14ac:dyDescent="0.25">
      <c r="B1326" s="29">
        <v>1318</v>
      </c>
      <c r="C1326" s="30">
        <v>0.95784883720930236</v>
      </c>
      <c r="D1326" s="41">
        <v>2.3996489243186358E-3</v>
      </c>
      <c r="E1326" s="41">
        <v>0</v>
      </c>
      <c r="F1326" s="41">
        <v>-8.8715009918448606E-3</v>
      </c>
      <c r="G1326" s="41">
        <v>-3.7137517100160667E-3</v>
      </c>
      <c r="H1326" s="14">
        <v>1.7779762655117937E-2</v>
      </c>
      <c r="I1326" s="14">
        <v>2.117923507404984E-2</v>
      </c>
      <c r="J1326" s="14">
        <v>1.0516430495022711E-2</v>
      </c>
      <c r="K1326" s="14">
        <v>1.133194132865103E-2</v>
      </c>
    </row>
    <row r="1327" spans="2:11" x14ac:dyDescent="0.25">
      <c r="B1327" s="29">
        <v>1319</v>
      </c>
      <c r="C1327" s="30">
        <v>0.95857558139534882</v>
      </c>
      <c r="D1327" s="41">
        <v>-2.435101743627243E-3</v>
      </c>
      <c r="E1327" s="41">
        <v>0</v>
      </c>
      <c r="F1327" s="41">
        <v>1.9323138077624868E-3</v>
      </c>
      <c r="G1327" s="41">
        <v>7.1957049134781844E-3</v>
      </c>
      <c r="H1327" s="14">
        <v>1.7872196931377538E-2</v>
      </c>
      <c r="I1327" s="14">
        <v>2.119376047441035E-2</v>
      </c>
      <c r="J1327" s="14">
        <v>1.0574740112319292E-2</v>
      </c>
      <c r="K1327" s="14">
        <v>1.1348118958540133E-2</v>
      </c>
    </row>
    <row r="1328" spans="2:11" x14ac:dyDescent="0.25">
      <c r="B1328" s="29">
        <v>1320</v>
      </c>
      <c r="C1328" s="30">
        <v>0.95930232558139539</v>
      </c>
      <c r="D1328" s="41">
        <v>1.4956736213393858E-2</v>
      </c>
      <c r="E1328" s="41">
        <v>0</v>
      </c>
      <c r="F1328" s="41">
        <v>-2.9175382582847798E-3</v>
      </c>
      <c r="G1328" s="41">
        <v>-2.155526131431118E-2</v>
      </c>
      <c r="H1328" s="14">
        <v>1.8084373161018963E-2</v>
      </c>
      <c r="I1328" s="14">
        <v>2.1243096301216458E-2</v>
      </c>
      <c r="J1328" s="14">
        <v>1.0651147468980104E-2</v>
      </c>
      <c r="K1328" s="14">
        <v>1.1459873948631571E-2</v>
      </c>
    </row>
    <row r="1329" spans="2:11" x14ac:dyDescent="0.25">
      <c r="B1329" s="29">
        <v>1321</v>
      </c>
      <c r="C1329" s="30">
        <v>0.96002906976744184</v>
      </c>
      <c r="D1329" s="41">
        <v>-1.7073660638765836E-2</v>
      </c>
      <c r="E1329" s="41">
        <v>0</v>
      </c>
      <c r="F1329" s="41">
        <v>-1.3360851618509639E-2</v>
      </c>
      <c r="G1329" s="41">
        <v>-9.9073124425650208E-3</v>
      </c>
      <c r="H1329" s="14">
        <v>1.8215597960362206E-2</v>
      </c>
      <c r="I1329" s="14">
        <v>2.1336139694418499E-2</v>
      </c>
      <c r="J1329" s="14">
        <v>1.0713262675451141E-2</v>
      </c>
      <c r="K1329" s="14">
        <v>1.1582842945822014E-2</v>
      </c>
    </row>
    <row r="1330" spans="2:11" x14ac:dyDescent="0.25">
      <c r="B1330" s="29">
        <v>1322</v>
      </c>
      <c r="C1330" s="30">
        <v>0.96075581395348841</v>
      </c>
      <c r="D1330" s="41">
        <v>-1.7304443218810413E-2</v>
      </c>
      <c r="E1330" s="41">
        <v>-4.9243048309444037E-2</v>
      </c>
      <c r="F1330" s="41">
        <v>1.2507477296208602E-3</v>
      </c>
      <c r="G1330" s="41">
        <v>-1.400847328662538E-2</v>
      </c>
      <c r="H1330" s="14">
        <v>1.8227814046237301E-2</v>
      </c>
      <c r="I1330" s="14">
        <v>2.1412249561349794E-2</v>
      </c>
      <c r="J1330" s="14">
        <v>1.0833856416222032E-2</v>
      </c>
      <c r="K1330" s="14">
        <v>1.1688988701934643E-2</v>
      </c>
    </row>
    <row r="1331" spans="2:11" x14ac:dyDescent="0.25">
      <c r="B1331" s="29">
        <v>1323</v>
      </c>
      <c r="C1331" s="30">
        <v>0.96148255813953487</v>
      </c>
      <c r="D1331" s="41">
        <v>9.8518773928642552E-3</v>
      </c>
      <c r="E1331" s="41">
        <v>-6.5367656969019805E-3</v>
      </c>
      <c r="F1331" s="41">
        <v>-2.4952535937076137E-3</v>
      </c>
      <c r="G1331" s="41">
        <v>5.7395532577984689E-3</v>
      </c>
      <c r="H1331" s="14">
        <v>1.8346741093416385E-2</v>
      </c>
      <c r="I1331" s="14">
        <v>2.1707681179494287E-2</v>
      </c>
      <c r="J1331" s="14">
        <v>1.0859145694768868E-2</v>
      </c>
      <c r="K1331" s="14">
        <v>1.1696112961923744E-2</v>
      </c>
    </row>
    <row r="1332" spans="2:11" x14ac:dyDescent="0.25">
      <c r="B1332" s="29">
        <v>1324</v>
      </c>
      <c r="C1332" s="30">
        <v>0.96220930232558144</v>
      </c>
      <c r="D1332" s="41">
        <v>-9.3343251683884083E-3</v>
      </c>
      <c r="E1332" s="41">
        <v>-1.6086050680750086E-2</v>
      </c>
      <c r="F1332" s="41">
        <v>-8.2844693098070854E-3</v>
      </c>
      <c r="G1332" s="41">
        <v>-1.0428168271382333E-2</v>
      </c>
      <c r="H1332" s="14">
        <v>1.8446569701799698E-2</v>
      </c>
      <c r="I1332" s="14">
        <v>2.191853496551599E-2</v>
      </c>
      <c r="J1332" s="14">
        <v>1.0942760942761032E-2</v>
      </c>
      <c r="K1332" s="14">
        <v>1.174868172029029E-2</v>
      </c>
    </row>
    <row r="1333" spans="2:11" x14ac:dyDescent="0.25">
      <c r="B1333" s="29">
        <v>1325</v>
      </c>
      <c r="C1333" s="30">
        <v>0.9629360465116279</v>
      </c>
      <c r="D1333" s="41">
        <v>-2.3635353863375288E-3</v>
      </c>
      <c r="E1333" s="41">
        <v>-3.1082877825380439E-2</v>
      </c>
      <c r="F1333" s="41">
        <v>2.5347858914896992E-3</v>
      </c>
      <c r="G1333" s="41">
        <v>-7.7360178707760689E-3</v>
      </c>
      <c r="H1333" s="14">
        <v>1.85115313270654E-2</v>
      </c>
      <c r="I1333" s="14">
        <v>2.1971029413867527E-2</v>
      </c>
      <c r="J1333" s="14">
        <v>1.0947653491482523E-2</v>
      </c>
      <c r="K1333" s="14">
        <v>1.186147683833454E-2</v>
      </c>
    </row>
    <row r="1334" spans="2:11" x14ac:dyDescent="0.25">
      <c r="B1334" s="29">
        <v>1326</v>
      </c>
      <c r="C1334" s="30">
        <v>0.96366279069767447</v>
      </c>
      <c r="D1334" s="41">
        <v>-6.6290226704495995E-3</v>
      </c>
      <c r="E1334" s="41">
        <v>-1.9069110277599832E-2</v>
      </c>
      <c r="F1334" s="41">
        <v>1.2173153556416683E-2</v>
      </c>
      <c r="G1334" s="41">
        <v>-9.8623068951947616E-3</v>
      </c>
      <c r="H1334" s="14">
        <v>1.8614231495432509E-2</v>
      </c>
      <c r="I1334" s="14">
        <v>2.2097736741357954E-2</v>
      </c>
      <c r="J1334" s="14">
        <v>1.1041097418167611E-2</v>
      </c>
      <c r="K1334" s="14">
        <v>1.1970873761574463E-2</v>
      </c>
    </row>
    <row r="1335" spans="2:11" x14ac:dyDescent="0.25">
      <c r="B1335" s="29">
        <v>1327</v>
      </c>
      <c r="C1335" s="30">
        <v>0.96438953488372092</v>
      </c>
      <c r="D1335" s="41">
        <v>-1.2914429911581636E-2</v>
      </c>
      <c r="E1335" s="41">
        <v>3.9055780649306371E-2</v>
      </c>
      <c r="F1335" s="41">
        <v>9.2886023385441163E-4</v>
      </c>
      <c r="G1335" s="41">
        <v>1.8323807576933682E-2</v>
      </c>
      <c r="H1335" s="14">
        <v>1.8682399213372669E-2</v>
      </c>
      <c r="I1335" s="14">
        <v>2.2140458554925413E-2</v>
      </c>
      <c r="J1335" s="14">
        <v>1.1109259806104888E-2</v>
      </c>
      <c r="K1335" s="14">
        <v>1.2003809412825816E-2</v>
      </c>
    </row>
    <row r="1336" spans="2:11" x14ac:dyDescent="0.25">
      <c r="B1336" s="29">
        <v>1328</v>
      </c>
      <c r="C1336" s="30">
        <v>0.96511627906976749</v>
      </c>
      <c r="D1336" s="41">
        <v>1.5302330861469557E-2</v>
      </c>
      <c r="E1336" s="41">
        <v>8.806047550662166E-3</v>
      </c>
      <c r="F1336" s="41">
        <v>-9.0958310774227336E-3</v>
      </c>
      <c r="G1336" s="41">
        <v>8.557951776617227E-4</v>
      </c>
      <c r="H1336" s="14">
        <v>1.8707844967537968E-2</v>
      </c>
      <c r="I1336" s="14">
        <v>2.223515144717747E-2</v>
      </c>
      <c r="J1336" s="14">
        <v>1.1249759939176096E-2</v>
      </c>
      <c r="K1336" s="14">
        <v>1.2079167924438484E-2</v>
      </c>
    </row>
    <row r="1337" spans="2:11" x14ac:dyDescent="0.25">
      <c r="B1337" s="29">
        <v>1329</v>
      </c>
      <c r="C1337" s="30">
        <v>0.96584302325581395</v>
      </c>
      <c r="D1337" s="41">
        <v>1.055219031623343E-2</v>
      </c>
      <c r="E1337" s="41">
        <v>-5.1603974099153627E-3</v>
      </c>
      <c r="F1337" s="41">
        <v>2.4967433782023818E-3</v>
      </c>
      <c r="G1337" s="41">
        <v>-7.9002667639095584E-3</v>
      </c>
      <c r="H1337" s="14">
        <v>1.8969074125700924E-2</v>
      </c>
      <c r="I1337" s="14">
        <v>2.2286176386642653E-2</v>
      </c>
      <c r="J1337" s="14">
        <v>1.1285468615648941E-2</v>
      </c>
      <c r="K1337" s="14">
        <v>1.215318729617876E-2</v>
      </c>
    </row>
    <row r="1338" spans="2:11" x14ac:dyDescent="0.25">
      <c r="B1338" s="29">
        <v>1330</v>
      </c>
      <c r="C1338" s="30">
        <v>0.96656976744186052</v>
      </c>
      <c r="D1338" s="41">
        <v>-1.061441395728298E-2</v>
      </c>
      <c r="E1338" s="41">
        <v>1.1457474188387495E-2</v>
      </c>
      <c r="F1338" s="41">
        <v>8.6918730986518256E-4</v>
      </c>
      <c r="G1338" s="41">
        <v>-1.8013986900007773E-3</v>
      </c>
      <c r="H1338" s="14">
        <v>1.9006119043204039E-2</v>
      </c>
      <c r="I1338" s="14">
        <v>2.2479940975744794E-2</v>
      </c>
      <c r="J1338" s="14">
        <v>1.1306944832507604E-2</v>
      </c>
      <c r="K1338" s="14">
        <v>1.2340737052647155E-2</v>
      </c>
    </row>
    <row r="1339" spans="2:11" x14ac:dyDescent="0.25">
      <c r="B1339" s="29">
        <v>1331</v>
      </c>
      <c r="C1339" s="30">
        <v>0.96729651162790697</v>
      </c>
      <c r="D1339" s="41">
        <v>-4.7055971999373338E-3</v>
      </c>
      <c r="E1339" s="41">
        <v>2.191853496551599E-2</v>
      </c>
      <c r="F1339" s="41">
        <v>1.0651147468980104E-2</v>
      </c>
      <c r="G1339" s="41">
        <v>1.3599753406747217E-2</v>
      </c>
      <c r="H1339" s="14">
        <v>1.9076240830329327E-2</v>
      </c>
      <c r="I1339" s="14">
        <v>2.273987798114252E-2</v>
      </c>
      <c r="J1339" s="14">
        <v>1.1307750191118071E-2</v>
      </c>
      <c r="K1339" s="14">
        <v>1.2378670912490185E-2</v>
      </c>
    </row>
    <row r="1340" spans="2:11" x14ac:dyDescent="0.25">
      <c r="B1340" s="29">
        <v>1332</v>
      </c>
      <c r="C1340" s="30">
        <v>0.96802325581395354</v>
      </c>
      <c r="D1340" s="41">
        <v>-1.6287296025358722E-2</v>
      </c>
      <c r="E1340" s="41">
        <v>-2.2880875241547693E-3</v>
      </c>
      <c r="F1340" s="41">
        <v>-5.460303592879967E-3</v>
      </c>
      <c r="G1340" s="41">
        <v>-6.2511195267652038E-3</v>
      </c>
      <c r="H1340" s="14">
        <v>1.9095164945631238E-2</v>
      </c>
      <c r="I1340" s="14">
        <v>2.2929633968013174E-2</v>
      </c>
      <c r="J1340" s="14">
        <v>1.1374299793647014E-2</v>
      </c>
      <c r="K1340" s="14">
        <v>1.2438801892128737E-2</v>
      </c>
    </row>
    <row r="1341" spans="2:11" x14ac:dyDescent="0.25">
      <c r="B1341" s="29">
        <v>1333</v>
      </c>
      <c r="C1341" s="30">
        <v>0.96875</v>
      </c>
      <c r="D1341" s="41">
        <v>1.2229494778586253E-2</v>
      </c>
      <c r="E1341" s="41">
        <v>1.2314630127482351E-2</v>
      </c>
      <c r="F1341" s="41">
        <v>-4.3663355528866798E-4</v>
      </c>
      <c r="G1341" s="41">
        <v>1.9231889973170932E-3</v>
      </c>
      <c r="H1341" s="14">
        <v>1.9228519053005266E-2</v>
      </c>
      <c r="I1341" s="14">
        <v>2.2936474866472212E-2</v>
      </c>
      <c r="J1341" s="14">
        <v>1.1444077394997532E-2</v>
      </c>
      <c r="K1341" s="14">
        <v>1.2573135044747776E-2</v>
      </c>
    </row>
    <row r="1342" spans="2:11" x14ac:dyDescent="0.25">
      <c r="B1342" s="29">
        <v>1334</v>
      </c>
      <c r="C1342" s="30">
        <v>0.96947674418604646</v>
      </c>
      <c r="D1342" s="41">
        <v>1.1511374095177159E-2</v>
      </c>
      <c r="E1342" s="41">
        <v>1.9932036894257488E-2</v>
      </c>
      <c r="F1342" s="41">
        <v>-4.6178084424403076E-3</v>
      </c>
      <c r="G1342" s="41">
        <v>3.6156624383924425E-3</v>
      </c>
      <c r="H1342" s="14">
        <v>1.9388615289054778E-2</v>
      </c>
      <c r="I1342" s="14">
        <v>2.3046421451573984E-2</v>
      </c>
      <c r="J1342" s="14">
        <v>1.156168128488444E-2</v>
      </c>
      <c r="K1342" s="14">
        <v>1.2618813325451761E-2</v>
      </c>
    </row>
    <row r="1343" spans="2:11" x14ac:dyDescent="0.25">
      <c r="B1343" s="29">
        <v>1335</v>
      </c>
      <c r="C1343" s="30">
        <v>0.97020348837209303</v>
      </c>
      <c r="D1343" s="41">
        <v>-4.1234101076332071E-3</v>
      </c>
      <c r="E1343" s="41">
        <v>-2.4824779983388945E-3</v>
      </c>
      <c r="F1343" s="41">
        <v>7.7192598270010571E-3</v>
      </c>
      <c r="G1343" s="41">
        <v>3.6472654464682732E-3</v>
      </c>
      <c r="H1343" s="14">
        <v>1.9825894784407438E-2</v>
      </c>
      <c r="I1343" s="14">
        <v>2.3126163126483856E-2</v>
      </c>
      <c r="J1343" s="14">
        <v>1.1804365753955492E-2</v>
      </c>
      <c r="K1343" s="14">
        <v>1.2644842744247065E-2</v>
      </c>
    </row>
    <row r="1344" spans="2:11" x14ac:dyDescent="0.25">
      <c r="B1344" s="29">
        <v>1336</v>
      </c>
      <c r="C1344" s="30">
        <v>0.97093023255813948</v>
      </c>
      <c r="D1344" s="41">
        <v>-2.5281424075523549E-3</v>
      </c>
      <c r="E1344" s="41">
        <v>1.6372737053842457E-3</v>
      </c>
      <c r="F1344" s="41">
        <v>-6.0401588942700091E-3</v>
      </c>
      <c r="G1344" s="41">
        <v>-2.4230818573971473E-4</v>
      </c>
      <c r="H1344" s="14">
        <v>2.0075876998227438E-2</v>
      </c>
      <c r="I1344" s="14">
        <v>2.3127619246352538E-2</v>
      </c>
      <c r="J1344" s="14">
        <v>1.1814222279081132E-2</v>
      </c>
      <c r="K1344" s="14">
        <v>1.2805865941471596E-2</v>
      </c>
    </row>
    <row r="1345" spans="2:11" x14ac:dyDescent="0.25">
      <c r="B1345" s="29">
        <v>1337</v>
      </c>
      <c r="C1345" s="30">
        <v>0.97165697674418605</v>
      </c>
      <c r="D1345" s="41">
        <v>6.3899053267925795E-3</v>
      </c>
      <c r="E1345" s="41">
        <v>-8.3504576872780456E-3</v>
      </c>
      <c r="F1345" s="41">
        <v>-1.6322089227438497E-4</v>
      </c>
      <c r="G1345" s="41">
        <v>-3.3728272533660951E-3</v>
      </c>
      <c r="H1345" s="14">
        <v>2.0322674817999875E-2</v>
      </c>
      <c r="I1345" s="14">
        <v>2.3444784867457047E-2</v>
      </c>
      <c r="J1345" s="14">
        <v>1.2009491510422965E-2</v>
      </c>
      <c r="K1345" s="14">
        <v>1.3031861238860732E-2</v>
      </c>
    </row>
    <row r="1346" spans="2:11" x14ac:dyDescent="0.25">
      <c r="B1346" s="29">
        <v>1338</v>
      </c>
      <c r="C1346" s="30">
        <v>0.97238372093023251</v>
      </c>
      <c r="D1346" s="41">
        <v>-3.8362524877602919E-3</v>
      </c>
      <c r="E1346" s="41">
        <v>-5.3689505114632441E-3</v>
      </c>
      <c r="F1346" s="41">
        <v>8.7126987584396076E-4</v>
      </c>
      <c r="G1346" s="41">
        <v>5.7821198862054064E-3</v>
      </c>
      <c r="H1346" s="14">
        <v>2.0876283501130688E-2</v>
      </c>
      <c r="I1346" s="14">
        <v>2.3691301326916214E-2</v>
      </c>
      <c r="J1346" s="14">
        <v>1.203671808173068E-2</v>
      </c>
      <c r="K1346" s="14">
        <v>1.3054082049671355E-2</v>
      </c>
    </row>
    <row r="1347" spans="2:11" x14ac:dyDescent="0.25">
      <c r="B1347" s="29">
        <v>1339</v>
      </c>
      <c r="C1347" s="30">
        <v>0.97311046511627908</v>
      </c>
      <c r="D1347" s="41">
        <v>-3.8312377409996292E-4</v>
      </c>
      <c r="E1347" s="41">
        <v>2.2936474866472212E-2</v>
      </c>
      <c r="F1347" s="41">
        <v>7.5163219399791981E-3</v>
      </c>
      <c r="G1347" s="41">
        <v>1.1348118958540133E-2</v>
      </c>
      <c r="H1347" s="14">
        <v>2.1054864787145577E-2</v>
      </c>
      <c r="I1347" s="14">
        <v>2.3691938697462556E-2</v>
      </c>
      <c r="J1347" s="14">
        <v>1.207821911958229E-2</v>
      </c>
      <c r="K1347" s="14">
        <v>1.3076801037007216E-2</v>
      </c>
    </row>
    <row r="1348" spans="2:11" x14ac:dyDescent="0.25">
      <c r="B1348" s="29">
        <v>1340</v>
      </c>
      <c r="C1348" s="30">
        <v>0.97383720930232553</v>
      </c>
      <c r="D1348" s="41">
        <v>6.9721636983025304E-3</v>
      </c>
      <c r="E1348" s="41">
        <v>1.5219685607954059E-2</v>
      </c>
      <c r="F1348" s="41">
        <v>1.0477880031045439E-2</v>
      </c>
      <c r="G1348" s="41">
        <v>1.3797302386087163E-2</v>
      </c>
      <c r="H1348" s="14">
        <v>2.1491490935764412E-2</v>
      </c>
      <c r="I1348" s="14">
        <v>2.4279880807857923E-2</v>
      </c>
      <c r="J1348" s="14">
        <v>1.2173153556416683E-2</v>
      </c>
      <c r="K1348" s="14">
        <v>1.3400280265551779E-2</v>
      </c>
    </row>
    <row r="1349" spans="2:11" x14ac:dyDescent="0.25">
      <c r="B1349" s="29">
        <v>1341</v>
      </c>
      <c r="C1349" s="30">
        <v>0.9745639534883721</v>
      </c>
      <c r="D1349" s="41">
        <v>-1.787265989343895E-2</v>
      </c>
      <c r="E1349" s="41">
        <v>-5.2707410041764602E-3</v>
      </c>
      <c r="F1349" s="41">
        <v>-4.4154983993817121E-3</v>
      </c>
      <c r="G1349" s="41">
        <v>-2.3315139176476544E-3</v>
      </c>
      <c r="H1349" s="14">
        <v>2.1632774226462148E-2</v>
      </c>
      <c r="I1349" s="14">
        <v>2.4402679509907044E-2</v>
      </c>
      <c r="J1349" s="14">
        <v>1.2251613362824099E-2</v>
      </c>
      <c r="K1349" s="14">
        <v>1.3474431186928704E-2</v>
      </c>
    </row>
    <row r="1350" spans="2:11" x14ac:dyDescent="0.25">
      <c r="B1350" s="29">
        <v>1342</v>
      </c>
      <c r="C1350" s="30">
        <v>0.97529069767441856</v>
      </c>
      <c r="D1350" s="41">
        <v>7.3840405606818505E-3</v>
      </c>
      <c r="E1350" s="41">
        <v>-1.5217630449927411E-3</v>
      </c>
      <c r="F1350" s="41">
        <v>-1.598060285446512E-3</v>
      </c>
      <c r="G1350" s="41">
        <v>-6.9858121416161772E-3</v>
      </c>
      <c r="H1350" s="14">
        <v>2.2133275638251959E-2</v>
      </c>
      <c r="I1350" s="14">
        <v>2.4919292223448242E-2</v>
      </c>
      <c r="J1350" s="14">
        <v>1.225566242631082E-2</v>
      </c>
      <c r="K1350" s="14">
        <v>1.3575753054278562E-2</v>
      </c>
    </row>
    <row r="1351" spans="2:11" x14ac:dyDescent="0.25">
      <c r="B1351" s="29">
        <v>1343</v>
      </c>
      <c r="C1351" s="30">
        <v>0.97601744186046513</v>
      </c>
      <c r="D1351" s="41">
        <v>-2.480979447664598E-3</v>
      </c>
      <c r="E1351" s="41">
        <v>6.9410014873574344E-3</v>
      </c>
      <c r="F1351" s="41">
        <v>-1.7053581252064465E-3</v>
      </c>
      <c r="G1351" s="41">
        <v>-9.7010930652956511E-4</v>
      </c>
      <c r="H1351" s="14">
        <v>2.2207503048614408E-2</v>
      </c>
      <c r="I1351" s="14">
        <v>2.5217621456299133E-2</v>
      </c>
      <c r="J1351" s="14">
        <v>1.2429565793834918E-2</v>
      </c>
      <c r="K1351" s="14">
        <v>1.3599753406747217E-2</v>
      </c>
    </row>
    <row r="1352" spans="2:11" x14ac:dyDescent="0.25">
      <c r="B1352" s="29">
        <v>1344</v>
      </c>
      <c r="C1352" s="30">
        <v>0.97674418604651159</v>
      </c>
      <c r="D1352" s="41">
        <v>6.9113328623892287E-3</v>
      </c>
      <c r="E1352" s="41">
        <v>-1.8655287488374639E-2</v>
      </c>
      <c r="F1352" s="41">
        <v>2.4263813830376346E-3</v>
      </c>
      <c r="G1352" s="41">
        <v>-6.6438850693950622E-3</v>
      </c>
      <c r="H1352" s="14">
        <v>2.246197382384163E-2</v>
      </c>
      <c r="I1352" s="14">
        <v>2.5565860925560902E-2</v>
      </c>
      <c r="J1352" s="14">
        <v>1.2550081977037442E-2</v>
      </c>
      <c r="K1352" s="14">
        <v>1.3627043145519657E-2</v>
      </c>
    </row>
    <row r="1353" spans="2:11" x14ac:dyDescent="0.25">
      <c r="B1353" s="29">
        <v>1345</v>
      </c>
      <c r="C1353" s="30">
        <v>0.97747093023255816</v>
      </c>
      <c r="D1353" s="41">
        <v>-5.8743287378556341E-3</v>
      </c>
      <c r="E1353" s="41">
        <v>-7.8418255472554321E-3</v>
      </c>
      <c r="F1353" s="41">
        <v>4.2642742426757252E-3</v>
      </c>
      <c r="G1353" s="41">
        <v>-1.6097672504283627E-3</v>
      </c>
      <c r="H1353" s="14">
        <v>2.2498833141607832E-2</v>
      </c>
      <c r="I1353" s="14">
        <v>2.5583634802071709E-2</v>
      </c>
      <c r="J1353" s="14">
        <v>1.2785764789064347E-2</v>
      </c>
      <c r="K1353" s="14">
        <v>1.3653808778186075E-2</v>
      </c>
    </row>
    <row r="1354" spans="2:11" x14ac:dyDescent="0.25">
      <c r="B1354" s="29">
        <v>1346</v>
      </c>
      <c r="C1354" s="30">
        <v>0.97819767441860461</v>
      </c>
      <c r="D1354" s="41">
        <v>-1.6770569566144214E-2</v>
      </c>
      <c r="E1354" s="41">
        <v>4.5606083308362688E-3</v>
      </c>
      <c r="F1354" s="41">
        <v>6.1291580765587828E-3</v>
      </c>
      <c r="G1354" s="41">
        <v>6.7907614685019718E-3</v>
      </c>
      <c r="H1354" s="14">
        <v>2.2561433016285548E-2</v>
      </c>
      <c r="I1354" s="14">
        <v>2.5601814589887972E-2</v>
      </c>
      <c r="J1354" s="14">
        <v>1.2802976418449408E-2</v>
      </c>
      <c r="K1354" s="14">
        <v>1.3701958439796292E-2</v>
      </c>
    </row>
    <row r="1355" spans="2:11" x14ac:dyDescent="0.25">
      <c r="B1355" s="29">
        <v>1347</v>
      </c>
      <c r="C1355" s="30">
        <v>0.97892441860465118</v>
      </c>
      <c r="D1355" s="41">
        <v>2.0663587967258449E-3</v>
      </c>
      <c r="E1355" s="41">
        <v>1.5297703946080432E-2</v>
      </c>
      <c r="F1355" s="41">
        <v>6.2797869358004466E-3</v>
      </c>
      <c r="G1355" s="41">
        <v>9.24537125263627E-3</v>
      </c>
      <c r="H1355" s="14">
        <v>2.317507118469031E-2</v>
      </c>
      <c r="I1355" s="14">
        <v>2.5631295423984568E-2</v>
      </c>
      <c r="J1355" s="14">
        <v>1.2862099916725933E-2</v>
      </c>
      <c r="K1355" s="14">
        <v>1.3720620284956065E-2</v>
      </c>
    </row>
    <row r="1356" spans="2:11" x14ac:dyDescent="0.25">
      <c r="B1356" s="29">
        <v>1348</v>
      </c>
      <c r="C1356" s="30">
        <v>0.97965116279069764</v>
      </c>
      <c r="D1356" s="41">
        <v>1.5342912030831072E-2</v>
      </c>
      <c r="E1356" s="41">
        <v>-4.7010430439252682E-3</v>
      </c>
      <c r="F1356" s="41">
        <v>3.8838230327591372E-3</v>
      </c>
      <c r="G1356" s="41">
        <v>-4.4001683501697646E-4</v>
      </c>
      <c r="H1356" s="14">
        <v>2.3811826605025344E-2</v>
      </c>
      <c r="I1356" s="14">
        <v>2.6004752772450512E-2</v>
      </c>
      <c r="J1356" s="14">
        <v>1.2983440611761932E-2</v>
      </c>
      <c r="K1356" s="14">
        <v>1.3797302386087163E-2</v>
      </c>
    </row>
    <row r="1357" spans="2:11" x14ac:dyDescent="0.25">
      <c r="B1357" s="29">
        <v>1349</v>
      </c>
      <c r="C1357" s="30">
        <v>0.98037790697674421</v>
      </c>
      <c r="D1357" s="41">
        <v>2.3851700891595769E-2</v>
      </c>
      <c r="E1357" s="41">
        <v>3.7822878228799262E-4</v>
      </c>
      <c r="F1357" s="41">
        <v>-3.8129415722776283E-3</v>
      </c>
      <c r="G1357" s="41">
        <v>-5.1802178134143341E-3</v>
      </c>
      <c r="H1357" s="14">
        <v>2.4282234474453102E-2</v>
      </c>
      <c r="I1357" s="14">
        <v>2.6565097399977367E-2</v>
      </c>
      <c r="J1357" s="14">
        <v>1.3001467091617425E-2</v>
      </c>
      <c r="K1357" s="14">
        <v>1.4319172545839276E-2</v>
      </c>
    </row>
    <row r="1358" spans="2:11" x14ac:dyDescent="0.25">
      <c r="B1358" s="29">
        <v>1350</v>
      </c>
      <c r="C1358" s="30">
        <v>0.98110465116279066</v>
      </c>
      <c r="D1358" s="41">
        <v>-3.8631209665739761E-3</v>
      </c>
      <c r="E1358" s="41">
        <v>1.3721747309596743E-2</v>
      </c>
      <c r="F1358" s="41">
        <v>-5.0212006248604446E-3</v>
      </c>
      <c r="G1358" s="41">
        <v>3.9367828664866916E-4</v>
      </c>
      <c r="H1358" s="14">
        <v>2.4359504132231535E-2</v>
      </c>
      <c r="I1358" s="14">
        <v>2.6644945441822943E-2</v>
      </c>
      <c r="J1358" s="14">
        <v>1.3028073044426325E-2</v>
      </c>
      <c r="K1358" s="14">
        <v>1.4634740632679444E-2</v>
      </c>
    </row>
    <row r="1359" spans="2:11" x14ac:dyDescent="0.25">
      <c r="B1359" s="29">
        <v>1351</v>
      </c>
      <c r="C1359" s="30">
        <v>0.98183139534883723</v>
      </c>
      <c r="D1359" s="41">
        <v>-5.867052471519028E-3</v>
      </c>
      <c r="E1359" s="41">
        <v>4.0935512921977946E-3</v>
      </c>
      <c r="F1359" s="41">
        <v>4.4270103670496219E-3</v>
      </c>
      <c r="G1359" s="41">
        <v>9.5755516179929631E-5</v>
      </c>
      <c r="H1359" s="14">
        <v>2.4537697301034278E-2</v>
      </c>
      <c r="I1359" s="14">
        <v>2.7065990383178695E-2</v>
      </c>
      <c r="J1359" s="14">
        <v>1.305145076043579E-2</v>
      </c>
      <c r="K1359" s="14">
        <v>1.4845951509836964E-2</v>
      </c>
    </row>
    <row r="1360" spans="2:11" x14ac:dyDescent="0.25">
      <c r="B1360" s="29">
        <v>1352</v>
      </c>
      <c r="C1360" s="30">
        <v>0.98255813953488369</v>
      </c>
      <c r="D1360" s="41">
        <v>5.2719283958292868E-7</v>
      </c>
      <c r="E1360" s="41">
        <v>-2.3836055771478182E-2</v>
      </c>
      <c r="F1360" s="41">
        <v>-1.3325223930111707E-2</v>
      </c>
      <c r="G1360" s="41">
        <v>-1.5304906036464038E-2</v>
      </c>
      <c r="H1360" s="14">
        <v>2.4708624708624782E-2</v>
      </c>
      <c r="I1360" s="14">
        <v>2.7090384409847124E-2</v>
      </c>
      <c r="J1360" s="14">
        <v>1.3108819657744686E-2</v>
      </c>
      <c r="K1360" s="14">
        <v>1.4884519770290039E-2</v>
      </c>
    </row>
    <row r="1361" spans="2:11" x14ac:dyDescent="0.25">
      <c r="B1361" s="29">
        <v>1353</v>
      </c>
      <c r="C1361" s="30">
        <v>0.98328488372093026</v>
      </c>
      <c r="D1361" s="41">
        <v>-3.7453812504252642E-3</v>
      </c>
      <c r="E1361" s="41">
        <v>-1.7141849500686868E-2</v>
      </c>
      <c r="F1361" s="41">
        <v>-4.9515845070423614E-3</v>
      </c>
      <c r="G1361" s="41">
        <v>-1.4070864102485703E-2</v>
      </c>
      <c r="H1361" s="14">
        <v>2.4721731237758338E-2</v>
      </c>
      <c r="I1361" s="14">
        <v>2.7284723659697585E-2</v>
      </c>
      <c r="J1361" s="14">
        <v>1.3208971317662188E-2</v>
      </c>
      <c r="K1361" s="14">
        <v>1.5141965874063914E-2</v>
      </c>
    </row>
    <row r="1362" spans="2:11" x14ac:dyDescent="0.25">
      <c r="B1362" s="29">
        <v>1354</v>
      </c>
      <c r="C1362" s="30">
        <v>0.98401162790697672</v>
      </c>
      <c r="D1362" s="41">
        <v>1.9264916481597266E-2</v>
      </c>
      <c r="E1362" s="41">
        <v>0</v>
      </c>
      <c r="F1362" s="41">
        <v>8.9930054402131976E-3</v>
      </c>
      <c r="G1362" s="41">
        <v>-1.3825691290020004E-2</v>
      </c>
      <c r="H1362" s="14">
        <v>2.4749192384146523E-2</v>
      </c>
      <c r="I1362" s="14">
        <v>2.8126596866608011E-2</v>
      </c>
      <c r="J1362" s="14">
        <v>1.3276131949678138E-2</v>
      </c>
      <c r="K1362" s="14">
        <v>1.5209126431066578E-2</v>
      </c>
    </row>
    <row r="1363" spans="2:11" x14ac:dyDescent="0.25">
      <c r="B1363" s="29">
        <v>1355</v>
      </c>
      <c r="C1363" s="30">
        <v>0.98473837209302328</v>
      </c>
      <c r="D1363" s="41">
        <v>1.8380985559129696E-2</v>
      </c>
      <c r="E1363" s="41">
        <v>2.3691938697462556E-2</v>
      </c>
      <c r="F1363" s="41">
        <v>-6.3434276573446358E-3</v>
      </c>
      <c r="G1363" s="41">
        <v>7.4728824634809682E-3</v>
      </c>
      <c r="H1363" s="14">
        <v>2.4756537755884489E-2</v>
      </c>
      <c r="I1363" s="14">
        <v>2.8452746830579967E-2</v>
      </c>
      <c r="J1363" s="14">
        <v>1.3312363084873491E-2</v>
      </c>
      <c r="K1363" s="14">
        <v>1.5763553919949456E-2</v>
      </c>
    </row>
    <row r="1364" spans="2:11" x14ac:dyDescent="0.25">
      <c r="B1364" s="29">
        <v>1356</v>
      </c>
      <c r="C1364" s="30">
        <v>0.98546511627906974</v>
      </c>
      <c r="D1364" s="41">
        <v>1.0016190668236421E-2</v>
      </c>
      <c r="E1364" s="41">
        <v>2.8595148049073149E-3</v>
      </c>
      <c r="F1364" s="41">
        <v>2.5438256926395564E-3</v>
      </c>
      <c r="G1364" s="41">
        <v>1.3701958439796292E-2</v>
      </c>
      <c r="H1364" s="14">
        <v>2.5690150008093937E-2</v>
      </c>
      <c r="I1364" s="14">
        <v>2.866337481447645E-2</v>
      </c>
      <c r="J1364" s="14">
        <v>1.3392690581966793E-2</v>
      </c>
      <c r="K1364" s="14">
        <v>1.6595224354839445E-2</v>
      </c>
    </row>
    <row r="1365" spans="2:11" x14ac:dyDescent="0.25">
      <c r="B1365" s="29">
        <v>1357</v>
      </c>
      <c r="C1365" s="30">
        <v>0.98619186046511631</v>
      </c>
      <c r="D1365" s="41">
        <v>1.9829749441432295E-3</v>
      </c>
      <c r="E1365" s="41">
        <v>1.4311994113318516E-2</v>
      </c>
      <c r="F1365" s="41">
        <v>8.2520211876218053E-3</v>
      </c>
      <c r="G1365" s="41">
        <v>2.5258836749910691E-3</v>
      </c>
      <c r="H1365" s="14">
        <v>2.5799515769389547E-2</v>
      </c>
      <c r="I1365" s="14">
        <v>2.8905853188892605E-2</v>
      </c>
      <c r="J1365" s="14">
        <v>1.3447292392519961E-2</v>
      </c>
      <c r="K1365" s="14">
        <v>1.6652013862270373E-2</v>
      </c>
    </row>
    <row r="1366" spans="2:11" x14ac:dyDescent="0.25">
      <c r="B1366" s="29">
        <v>1358</v>
      </c>
      <c r="C1366" s="30">
        <v>0.98691860465116277</v>
      </c>
      <c r="D1366" s="41">
        <v>9.2279555332345671E-3</v>
      </c>
      <c r="E1366" s="41">
        <v>1.4518118176212402E-2</v>
      </c>
      <c r="F1366" s="41">
        <v>0</v>
      </c>
      <c r="G1366" s="41">
        <v>1.362390406011338E-3</v>
      </c>
      <c r="H1366" s="14">
        <v>2.65725635388947E-2</v>
      </c>
      <c r="I1366" s="14">
        <v>2.9453473306195521E-2</v>
      </c>
      <c r="J1366" s="14">
        <v>1.349519712416769E-2</v>
      </c>
      <c r="K1366" s="14">
        <v>1.6839168488584643E-2</v>
      </c>
    </row>
    <row r="1367" spans="2:11" x14ac:dyDescent="0.25">
      <c r="B1367" s="29">
        <v>1359</v>
      </c>
      <c r="C1367" s="30">
        <v>0.98764534883720934</v>
      </c>
      <c r="D1367" s="41">
        <v>-2.6476316836897876E-3</v>
      </c>
      <c r="E1367" s="41">
        <v>-2.7351466342501185E-3</v>
      </c>
      <c r="F1367" s="41">
        <v>-3.334259516532434E-3</v>
      </c>
      <c r="G1367" s="41">
        <v>-8.9019244683772314E-3</v>
      </c>
      <c r="H1367" s="14">
        <v>2.7814724982395678E-2</v>
      </c>
      <c r="I1367" s="14">
        <v>3.125173713409013E-2</v>
      </c>
      <c r="J1367" s="14">
        <v>1.3988642348040203E-2</v>
      </c>
      <c r="K1367" s="14">
        <v>1.6850615646978942E-2</v>
      </c>
    </row>
    <row r="1368" spans="2:11" x14ac:dyDescent="0.25">
      <c r="B1368" s="29">
        <v>1360</v>
      </c>
      <c r="C1368" s="30">
        <v>0.98837209302325579</v>
      </c>
      <c r="D1368" s="41">
        <v>-1.3167237601096626E-2</v>
      </c>
      <c r="E1368" s="41">
        <v>2.5365014206200076E-3</v>
      </c>
      <c r="F1368" s="41">
        <v>8.3492099069821801E-3</v>
      </c>
      <c r="G1368" s="41">
        <v>1.2573135044747776E-2</v>
      </c>
      <c r="H1368" s="14">
        <v>2.8196746939430639E-2</v>
      </c>
      <c r="I1368" s="14">
        <v>3.2220141942787439E-2</v>
      </c>
      <c r="J1368" s="14">
        <v>1.4230638394375772E-2</v>
      </c>
      <c r="K1368" s="14">
        <v>1.7255362303307997E-2</v>
      </c>
    </row>
    <row r="1369" spans="2:11" x14ac:dyDescent="0.25">
      <c r="B1369" s="29">
        <v>1361</v>
      </c>
      <c r="C1369" s="30">
        <v>0.98909883720930236</v>
      </c>
      <c r="D1369" s="41">
        <v>-7.2858757155680231E-3</v>
      </c>
      <c r="E1369" s="41">
        <v>1.5824199402791894E-3</v>
      </c>
      <c r="F1369" s="41">
        <v>-1.2871453354973417E-3</v>
      </c>
      <c r="G1369" s="41">
        <v>2.2869162661834476E-3</v>
      </c>
      <c r="H1369" s="14">
        <v>2.8397067714631241E-2</v>
      </c>
      <c r="I1369" s="14">
        <v>3.3083682255115932E-2</v>
      </c>
      <c r="J1369" s="14">
        <v>1.4528480016783751E-2</v>
      </c>
      <c r="K1369" s="14">
        <v>1.7759274632006238E-2</v>
      </c>
    </row>
    <row r="1370" spans="2:11" x14ac:dyDescent="0.25">
      <c r="B1370" s="29">
        <v>1362</v>
      </c>
      <c r="C1370" s="30">
        <v>0.98982558139534882</v>
      </c>
      <c r="D1370" s="41">
        <v>-1.7593170246302538E-3</v>
      </c>
      <c r="E1370" s="41">
        <v>-1.7673679606537984E-3</v>
      </c>
      <c r="F1370" s="41">
        <v>-1.1180054782268245E-3</v>
      </c>
      <c r="G1370" s="41">
        <v>-9.3054827990688435E-4</v>
      </c>
      <c r="H1370" s="14">
        <v>2.8898884712551753E-2</v>
      </c>
      <c r="I1370" s="14">
        <v>3.3275985061474556E-2</v>
      </c>
      <c r="J1370" s="14">
        <v>1.4619449795031381E-2</v>
      </c>
      <c r="K1370" s="14">
        <v>1.8323807576933682E-2</v>
      </c>
    </row>
    <row r="1371" spans="2:11" x14ac:dyDescent="0.25">
      <c r="B1371" s="29">
        <v>1363</v>
      </c>
      <c r="C1371" s="30">
        <v>0.99055232558139539</v>
      </c>
      <c r="D1371" s="41">
        <v>1.2797947791012588E-2</v>
      </c>
      <c r="E1371" s="41">
        <v>1.8563393631575664E-2</v>
      </c>
      <c r="F1371" s="41">
        <v>1.4230638394375772E-2</v>
      </c>
      <c r="G1371" s="41">
        <v>1.6850615646978942E-2</v>
      </c>
      <c r="H1371" s="14">
        <v>2.9672578444747799E-2</v>
      </c>
      <c r="I1371" s="14">
        <v>3.3373941554242226E-2</v>
      </c>
      <c r="J1371" s="14">
        <v>1.5033991953995685E-2</v>
      </c>
      <c r="K1371" s="14">
        <v>1.8438219650023794E-2</v>
      </c>
    </row>
    <row r="1372" spans="2:11" x14ac:dyDescent="0.25">
      <c r="B1372" s="29">
        <v>1364</v>
      </c>
      <c r="C1372" s="30">
        <v>0.99127906976744184</v>
      </c>
      <c r="D1372" s="41">
        <v>1.7957528123057412E-2</v>
      </c>
      <c r="E1372" s="41">
        <v>1.8611347654708954E-3</v>
      </c>
      <c r="F1372" s="41">
        <v>-2.0368903474030642E-3</v>
      </c>
      <c r="G1372" s="41">
        <v>1.3720620284956065E-2</v>
      </c>
      <c r="H1372" s="14">
        <v>3.0123468448263635E-2</v>
      </c>
      <c r="I1372" s="14">
        <v>3.474354007093261E-2</v>
      </c>
      <c r="J1372" s="14">
        <v>1.5130075106128293E-2</v>
      </c>
      <c r="K1372" s="14">
        <v>1.8705691382209011E-2</v>
      </c>
    </row>
    <row r="1373" spans="2:11" x14ac:dyDescent="0.25">
      <c r="B1373" s="29">
        <v>1365</v>
      </c>
      <c r="C1373" s="30">
        <v>0.99200581395348841</v>
      </c>
      <c r="D1373" s="41">
        <v>-2.9855874633045016E-3</v>
      </c>
      <c r="E1373" s="41">
        <v>9.0255080134249432E-4</v>
      </c>
      <c r="F1373" s="41">
        <v>2.9508568834410998E-3</v>
      </c>
      <c r="G1373" s="41">
        <v>2.3547865798945588E-2</v>
      </c>
      <c r="H1373" s="14">
        <v>3.0247069572147733E-2</v>
      </c>
      <c r="I1373" s="14">
        <v>3.5266173624017627E-2</v>
      </c>
      <c r="J1373" s="14">
        <v>1.5158636363034494E-2</v>
      </c>
      <c r="K1373" s="14">
        <v>1.9302665204485425E-2</v>
      </c>
    </row>
    <row r="1374" spans="2:11" x14ac:dyDescent="0.25">
      <c r="B1374" s="29">
        <v>1366</v>
      </c>
      <c r="C1374" s="30">
        <v>0.99273255813953487</v>
      </c>
      <c r="D1374" s="41">
        <v>-2.5718598601741523E-4</v>
      </c>
      <c r="E1374" s="41">
        <v>-3.1429471914833362E-3</v>
      </c>
      <c r="F1374" s="41">
        <v>-4.7441545238900984E-3</v>
      </c>
      <c r="G1374" s="41">
        <v>3.1703567814749035E-3</v>
      </c>
      <c r="H1374" s="14">
        <v>3.107402477731136E-2</v>
      </c>
      <c r="I1374" s="14">
        <v>3.5410778629216155E-2</v>
      </c>
      <c r="J1374" s="14">
        <v>1.5290864977712593E-2</v>
      </c>
      <c r="K1374" s="14">
        <v>2.1186728988790725E-2</v>
      </c>
    </row>
    <row r="1375" spans="2:11" x14ac:dyDescent="0.25">
      <c r="B1375" s="29">
        <v>1367</v>
      </c>
      <c r="C1375" s="30">
        <v>0.99345930232558144</v>
      </c>
      <c r="D1375" s="41">
        <v>-1.7285357542269317E-2</v>
      </c>
      <c r="E1375" s="41">
        <v>1.089887147060109E-2</v>
      </c>
      <c r="F1375" s="41">
        <v>6.8808643730451369E-3</v>
      </c>
      <c r="G1375" s="41">
        <v>2.1137586725354486E-3</v>
      </c>
      <c r="H1375" s="14">
        <v>3.1288044801558446E-2</v>
      </c>
      <c r="I1375" s="14">
        <v>3.863028580979444E-2</v>
      </c>
      <c r="J1375" s="14">
        <v>1.5624307722311714E-2</v>
      </c>
      <c r="K1375" s="14">
        <v>2.1191771932108906E-2</v>
      </c>
    </row>
    <row r="1376" spans="2:11" x14ac:dyDescent="0.25">
      <c r="B1376" s="29">
        <v>1368</v>
      </c>
      <c r="C1376" s="30">
        <v>0.9941860465116279</v>
      </c>
      <c r="D1376" s="41">
        <v>-2.3728559674040996E-3</v>
      </c>
      <c r="E1376" s="41">
        <v>-7.2976213229544173E-3</v>
      </c>
      <c r="F1376" s="41">
        <v>-4.1341035224827793E-3</v>
      </c>
      <c r="G1376" s="41">
        <v>1.9573549613136846E-3</v>
      </c>
      <c r="H1376" s="14">
        <v>3.188345037058915E-2</v>
      </c>
      <c r="I1376" s="14">
        <v>3.8890427165404029E-2</v>
      </c>
      <c r="J1376" s="14">
        <v>1.5673626435805943E-2</v>
      </c>
      <c r="K1376" s="14">
        <v>2.2774994231814016E-2</v>
      </c>
    </row>
    <row r="1377" spans="2:11" x14ac:dyDescent="0.25">
      <c r="B1377" s="29">
        <v>1369</v>
      </c>
      <c r="C1377" s="30">
        <v>0.99491279069767447</v>
      </c>
      <c r="D1377" s="41">
        <v>1.4785947079154862E-3</v>
      </c>
      <c r="E1377" s="41">
        <v>-4.9270999247371661E-3</v>
      </c>
      <c r="F1377" s="41">
        <v>7.646656014608455E-3</v>
      </c>
      <c r="G1377" s="41">
        <v>6.8971876703933796E-3</v>
      </c>
      <c r="H1377" s="14">
        <v>3.3458861120620798E-2</v>
      </c>
      <c r="I1377" s="14">
        <v>3.8921635961568946E-2</v>
      </c>
      <c r="J1377" s="14">
        <v>1.5881923789213603E-2</v>
      </c>
      <c r="K1377" s="14">
        <v>2.3330816168842142E-2</v>
      </c>
    </row>
    <row r="1378" spans="2:11" x14ac:dyDescent="0.25">
      <c r="B1378" s="29">
        <v>1370</v>
      </c>
      <c r="C1378" s="30">
        <v>0.99563953488372092</v>
      </c>
      <c r="D1378" s="41">
        <v>-8.0538579661739822E-3</v>
      </c>
      <c r="E1378" s="41">
        <v>0</v>
      </c>
      <c r="F1378" s="41">
        <v>-3.355513848603775E-3</v>
      </c>
      <c r="G1378" s="41">
        <v>-6.7110276972075504E-4</v>
      </c>
      <c r="H1378" s="14">
        <v>3.3597271004604856E-2</v>
      </c>
      <c r="I1378" s="14">
        <v>3.9055780649306371E-2</v>
      </c>
      <c r="J1378" s="14">
        <v>1.6258403940667021E-2</v>
      </c>
      <c r="K1378" s="14">
        <v>2.3547865798945588E-2</v>
      </c>
    </row>
    <row r="1379" spans="2:11" x14ac:dyDescent="0.25">
      <c r="B1379" s="29">
        <v>1371</v>
      </c>
      <c r="C1379" s="30">
        <v>0.99636627906976749</v>
      </c>
      <c r="D1379" s="41">
        <v>-1.9167020035160551E-2</v>
      </c>
      <c r="E1379" s="41">
        <v>1.170593563934097E-2</v>
      </c>
      <c r="F1379" s="41">
        <v>2.9089664613277666E-3</v>
      </c>
      <c r="G1379" s="41">
        <v>9.2220894374864578E-3</v>
      </c>
      <c r="H1379" s="14">
        <v>3.4977138662556806E-2</v>
      </c>
      <c r="I1379" s="14">
        <v>4.172923731763345E-2</v>
      </c>
      <c r="J1379" s="14">
        <v>1.6489597166888137E-2</v>
      </c>
      <c r="K1379" s="14">
        <v>2.3725385639933316E-2</v>
      </c>
    </row>
    <row r="1380" spans="2:11" x14ac:dyDescent="0.25">
      <c r="B1380" s="29">
        <v>1372</v>
      </c>
      <c r="C1380" s="30">
        <v>0.99709302325581395</v>
      </c>
      <c r="D1380" s="41">
        <v>-1.3396932801903888E-3</v>
      </c>
      <c r="E1380" s="41">
        <v>6.1547020880783343E-3</v>
      </c>
      <c r="F1380" s="41">
        <v>-2.9572338489536332E-3</v>
      </c>
      <c r="G1380" s="41">
        <v>2.2376042607990866E-3</v>
      </c>
      <c r="H1380" s="14">
        <v>3.634533235056292E-2</v>
      </c>
      <c r="I1380" s="14">
        <v>4.3680036256514843E-2</v>
      </c>
      <c r="J1380" s="14">
        <v>1.7569463934886231E-2</v>
      </c>
      <c r="K1380" s="14">
        <v>2.5914418031318352E-2</v>
      </c>
    </row>
    <row r="1381" spans="2:11" x14ac:dyDescent="0.25">
      <c r="B1381" s="29">
        <v>1373</v>
      </c>
      <c r="C1381" s="30">
        <v>0.99781976744186052</v>
      </c>
      <c r="D1381" s="41">
        <v>-4.9232164086403674E-3</v>
      </c>
      <c r="E1381" s="41">
        <v>-6.8428055502757212E-3</v>
      </c>
      <c r="F1381" s="41">
        <v>-2.8354315526823992E-3</v>
      </c>
      <c r="G1381" s="41">
        <v>-1.0513283671698171E-2</v>
      </c>
      <c r="H1381" s="14">
        <v>4.0295737772482187E-2</v>
      </c>
      <c r="I1381" s="14">
        <v>4.763854469705131E-2</v>
      </c>
      <c r="J1381" s="14">
        <v>1.7675606641123887E-2</v>
      </c>
      <c r="K1381" s="14">
        <v>2.6004086690869559E-2</v>
      </c>
    </row>
    <row r="1382" spans="2:11" x14ac:dyDescent="0.25">
      <c r="B1382" s="29">
        <v>1374</v>
      </c>
      <c r="C1382" s="30">
        <v>0.99854651162790697</v>
      </c>
      <c r="D1382" s="41">
        <v>-1.6545597514785193E-4</v>
      </c>
      <c r="E1382" s="41">
        <v>-1.8251413658112225E-2</v>
      </c>
      <c r="F1382" s="41">
        <v>-4.6847660439126582E-3</v>
      </c>
      <c r="G1382" s="41">
        <v>-7.9532835689922528E-3</v>
      </c>
      <c r="H1382" s="14">
        <v>4.7221375596870896E-2</v>
      </c>
      <c r="I1382" s="14">
        <v>5.0098576293375441E-2</v>
      </c>
      <c r="J1382" s="14">
        <v>1.7771035379530842E-2</v>
      </c>
      <c r="K1382" s="14">
        <v>2.8379849791782166E-2</v>
      </c>
    </row>
    <row r="1383" spans="2:11" x14ac:dyDescent="0.25">
      <c r="B1383" s="29">
        <v>1375</v>
      </c>
      <c r="C1383" s="30">
        <v>0.99927325581395354</v>
      </c>
      <c r="D1383" s="41">
        <v>-5.3215952111181823E-4</v>
      </c>
      <c r="E1383" s="41">
        <v>1.0349838726828153E-2</v>
      </c>
      <c r="F1383" s="41">
        <v>-8.4592826528306908E-4</v>
      </c>
      <c r="G1383" s="41">
        <v>-9.3625834956586849E-3</v>
      </c>
      <c r="H1383" s="14">
        <v>5.0295215701622764E-2</v>
      </c>
      <c r="I1383" s="14">
        <v>5.0898972163180733E-2</v>
      </c>
      <c r="J1383" s="14">
        <v>1.8281740690893056E-2</v>
      </c>
      <c r="K1383" s="14">
        <v>3.3771668177762719E-2</v>
      </c>
    </row>
    <row r="1384" spans="2:11" x14ac:dyDescent="0.25">
      <c r="B1384" s="29">
        <v>1376</v>
      </c>
      <c r="C1384" s="30">
        <v>1</v>
      </c>
      <c r="D1384" s="41">
        <v>-8.3305397159170427E-4</v>
      </c>
      <c r="E1384" s="41">
        <v>-2.034730748991298E-3</v>
      </c>
      <c r="F1384" s="41">
        <v>-9.7727145808900184E-3</v>
      </c>
      <c r="G1384" s="41">
        <v>-3.440040983189019E-3</v>
      </c>
      <c r="H1384" s="14">
        <v>5.6491685254300927E-2</v>
      </c>
      <c r="I1384" s="14">
        <v>5.1164222673265147E-2</v>
      </c>
      <c r="J1384" s="14">
        <v>2.1004222112712467E-2</v>
      </c>
      <c r="K1384" s="14">
        <v>3.9276891730934647E-2</v>
      </c>
    </row>
  </sheetData>
  <sheetProtection formatCells="0" selectLockedCells="1"/>
  <mergeCells count="8">
    <mergeCell ref="M16:M17"/>
    <mergeCell ref="M19:M22"/>
    <mergeCell ref="B2:L3"/>
    <mergeCell ref="H6:J6"/>
    <mergeCell ref="B8:C8"/>
    <mergeCell ref="H8:K8"/>
    <mergeCell ref="M10:M11"/>
    <mergeCell ref="M13:M1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2:O28"/>
  <sheetViews>
    <sheetView showGridLines="0" zoomScale="85" zoomScaleNormal="85" workbookViewId="0">
      <selection activeCell="H22" sqref="H22"/>
    </sheetView>
  </sheetViews>
  <sheetFormatPr baseColWidth="10" defaultColWidth="11.42578125" defaultRowHeight="15" x14ac:dyDescent="0.25"/>
  <cols>
    <col min="1" max="1" width="11.42578125" style="23"/>
    <col min="2" max="2" width="13.5703125" style="23" customWidth="1"/>
    <col min="3" max="5" width="12.85546875" style="23" customWidth="1"/>
    <col min="6" max="11" width="11.42578125" style="23"/>
    <col min="12" max="16" width="11.42578125" style="23" customWidth="1"/>
    <col min="17" max="18" width="11.42578125" style="23"/>
    <col min="19" max="19" width="13" style="23" customWidth="1"/>
    <col min="20" max="22" width="11.42578125" style="23"/>
    <col min="23" max="23" width="6" style="23" customWidth="1"/>
    <col min="24" max="16384" width="11.42578125" style="23"/>
  </cols>
  <sheetData>
    <row r="2" spans="1:15" x14ac:dyDescent="0.25">
      <c r="B2" s="78" t="s">
        <v>32</v>
      </c>
      <c r="C2" s="79"/>
      <c r="D2" s="79"/>
      <c r="E2" s="79"/>
      <c r="F2" s="79"/>
      <c r="G2" s="79"/>
      <c r="H2" s="79"/>
      <c r="I2" s="79"/>
      <c r="J2" s="79"/>
      <c r="K2" s="80"/>
    </row>
    <row r="3" spans="1:15" x14ac:dyDescent="0.25">
      <c r="B3" s="81"/>
      <c r="C3" s="82"/>
      <c r="D3" s="82"/>
      <c r="E3" s="82"/>
      <c r="F3" s="82"/>
      <c r="G3" s="82"/>
      <c r="H3" s="82"/>
      <c r="I3" s="82"/>
      <c r="J3" s="82"/>
      <c r="K3" s="83"/>
    </row>
    <row r="5" spans="1:15" x14ac:dyDescent="0.25">
      <c r="A5" s="24"/>
    </row>
    <row r="6" spans="1:15" x14ac:dyDescent="0.25">
      <c r="B6" s="5" t="s">
        <v>22</v>
      </c>
      <c r="C6" s="27">
        <v>0.01</v>
      </c>
    </row>
    <row r="8" spans="1:15" x14ac:dyDescent="0.25">
      <c r="C8" s="42" t="s">
        <v>33</v>
      </c>
      <c r="D8" s="43" t="s">
        <v>34</v>
      </c>
      <c r="E8" s="44" t="s">
        <v>35</v>
      </c>
    </row>
    <row r="9" spans="1:15" x14ac:dyDescent="0.25">
      <c r="B9" s="45" t="s">
        <v>36</v>
      </c>
      <c r="C9" s="46">
        <f>Ejercicio2!L11</f>
        <v>0</v>
      </c>
      <c r="D9" s="46">
        <f>Ejercicio3!L11</f>
        <v>0</v>
      </c>
      <c r="E9" s="46">
        <f>Ejercicio4!O11</f>
        <v>1022660.0652258401</v>
      </c>
      <c r="N9" s="31"/>
      <c r="O9" s="31"/>
    </row>
    <row r="10" spans="1:15" x14ac:dyDescent="0.25">
      <c r="B10" s="36" t="s">
        <v>37</v>
      </c>
      <c r="C10" s="46">
        <f>Ejercicio2!L14</f>
        <v>803793.65392376808</v>
      </c>
      <c r="D10" s="46">
        <f>Ejercicio3!L14</f>
        <v>764927.43288420478</v>
      </c>
      <c r="E10" s="46">
        <f>Ejercicio4!O14</f>
        <v>1215046.1729070949</v>
      </c>
      <c r="O10" s="31"/>
    </row>
    <row r="11" spans="1:15" x14ac:dyDescent="0.25">
      <c r="B11" s="36" t="s">
        <v>38</v>
      </c>
      <c r="C11" s="47">
        <f>Ejercicio2!L17</f>
        <v>1220478.9866486825</v>
      </c>
      <c r="D11" s="46">
        <f>Ejercicio3!L17</f>
        <v>1049278.3052676406</v>
      </c>
      <c r="E11" s="46">
        <f>Ejercicio4!O17</f>
        <v>347375.38597265474</v>
      </c>
    </row>
    <row r="12" spans="1:15" x14ac:dyDescent="0.25">
      <c r="B12" s="36" t="s">
        <v>39</v>
      </c>
      <c r="C12" s="46">
        <f>Ejercicio2!L20</f>
        <v>1928392.2272380793</v>
      </c>
      <c r="D12" s="46">
        <f>Ejercicio3!L20</f>
        <v>1385232.0914372166</v>
      </c>
      <c r="E12" s="46">
        <f>Ejercicio4!O20</f>
        <v>2010523.7927511197</v>
      </c>
    </row>
    <row r="23" spans="1:1" x14ac:dyDescent="0.25">
      <c r="A23" s="24"/>
    </row>
    <row r="24" spans="1:1" x14ac:dyDescent="0.25">
      <c r="A24" s="24"/>
    </row>
    <row r="25" spans="1:1" x14ac:dyDescent="0.25">
      <c r="A25" s="24"/>
    </row>
    <row r="26" spans="1:1" x14ac:dyDescent="0.25">
      <c r="A26" s="24"/>
    </row>
    <row r="27" spans="1:1" x14ac:dyDescent="0.25">
      <c r="A27" s="24"/>
    </row>
    <row r="28" spans="1:1" x14ac:dyDescent="0.25">
      <c r="A28" s="24"/>
    </row>
  </sheetData>
  <sheetProtection formatCells="0" selectLockedCells="1"/>
  <mergeCells count="1">
    <mergeCell ref="B2:K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H2:P8"/>
  <sheetViews>
    <sheetView tabSelected="1" topLeftCell="G1" zoomScale="160" zoomScaleNormal="160" workbookViewId="0">
      <selection activeCell="N3" sqref="N3"/>
    </sheetView>
  </sheetViews>
  <sheetFormatPr baseColWidth="10" defaultRowHeight="15" x14ac:dyDescent="0.25"/>
  <cols>
    <col min="11" max="13" width="4.5703125" bestFit="1" customWidth="1"/>
    <col min="14" max="14" width="60.28515625" bestFit="1" customWidth="1"/>
  </cols>
  <sheetData>
    <row r="2" spans="8:16" x14ac:dyDescent="0.25">
      <c r="H2" t="s">
        <v>42</v>
      </c>
    </row>
    <row r="5" spans="8:16" x14ac:dyDescent="0.25">
      <c r="K5" s="53" t="s">
        <v>52</v>
      </c>
      <c r="L5" s="53" t="s">
        <v>53</v>
      </c>
      <c r="M5" s="53" t="s">
        <v>54</v>
      </c>
      <c r="O5" s="53" t="s">
        <v>55</v>
      </c>
      <c r="P5" s="53" t="s">
        <v>56</v>
      </c>
    </row>
    <row r="6" spans="8:16" x14ac:dyDescent="0.25">
      <c r="K6" s="54">
        <v>0.5</v>
      </c>
      <c r="L6" s="54">
        <v>0.1</v>
      </c>
      <c r="M6" s="54">
        <v>0.4</v>
      </c>
      <c r="N6" t="s">
        <v>58</v>
      </c>
      <c r="O6" s="55">
        <v>0.5</v>
      </c>
      <c r="P6" s="55">
        <v>0.9</v>
      </c>
    </row>
    <row r="7" spans="8:16" x14ac:dyDescent="0.25">
      <c r="K7" s="54">
        <v>0.1</v>
      </c>
      <c r="L7" s="54">
        <v>0.1</v>
      </c>
      <c r="M7" s="54">
        <v>0.8</v>
      </c>
      <c r="N7" t="s">
        <v>57</v>
      </c>
      <c r="O7" s="55">
        <v>0.01</v>
      </c>
      <c r="P7" s="55">
        <v>0.1</v>
      </c>
    </row>
    <row r="8" spans="8:16" x14ac:dyDescent="0.25">
      <c r="K8" s="54">
        <v>0.25</v>
      </c>
      <c r="L8" s="54">
        <v>0.35</v>
      </c>
      <c r="M8" s="54">
        <v>0.4</v>
      </c>
      <c r="N8" s="57" t="s">
        <v>59</v>
      </c>
      <c r="O8" s="56">
        <v>0.35</v>
      </c>
      <c r="P8" s="56">
        <v>0.3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15</vt:i4>
      </vt:variant>
    </vt:vector>
  </HeadingPairs>
  <TitlesOfParts>
    <vt:vector size="21" baseType="lpstr">
      <vt:lpstr>Ejercicio1</vt:lpstr>
      <vt:lpstr>Ejercicio2</vt:lpstr>
      <vt:lpstr>Ejercicio3</vt:lpstr>
      <vt:lpstr>Ejercicio4</vt:lpstr>
      <vt:lpstr>Ejercicio5</vt:lpstr>
      <vt:lpstr>Hoja1</vt:lpstr>
      <vt:lpstr>Ejercicio2!Escala</vt:lpstr>
      <vt:lpstr>Ejercicio3!Escala</vt:lpstr>
      <vt:lpstr>Ejercicio4!Escala</vt:lpstr>
      <vt:lpstr>Ejercicio5!Escala</vt:lpstr>
      <vt:lpstr>Escala</vt:lpstr>
      <vt:lpstr>Ejercicio2!EscalaCorta</vt:lpstr>
      <vt:lpstr>Ejercicio3!EscalaCorta</vt:lpstr>
      <vt:lpstr>Ejercicio4!EscalaCorta</vt:lpstr>
      <vt:lpstr>Ejercicio5!EscalaCorta</vt:lpstr>
      <vt:lpstr>EscalaCorta</vt:lpstr>
      <vt:lpstr>Ejercicio2!EscalaLarga</vt:lpstr>
      <vt:lpstr>Ejercicio3!EscalaLarga</vt:lpstr>
      <vt:lpstr>Ejercicio4!EscalaLarga</vt:lpstr>
      <vt:lpstr>Ejercicio5!EscalaLarga</vt:lpstr>
      <vt:lpstr>EscalaLarga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Paiva Ramos</dc:creator>
  <cp:lastModifiedBy>andre</cp:lastModifiedBy>
  <dcterms:created xsi:type="dcterms:W3CDTF">2020-03-24T20:49:48Z</dcterms:created>
  <dcterms:modified xsi:type="dcterms:W3CDTF">2022-05-05T07:15:56Z</dcterms:modified>
</cp:coreProperties>
</file>